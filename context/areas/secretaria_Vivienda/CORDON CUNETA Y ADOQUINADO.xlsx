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x Localidad NATI" sheetId="1" r:id="rId5"/>
    <sheet state="visible" name="IN x Localidad PABLO" sheetId="2" r:id="rId6"/>
    <sheet state="visible" name="IN x Localidad H" sheetId="3" r:id="rId7"/>
    <sheet state="visible" name="IN x Localidad BETINA" sheetId="4" r:id="rId8"/>
    <sheet state="visible" name="REP Depart." sheetId="5" r:id="rId9"/>
    <sheet state="visible" name="REP Loc." sheetId="6" r:id="rId10"/>
    <sheet state="visible" name="REP estado expediente" sheetId="7" r:id="rId11"/>
    <sheet state="visible" name="Base TOTAL" sheetId="8" r:id="rId12"/>
    <sheet state="visible" name="Resumen" sheetId="9" r:id="rId13"/>
    <sheet state="visible" name="Contactos intendentes" sheetId="10" r:id="rId14"/>
    <sheet state="visible" name="Validaciones" sheetId="11" r:id="rId15"/>
  </sheets>
  <definedNames>
    <definedName hidden="1" localSheetId="7" name="_xlnm._FilterDatabase">'Base TOTAL'!$A$5:$AI$57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3">
      <text>
        <t xml:space="preserve">5- Nota a Contaduría Cesiòn Coparticipaciòn</t>
      </text>
    </comment>
    <comment authorId="0" ref="AB3">
      <text>
        <t xml:space="preserve">6- Nº CBU de M/C especial para depòsito de fondos</t>
      </text>
    </comment>
    <comment authorId="0" ref="M3">
      <text>
        <t xml:space="preserve">1- Nota Solicitud de Financiamiento</t>
      </text>
    </comment>
    <comment authorId="0" ref="AC3">
      <text>
        <t xml:space="preserve">7- Nº CUIT Municipal / Comunal</t>
      </text>
    </comment>
    <comment authorId="0" ref="N3">
      <text>
        <t xml:space="preserve">2- Ordenanza y Decreto/ Resolución comunal</t>
      </text>
    </comment>
    <comment authorId="0" ref="AD3">
      <text>
        <t xml:space="preserve">8- DNI Intendente / Jefe Comunal</t>
      </text>
    </comment>
    <comment authorId="0" ref="O3">
      <text>
        <t xml:space="preserve">3- DDJJ compromiso de ejecuciòn obra</t>
      </text>
    </comment>
    <comment authorId="0" ref="AE3">
      <text>
        <t xml:space="preserve">9- Acta de Proclamación  Int./Pres. Com.</t>
      </text>
    </comment>
    <comment authorId="0" ref="P3">
      <text>
        <t xml:space="preserve">4- Proyecto, Planos, Còmputo y Presupuesto</t>
      </text>
    </comment>
  </commentList>
</comments>
</file>

<file path=xl/sharedStrings.xml><?xml version="1.0" encoding="utf-8"?>
<sst xmlns="http://schemas.openxmlformats.org/spreadsheetml/2006/main" count="5894" uniqueCount="2635">
  <si>
    <t>Programas provinciales - Dirección General de Vivienda</t>
  </si>
  <si>
    <t>Ingreso de Datos</t>
  </si>
  <si>
    <t>LOCALIDAD:</t>
  </si>
  <si>
    <t>Olaeta</t>
  </si>
  <si>
    <t>⬅️ solamente ELEGIR LOCALIDAD</t>
  </si>
  <si>
    <t>DEPARTAMENTO:</t>
  </si>
  <si>
    <t>Datos actuales</t>
  </si>
  <si>
    <t>Modificar/Ingresar nuevo dato</t>
  </si>
  <si>
    <t>PROGRAMA PROVINCIAL DE CORDÓN CUNETA Y ADOQUINES - LEY Nº 11089</t>
  </si>
  <si>
    <t xml:space="preserve">EXPEDIENTE N° </t>
  </si>
  <si>
    <t>N° Orden</t>
  </si>
  <si>
    <t>MUNICIPIO / COMUNA</t>
  </si>
  <si>
    <t>INTENDENTE /
PRESIDENTE COMUNAL</t>
  </si>
  <si>
    <t>N° TELÉFONO M/C</t>
  </si>
  <si>
    <t>CORREO ELECTRÓNICO</t>
  </si>
  <si>
    <t>CONTACTO TÉCNICO de M/C</t>
  </si>
  <si>
    <t>CONVENIO</t>
  </si>
  <si>
    <t>MONTO CONVENIO</t>
  </si>
  <si>
    <t xml:space="preserve">Cordón Cuneta (ml)  </t>
  </si>
  <si>
    <t>Adoquinado (m2)</t>
  </si>
  <si>
    <t>DOCUMENTACIÓN A PRESENTAR por Municipio / Comuna</t>
  </si>
  <si>
    <t>Descripción General</t>
  </si>
  <si>
    <t>Memoria Técnica</t>
  </si>
  <si>
    <t>Plazo de Ejecución</t>
  </si>
  <si>
    <t>Cómputo y Presupuesto</t>
  </si>
  <si>
    <t>Cronograma Avance Obra</t>
  </si>
  <si>
    <t>Planimetría</t>
  </si>
  <si>
    <t>Perfil Calzada</t>
  </si>
  <si>
    <t>Detalle de Cordón Cuneta</t>
  </si>
  <si>
    <t>Detalle de Badén</t>
  </si>
  <si>
    <t>Paquete estr. Calzada</t>
  </si>
  <si>
    <t>ESTADO DEL EXPEDIENTE DE LA LOCALIDAD</t>
  </si>
  <si>
    <t>OBSERVACIONES</t>
  </si>
  <si>
    <t>EXPEDIENTE RADICADO EN:</t>
  </si>
  <si>
    <t>FECHA</t>
  </si>
  <si>
    <t>REPARTICIÓN</t>
  </si>
  <si>
    <t>PROGRAMA CÓRDOBA HOGAR - LEY Nº 8663</t>
  </si>
  <si>
    <t>Cantidad de Viviendas</t>
  </si>
  <si>
    <t>Las Playas</t>
  </si>
  <si>
    <t>Villa Sarmiento</t>
  </si>
  <si>
    <t>Los Reartes</t>
  </si>
  <si>
    <t>,</t>
  </si>
  <si>
    <t>OBRA: "EJECUCIÒN DE CORDÒN CUNETA Y ADOQUINADO"</t>
  </si>
  <si>
    <t>PROGRAMA: "PROVINCIAL DE CORDÒN CUNETA Y ADOQUINES" - LEY Nº 11.089</t>
  </si>
  <si>
    <t>INFORME DEPARTAMENTO</t>
  </si>
  <si>
    <t>Marcos Juárez</t>
  </si>
  <si>
    <t>Cantidad de localidades afectadas</t>
  </si>
  <si>
    <t>TRAMITE PRE-OBRA</t>
  </si>
  <si>
    <t>MONTO TOTAL:</t>
  </si>
  <si>
    <t>fin del listado</t>
  </si>
  <si>
    <t>INFORME LOCALIDAD</t>
  </si>
  <si>
    <t>Guanaco Muerto</t>
  </si>
  <si>
    <t xml:space="preserve">Nº EXPEDIENTE 0135- : </t>
  </si>
  <si>
    <t>Estado de la documentación</t>
  </si>
  <si>
    <t>1- Nota Solicitud de Financiamiento</t>
  </si>
  <si>
    <t>2- Ordenanza y Decreto/ Resolución comunal</t>
  </si>
  <si>
    <t>3- DDJJ compromiso de ejecuciòn obra</t>
  </si>
  <si>
    <t>4- Proyecto, Planos, Còmputo y Presupuesto</t>
  </si>
  <si>
    <t>5- Nota a Contaduría Cesiòn Coparticipaciòn</t>
  </si>
  <si>
    <t>6- Nº CBU de M/C especial para depòsito de fondos</t>
  </si>
  <si>
    <t>7- Nº CUIT Municipal / Comunal</t>
  </si>
  <si>
    <t>8- DNI Intendente / Jefe Comunal</t>
  </si>
  <si>
    <t>9- Acta de Proclamación  Int./Pres. Com.</t>
  </si>
  <si>
    <t>REPORTE</t>
  </si>
  <si>
    <t>COMPLETO en DGV</t>
  </si>
  <si>
    <t>Localidad</t>
  </si>
  <si>
    <t>Departamento</t>
  </si>
  <si>
    <t>PROGRAMA PROVINCIAL DE CORDÓN CUNETA Y ADOQUINES - LEY Nº 11089 - AREA TECNICA - DIRECCIÓN GENERAL DE VIVENDA - MINISTERIO DE COOPERATIVAS Y MUTUALES - GOBIERNO DE CÒRDOBA</t>
  </si>
  <si>
    <t>LOCALIDAD / PROYECTO</t>
  </si>
  <si>
    <t>DEPARTAMENTO</t>
  </si>
  <si>
    <t>San Joaquín</t>
  </si>
  <si>
    <t>Presidente Roque Sáenz Peña</t>
  </si>
  <si>
    <t>043-079116/2026</t>
  </si>
  <si>
    <t>C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</si>
  <si>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DANIEL PICCO</t>
    </r>
  </si>
  <si>
    <t>(3385) 43-5407</t>
  </si>
  <si>
    <t>Danielpicco66@hotmail.com</t>
  </si>
  <si>
    <t>laurirojas90@gmail.com</t>
  </si>
  <si>
    <t>A corregir por M/C</t>
  </si>
  <si>
    <t>En Evaluaciòn Jurìdico</t>
  </si>
  <si>
    <t>Completo OK</t>
  </si>
  <si>
    <t xml:space="preserve">Sin Presentar </t>
  </si>
  <si>
    <t>En CURSO en DGV</t>
  </si>
  <si>
    <t xml:space="preserve">25/6/26: Comunicación con int. solicitando presenten correcciones. Se espera respuesta de la ing. a cargo. 19/6/26: Comunicaciòn con la ing. a cargo . Se solcita la presentaciòn a la mayor brevedad posible .      12-06-2026  Solicitar P Georef en Planim. + demas doc.Tec y leg                                                                                                                                           11/6/26: Se solicita nuevamente la correcciòn de Documentaciòn tècnica.Tiene todos los Items completos, salvo por el 4 (documentación técnica). 
El 29/5/26 se reclama la documentación firmada
EL 19/05/26 PRESENTA PROYECTO CORREGIDO (A EVALUAR). 
EL 30/4 PRESENTAN NUEVO PRESUPUESTO, A VALOR $30.000.000. DEBE FUNDAMENTAR EL INCREMENTO EN EL MONTO TOTAL EL CÓMPUTO. 
El 30/04 se recibe y el monto que presenta es menor que el que se le da. Se pide que lo haga llegar al monto asignado
El 28/04/26 se le envía documentación técnica modelo. 
EL 20/04/2026 LA COMUNA ENVÍA DOCUMENTACIÓN. FALTA INFO TÉCNICA. PRESENTA PRESUPUESTO, DE $21.969.370 - FALTA FIRMAS DE ÉSTE. 
EL 14/04/26 SE CONTACTÓ AL PRESIDENTE COMUNAL - </t>
  </si>
  <si>
    <t>Técnica DGV</t>
  </si>
  <si>
    <t>La Población</t>
  </si>
  <si>
    <t>San Javier</t>
  </si>
  <si>
    <t>0423-079121/2026</t>
  </si>
  <si>
    <t>EDUARDO ROMERO</t>
  </si>
  <si>
    <t>(3544) 58-0485</t>
  </si>
  <si>
    <t>_</t>
  </si>
  <si>
    <t>Arq. Adriàn Heredia (3544) 434500                       Alejandra Castro  (011) 6185-9307</t>
  </si>
  <si>
    <t xml:space="preserve">08-07-2026  Se solicita al arq. la Present. de toda la doc. corregida completa s/ intructivo (Como iniciar el tram.)                                                                              03-07-2026  Se reciben correcciones                                                                                                                                         03/7/2026: Se solicita al arq. corregir las observaciones (Faltan Georeferencias)
2026-07-01  Se solicito al arq. el complet. de geo ref en nota 3 y la firma del intend. en nota de ampliac. de doc. de georef.                                                                  2026-06-30 Se recibe modificacion  parrafo Nota 5 solicitado al arq. --EXP. COMPLETO-                                                                                                                                                                                                                    2026-06-30  Se recibe envio de Geo ref  y se solicita modif. parrafo en nota 5                                                                                                                              29/6/2026: Se reitera pedido de Geo-Ref. en Planim. Gral.
8/6/26 PASA DE AREA TECNICA A LEGALES // S-3-6-2026  Se observò  desde Jurìdica falta en Punto Nª2 (son 3 firmas y falta..+ monto en la parte escrita)                                                       3/6/2026 Se envió documentacion completa digital por email y lo recibiò Jurídica.                                               COMPLETÓ documentación. Subió a Jurídico. Está en la Privada desde el 28/05/26
EL 20/05/26 SE APRUEBA LA PARTE TÉCNICA. SE SUBE A JURÍDICO PARA SU PROSECUCIÓN.
EL 20/04/2026 LA COMUNA ENVÍA DOCUMENTACIÓN. FALTA INFO TÉCNICA. SE SOLICITA COMPLETAR LA MISMA. 
EL 14/04/26 SE CONTACTÓ AL PRESIDENTE COMUNAL - </t>
  </si>
  <si>
    <t>Del Campillo</t>
  </si>
  <si>
    <t>General Roca</t>
  </si>
  <si>
    <t>0423-079098/2026</t>
  </si>
  <si>
    <t>M</t>
  </si>
  <si>
    <t>CARLA VILLANOVA</t>
  </si>
  <si>
    <t>(3583) 40-1420</t>
  </si>
  <si>
    <t>Carla.villanova480@gmail.com</t>
  </si>
  <si>
    <r>
      <rPr>
        <rFont val="Calibri"/>
        <color theme="1"/>
        <sz val="10.0"/>
      </rPr>
      <t xml:space="preserve">- 22-06-2026 : Comunicaciòn con int. Se espera doc.  tècnica  y listo para dar continuidad al tràmite.                                                                                                                                                                                                               - 19-06-2026   Se solicitan a la intend. Carla los siguientes: (Faltan en Planimetria Gral. las Geo ref. sobre las diferentes ubic. de obra + ampliar sobre la misma los nombres de las calles no se visualizan + corte paquete estr. de la calzada + detalles de baden s/ modelo)                                                                                                                               - 18-06-2026    Se envian al whats de intendenta y al mail los faltantes, correcciones y Modelo  --RTAS.;   Se recibe toda la doc.           </t>
    </r>
    <r>
      <rPr>
        <rFont val="Calibri"/>
        <color rgb="FF4A86E8"/>
        <sz val="10.0"/>
      </rPr>
      <t xml:space="preserve">                                                                                                                                                   4/6/2026 CB - VVVVVV
</t>
    </r>
    <r>
      <rPr>
        <rFont val="Calibri"/>
        <color theme="1"/>
        <sz val="10.0"/>
      </rPr>
      <t>4/6/2026 HS - la documentacion tecnica tiene observaciones en el computo. esperaremos la vuelta desde jurídico.
COMPLETÓ documentación. Subió a Jurídico Con V°B°. ARCHIVADO EL 13/05/26
EL 14/04/26 SE CONTACTÓ A LA INTENDENTE, LA CUAL ENVIÓ POSTERIORMENTE DOCUMENTACIÓN. SE SOLICITÓ EL COMPLETAMIENTO DE ITEM 4. COMPLETÓ PASADO CON V°B° TÉCNICA</t>
    </r>
  </si>
  <si>
    <t>Jurídico DGV</t>
  </si>
  <si>
    <t>San Javier y Yacanto</t>
  </si>
  <si>
    <t>0423-079118/2026</t>
  </si>
  <si>
    <t>SEGUNDO MARTÍN GARCÍA</t>
  </si>
  <si>
    <t>(3544) 53-4283</t>
  </si>
  <si>
    <t>garciam.s078@gmail.com</t>
  </si>
  <si>
    <t>Arq. Adriàn Heredia (3544) 434500</t>
  </si>
  <si>
    <t xml:space="preserve">03/7/2026: Se solicita al arq. y por Email municipio,  corregir las observaciones (Faltan Georeferencias)
01-07-2026 - Se solicita al arq. Las Geo-Referenc. y la modicific. de la Nota Pto. 5 sacar ante ult. parrafo.                                                                                                                                                                                         9/6/26 PASA DE AREA TECNICA A LEGALES.                                                                                                                                        -04-06-2026  -(En Pto. 1 Nota Financ sacar la expres. vereda peinada y colocar tambien medida del cordòn en ml  + en el Pto. 4 en el Comp. Metr. poner la medida del cordòn cunet. en ml)                                                                                                                                     3/6/2026 Se envió documentacion completa digital por email y fue recibida por Jurídica.
COMPLETÓ documentación. Subió a Jurídico. Está en la Privada desde el 28/05/26
El 05/05/26 presentó la documentación, se exede en el montoasignado de $200.000.000 en $304.840 (se lo llama para que cambie)
EL 16/04/26 VINO PERSONALMENTE EL INTENDENTE, MOSTRANDO INTERÉS. 
EL 14/04/26 SE CONTACTÓ AL INTENDENTE. </t>
  </si>
  <si>
    <t>Cavanagh</t>
  </si>
  <si>
    <t>0423-079101/2026</t>
  </si>
  <si>
    <t>GUSTAVO DAL BO</t>
  </si>
  <si>
    <t>(3468) 64-7760</t>
  </si>
  <si>
    <t>municavanagh@alejotv.com.ar</t>
  </si>
  <si>
    <t>richardquinn68@hotmail.com</t>
  </si>
  <si>
    <t>25-6-26: Comunicaciòn con Int. Solicita el Instructivo, se envìa. 10/6/2026: Se envìa doc. al arq. R. Quin para su correcc. x whatss                                                                                                                                   P-10/6/2026: Se solicita al Municipio el contacto del ingeniero para enviar nuevamente lo que deben corregir                                    P- 09-6-2026  Hablar con el intendente para avisar que este Progr. no contempla el asfaltado......-Pto. 1 -corregir nombre del Programa y plazo de ejecucion a  6 meses   + Pto. 2 -  No tiene el sello y firma de tesorero  + Pto. 3 - corregir la denominaciòn del Programa      + Pto. 7 el cuil presentado fue el del intend. No de la municipal. ?  +                                                                                    4/6/26:Presentan documentaciòn por Cidi- En evaluaciòn tècnica. EL 14/04/2026 SE CONTACTÓ AL INTENDENTE… QUEDÓ EN HABLAR, NO LO HIZOº</t>
  </si>
  <si>
    <t>Capitán General Bernardo O'Higgins</t>
  </si>
  <si>
    <t>0423-079103/2026</t>
  </si>
  <si>
    <t>NORA BESSONE</t>
  </si>
  <si>
    <t>(3468) 56-1281</t>
  </si>
  <si>
    <t>nora_bessone@hotmail.com</t>
  </si>
  <si>
    <t>muniohiggins@hotmail.com</t>
  </si>
  <si>
    <t>Sin Presentar</t>
  </si>
  <si>
    <t xml:space="preserve">25-6-26: Comunicaciòn con int. y arq. para completen Georeferencia. 19/6/2026 se envian observaciones por email para corregir y completar.
18/6/26: Comunicación con el municipio para enviar Instructivo. EL 16/04/26 SE CONTACTÓ A LA INTENDENTE. EL 29/04/26 NOS VISITÓ Y CONSULTÓ. VA A ENVIAR DOCUMENTACIÓN </t>
  </si>
  <si>
    <t>La Higuera</t>
  </si>
  <si>
    <t>Cruz del Eje</t>
  </si>
  <si>
    <t>0423-079115/2026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</si>
  <si>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DANIEL MANZANELLI</t>
    </r>
  </si>
  <si>
    <t>(3542) 47-0003</t>
  </si>
  <si>
    <t>Comunalahiguera01@gmail.com</t>
  </si>
  <si>
    <t>Ing. Bracamonte 3521401659 ---ingbracamontegustavo@gmail.com</t>
  </si>
  <si>
    <t>13-07-2026  Se llamo al ing. quien avisa que hoy envia doc. a la firma de la comuna y mañana nos envian por mail.                                                                                                                  13/7/2026: Se solicita a la comuna y al ing. informen si puedieron avanzar con la documentaciòn.
13/7/2026: Se solicita a la comuna y al ing. informen si puedieron avanzar con la documentaciòn.
30-06-2026  Se reitera actualiz y completar docum. s/ instr.                                                                                                                                                                             26/6/2026: holaaaaaa
26/6/26: Se solicita al Ing. que complete la documentaciòn requerida conforme al Instructivo. 24/6/26: Se insiste y  se hace un llamado al pres. comunal.  Envìa datos por wathsapp. 22/6/26: Se solicita correo electrònico y datos del profesional para enviar instructivo. Sin respuesta 12-05-2026  Se envia las correcciones de la  documentac. tecnica  y la nota inial ( via  whatsapp a Gonzalo Guzman                                                                                                              El 30/04/2026 envían documentación de los items 1 a 5 para ver
EL MARTES 28/04/26 SE HABLÓ POR TELÉFONO Y POR WHATSAPP, DONDE SE LE ENVIÓ LOS 9 PUNTOS Y SE COMPROMETIÓ EN DAR RESPUESTA.</t>
  </si>
  <si>
    <t>0423-079112/2026</t>
  </si>
  <si>
    <t>MARÍA DANIELA GODOY</t>
  </si>
  <si>
    <t>(3549) 46-8032</t>
  </si>
  <si>
    <t>Danielagodoy79@gmail.com</t>
  </si>
  <si>
    <t>13-7-2026: Se recibe  de la intend. doc. por whast y se solicita que se envie en base a instructivo y por E mail.                                                                                                         13-7-2026: Se llamo al ing. quien avisa que el viernes enviò la doc. a la municip y mañana la envian firmada                                                                                                13/7/2026: Se solicita informen còmo van con la documentaciòn a presentar.
29/6/2026: Se enviaron por Email las observaciones A corregir por la comuna 
26/6/26: Se envían las observaciones a corregir por el ing. Se aguardan las observaciones del area Legales........22/6/26: El ing. se comunica con el àrea tècnica: Se le envìa el Instructivo de la documentaciòn legal y tècnica a presentar. 19/6/26: Sin respuesta del ing. a cargo, se envìa nuevamente el instructivo a la Pres. comunal. 11/6/26: Se solicita corregir documentación presentada.  SE LE ENVIÓ LOS 9 REQUISITOS PARA PARTICIPAR EN EL PROGRAMA</t>
  </si>
  <si>
    <t>Luyaba</t>
  </si>
  <si>
    <t>0423-079120/2026</t>
  </si>
  <si>
    <t>MAXIMILIANO PEREYRA</t>
  </si>
  <si>
    <t>(3544) 56-7381</t>
  </si>
  <si>
    <t>Hectormaximilianopereyra@gmail.com</t>
  </si>
  <si>
    <t>APROBADO por TC</t>
  </si>
  <si>
    <r>
      <rPr>
        <rFont val="Calibri, sans-serif"/>
        <b/>
        <color rgb="FF000000"/>
        <sz val="10.0"/>
      </rPr>
      <t>8/6/26 PASA DE AREA TECNICA A LEGALES</t>
    </r>
    <r>
      <rPr>
        <rFont val="Calibri, sans-serif"/>
        <color rgb="FF000000"/>
        <sz val="10.0"/>
      </rPr>
      <t xml:space="preserve"> // P -04-06-2026  -(En el Pto. 4 en el Comp. Metr. poner la medida del cordòn cunet. en ml)                                                                                                                                                                3/6/2026 Se envió documentacion completa digital por email y lo recibiò Jurídica.                                    2/6/2026 corregido pasa a juridico
El 27/05/2026 el municipio presentó el total de la información. APROBADA LA PARTE TÉCNICA. Debe corregir y presentar la Nota a Contaduría Gral y la DDJJ con firma clara
19/05/26 se aprueba la Parte Técnica. El 27/05/26 se recibe nueva documentación. 28/05/26 se pide que cambie nota a la contaduría y se le envía la nueva para que firme
El 8/5/26 se le envió documentación modelo. Se recibió documenación de parte de la Comuna. La misma está en proceso de estudio y análisis. El  </t>
    </r>
  </si>
  <si>
    <t>Aprobado TC</t>
  </si>
  <si>
    <t>Villa Valeria</t>
  </si>
  <si>
    <t>0423-079095/2026</t>
  </si>
  <si>
    <t>CLAUDIO MELERO</t>
  </si>
  <si>
    <t>(3583) 43-9116</t>
  </si>
  <si>
    <t xml:space="preserve">03/7/2026: PASO A LEGALES 10/6/2026
COMPLETÓ documentación. Subió a Jurídico Con V°B°. ARCHIVADO EL 13/05/26
El 12/5/26 se le envía "devolución" con correcciones de la documentación técnica presentada. COMPLETO. PASADO CON V°B° DE TÉCNICA.
EL 30/04/26, EL INTENDENTE ENVÍA DOCUMENTACIÓN, QUE ESTÁ SIENDO ANALIZADA. DEBE COMPLETAR PUNTO 4, DE DOC. TÉCN. </t>
  </si>
  <si>
    <t>02/072026</t>
  </si>
  <si>
    <t>Tribunal de Cuentas</t>
  </si>
  <si>
    <t>Villa Huidobro</t>
  </si>
  <si>
    <t>0423-079097/2026</t>
  </si>
  <si>
    <t>ENZO QUIROGA</t>
  </si>
  <si>
    <t>(2302) 45-3904</t>
  </si>
  <si>
    <r>
      <rPr>
        <color rgb="FF1155CC"/>
        <u/>
      </rPr>
      <t>mvhuidobro@gmail.com</t>
    </r>
  </si>
  <si>
    <r>
      <rPr>
        <color rgb="FF1155CC"/>
        <u/>
      </rPr>
      <t>arqmariasolcastelli2024@</t>
    </r>
    <r>
      <rPr>
        <color rgb="FF0563C1"/>
        <u/>
      </rPr>
      <t>gmail.com</t>
    </r>
  </si>
  <si>
    <t xml:space="preserve">08-7-2026  Se recibe por mail la doc. solicitada (solo el Cuil sale borroso mientras que en presentac. ant. sale bien) y se eleva a legales para su revisiòn                                                          07-07-2026  Se tomo contacto con la arqta. Sol Castelli para acordar la presentac. de toda la doc. actualiz de manera ordenada                     30-06-26  Se Responde a las dudas planteadas x el profes. x whatss                                                                                                                            29/6/2026: Se recibe documentacion y se re envìan las correcciones
24-06-2026 -- Nos desarrollan consultas y se re envian por whats datos a completar y corregir                                                                                                      23-06-26  Se envian correc.                                                                         19-06-2026      Pto 6 -Re enviar CBU  esta cortada la imag. + TECnica adecuar cronogr. de avance de Ob. a 6 meses y en todo escrito de la memoria que mencione plazos + nota 1 en los datos del pavimento articulado colocar medida en ML  Y el Plazo de ejecucion de obra llevarlo a 6 meses + llevar los 6 meses al desarrollo de la planilla del cronogra de avances de obras + en Planim. Gral. colocar las Geo refer. y cotas ancho y largo de calles en desarr. de obra )                                                                                                                                                             9/6/26: Presentan documentación nuevamente a evaluar . 8/6/26: Se envía Instructivo  (Doc. Requerida) a la localidad. El 05/05/26 se envía documentación Modelo que ayuda al completamiento y corrección de la misma.
SI BIEN EL MUNPICIPIO CORRIGIÓ Y ENVIÓ CON AJUSTES EL PRESUPUESTO, DEBE ACLARAR ITEMS DE LA PARTE TÉCNICA PARA ADECUAR A MONTO CONFORMADO. </t>
  </si>
  <si>
    <t>La Paz</t>
  </si>
  <si>
    <t>0423-079119/2026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</si>
  <si>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RAMÓN RUFINO FUNES</t>
    </r>
  </si>
  <si>
    <t>(3544) 44-0352</t>
  </si>
  <si>
    <t>secgoblapaz@gmail.com</t>
  </si>
  <si>
    <t xml:space="preserve"> 08-07-2026  Se solicita al arq. la Present. de toda la doc. corregida completa s/ intructivo (Como iniciar el tram.)  y Se resaltan completar detalles en esta present. ( Pto 2 que lleve ademas las firmas y sellos del tesorero e intend. +   en Ptol 3 En la declar. Jurada si es el domic. real esquina sacar el S/N si no colocar las georef del mismo + en la Memoria Pto 3 plazo colocar s/ instruc. )                                                                                                                  30/6/2026: Expte. PASA A LEGALES 
29/6/2026: Documentaciòn en orden para anexar al Expte. y dar curso.  /// 23-06-2026 - Completo toda la doc. ( se recibe detalle de baden)                                                                                                                          22-06-2026  - Solo falta detalle de baden se lo pedimos y le enviamos modelo al arq. Adrian  RTA.: Enviado                                                                                                              19/6/26:  Se solicita al arq. que presenta la documentaciòn a la mayor brevedad. 12-06-2026 -- Se solicita  al arq. Adrian actualiz. correcc.    -RTAS.:                                                                                                                11-06-2026  TEC.: ( solo falta det. baden ancho + paquete estruct. de calz + Geo ref. en Pl.gral)                                                                                  04-06-2026 -  Se  tilda al Pto. Nª 4 (para que se modifique la unidad del cordon cun. a ml en el CM)                                                                                                                                                                  EL 28/04/26 SE LE ENVÍA LOS REQUISITOS, VA A ENVIAR DOCUMENTACIÓN           </t>
  </si>
  <si>
    <t>0423-079111/2026</t>
  </si>
  <si>
    <t>MAYCO SORIA</t>
  </si>
  <si>
    <t>(3549) 44-0455</t>
  </si>
  <si>
    <t>maycosoria19@gmail.com</t>
  </si>
  <si>
    <t>18/6/26: Se envìa Instructivo de documentaciòn legal y tècnica a presentar por M-C. EL 29/04/26 SE LE ENVÍA LOS REQUISITOS, VA A ENVIAR DOCUMENTACIÓN
Completó el punto 4. Se le envió el 29/04/26 los restantes items para completar Expte.</t>
  </si>
  <si>
    <t>0423-079096/2026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</si>
  <si>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OSVALDO ESTRADA</t>
    </r>
  </si>
  <si>
    <t>(3583) 43-0074</t>
  </si>
  <si>
    <t>rojobufa@gmail.com</t>
  </si>
  <si>
    <t xml:space="preserve">03-07-2026  Completar:                                                                                                                              - Pto. 3  en Declarac. Jurada y....                                                                                                                                                      Se deberà colocar las Geo Referenc. en los domicilios que figuren como (calle Publica sin Numero y tambien en los de Zona Rural)                                                                                                                                                                                                                              - En la Memoria pto. 3 colocar PLAZO de OBRA (Ver instruct.)                                                                                                                              -En ambas PLANIM. Generales colocar (Geo Referenc. y  Medidas generales Largo y ancho de las calles del proyecto).                                                                                                - Presentar DETALLE  Perfil Transversal de Calzada) Ver instructivo.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30/6/2026: Se solicito por email envien imagen de DNI y CBU con mas definicion. el resto de la documentación esta completa.
19-06-2026-  Se solicita al arq. Buffa ( 1CBU Y2 DNI borrosos + 3Sobre las Planim. Gral coloque las Geo Refer de los 3 sectores de obra + 4 faltan Perfil transv de calzada )                                                                                12-06-2026 Se pidio al arq. R.Buffa estos faltantes + Georef. en pl. gral. --RTA.:                                         11-06-2026  de esta correc. solo faltan en TECNICA (agregar cortes transv. de calz. + detalle de paquete estr. de calz + detalles de cordones cun y badenes lo demas correcto) + en LEG ( en Nota contad pto 5 cambiar el plazo a 180 dias)                                                                                   -22-06-2026                                                                                                                                       - 04-06-2026 -   Deben completar (Pto 4- graficos  Detalles de Perfiles transv. de calzada + detalle graf. de cordon cuneta + secc transv. de de vaden + Pto. Nª 9 Acta de proclamac cantidad de votos?..Preguntar a Natalia)                                                                                                            Ya ajustó los montos… Pasó $236.529.986,60 y debe ser de $210.000.000 - Debe cambiar Nota Inicial, dice plazo obra 365 días y debe decir 180 días
El 29/05/26 ingresa nva. Nota digi 0697832111-126 (La parte técnica ya está ok - Pero falta cambiar: Plazo de Obra, en Nota inicial) YA LO CAMBIÓ Y ENVIÓ 29/5/26 
El 26/05/26 se recibe nueva documentación. ¡Se excede del monto estipulado! Debe calcular 
ENVIÓ DOCUMENTACIÓN PARA SER ANALIZADA. El 12/5/26 se envía correcciones técnicas y documentación gráfica y planillas modelo, para realizar nueva presentación. </t>
  </si>
  <si>
    <t>La Batea</t>
  </si>
  <si>
    <t>0423-079110/026</t>
  </si>
  <si>
    <t>IVÁN DENIS FARÍAS</t>
  </si>
  <si>
    <t>(3549) 46-5986</t>
  </si>
  <si>
    <t>fariasivandenis@gmail.com</t>
  </si>
  <si>
    <t>A  INICIAR en DGV</t>
  </si>
  <si>
    <r>
      <rPr>
        <rFont val="Calibri"/>
        <color theme="1"/>
        <sz val="10.0"/>
      </rPr>
      <t xml:space="preserve">26/6/26: Silvia informa que la localidad </t>
    </r>
    <r>
      <rPr>
        <rFont val="Calibri"/>
        <b/>
        <color rgb="FFFF0000"/>
        <sz val="10.0"/>
      </rPr>
      <t xml:space="preserve">NO quiere adherir al Convenio, NO CONTINUAR EL TRÀMITE. </t>
    </r>
    <r>
      <rPr>
        <rFont val="Calibri"/>
        <color theme="1"/>
        <sz val="10.0"/>
      </rPr>
      <t>24/6/26:Comunicación con el pres. comunal. Se envía Instructivo de la documentación legal y técnica requerida. El 8/5/26 se le envía documentación modelo para participar en el Programa. Presentó decumentación que está siendo estudiada.</t>
    </r>
  </si>
  <si>
    <t>Tuclame</t>
  </si>
  <si>
    <t>0423-079113/2026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</si>
  <si>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GRACIELA DEL VALLE GONZÁLEZ</t>
    </r>
  </si>
  <si>
    <t>(3549) 53-7628</t>
  </si>
  <si>
    <t>gracieladelvallegonzalez20@gmail.com</t>
  </si>
  <si>
    <t xml:space="preserve">     </t>
  </si>
  <si>
    <t>COMPLETÓ documentación. Subió a Jurídico Con V°B°. EN LA PRIVADA DESDE 19/05/26
ENVIÓ LA DOCUMENTACIÓN. ESTÁS COMPLETA, SÓLO DEBE CORREGIR CRONOGRAMA DE INVERSIONES. COMPLETO. CON V°B° DE TÉCNICA</t>
  </si>
  <si>
    <t>Colonia Italiana</t>
  </si>
  <si>
    <t>0423-079102/2026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</si>
  <si>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ALEJANDRA SOLEDAD ITA</t>
    </r>
  </si>
  <si>
    <t>(3468) 50-1628</t>
  </si>
  <si>
    <t>alejandraita26@hotmail.com</t>
  </si>
  <si>
    <t>30/6/2026: Expte. PASA A LEGALES 
29/6/2026: Documentaciòn en orden para anexar al Expte. y dar curso. 
29/6/2026: Documentaciòn en orden para anexar al Expte. y dar curso. 
19/6/26: Deben completar y corregir.
18/06/2026 enviaron memoria y doc tecnica corregida segun obervaciones. 
P- 17-06-2026  Se envìan correg/completar: ( firma y sello del prof. en cada hoja grafic.+ falta  perfil transversal de calzada aunque no tenga paq. estr. determinando mat. de relleno)  + pto.6 no se enviò imagen, del CBU el enviado tiene imagen parcial cortada)                                                                                                                                                                     P- 11-06-2026 TEC.:( Faltan Memoria + Planim. con cotas + todos los detalles cortes + Cronogr. de Avances en 6 mese + todo sellado y firm x profes.)              
11/6/26: Se solicita nuevamente la documentaciòn tècnica faltante. La arq. completará.  P- 08-06-2026  - Pto. Nª 2 Falta Sello y firma del Tesorero o esta borroza Secr. tesor.  + Pto. Nª 4 ( Faltan cotas grales de cada manz. en la planialtim. + cortes transv. + detalles + Planilla de avances cronograma de obra + Ubica y Memoria)                                          
El 30/04/26 vino la intendente Alejandra Ita a consultar por el Programa. Pregunta por el descuento por copa posterior.</t>
  </si>
  <si>
    <t>Los Hornillos</t>
  </si>
  <si>
    <t>0423-079117/2026</t>
  </si>
  <si>
    <t xml:space="preserve">CAROLINA CABALLERO </t>
  </si>
  <si>
    <t>(3544) 41-0108</t>
  </si>
  <si>
    <t xml:space="preserve">Arq. Adriàn Heredia (3544) 434500                                    Noelia Del Aguila (3544) 40-6139    </t>
  </si>
  <si>
    <r>
      <rPr>
        <rFont val="Calibri"/>
        <b/>
        <color theme="1"/>
        <sz val="10.0"/>
      </rPr>
      <t>8/6/26 PASA DE AREA TECNICA A LEGALES</t>
    </r>
    <r>
      <rPr>
        <rFont val="Calibri"/>
        <color theme="1"/>
        <sz val="10.0"/>
      </rPr>
      <t xml:space="preserve"> // P- 04-06-2026 -  Se  tilda al Pto. Nª 4 (para que se modifique la unidad del cordon cun. a ml en el Comp Metrico)                                                                                                                                                                  EL 28/04/26 SE LE ENVÍA LOS REQUISITOS, VA A ENVIAR DOCUMENTACIÓNP-                                                                                                                         3/6/2026 Se envió documentacion completa digital por email y lo recibiò Jurídica.                                            EN CONDICIONES. EN LA PRIVADA DESDE 28/05/26  
El 26/05/2026 se envía toda la Documentación completa con las correcciones ya corregidas por parte de la Comuna. 
El 26/5/26 se envía a Jurídico todo completo 
El 20/05/26 se aprueba la parte técnica, sube a jurídico. 
El 7/5/26 se envía escaneo de docum. Técnica para corregir, también se envía modelo de avance de obra por 6 meses. El 7/5/26 se solicitó corregir el punto 4 (doc. técnica) y se solicita cambio y corrección de Nota inicial. 
Presentó el 30/04/26 toda la documentación. El cómputo y presupuesto se pasa en $240.991-Se pide que se corrija. </t>
    </r>
  </si>
  <si>
    <t>0423-079133/2026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</si>
  <si>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FRANCISCO FACUNDO ISER</t>
    </r>
  </si>
  <si>
    <t>(3472) 63-7614</t>
  </si>
  <si>
    <r>
      <rPr>
        <rFont val="Calibri"/>
        <color theme="1"/>
        <sz val="10.0"/>
      </rPr>
      <t xml:space="preserve">Completó documentación y se elevó a jurídica para su estudio. </t>
    </r>
    <r>
      <rPr>
        <rFont val="Calibri"/>
        <color theme="1"/>
        <sz val="10.0"/>
      </rPr>
      <t>COMPLETO. CON V°B° DE TÉCNICA.</t>
    </r>
  </si>
  <si>
    <t>Rosales</t>
  </si>
  <si>
    <t>0423-079114/2026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</si>
  <si>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ARIEL GUSTAVO PANICHELLI</t>
    </r>
  </si>
  <si>
    <t>(3385) 43-0090</t>
  </si>
  <si>
    <t>munirosales.cba@gmail.com</t>
  </si>
  <si>
    <t>Perezrodrigomiguel@gmail.com</t>
  </si>
  <si>
    <t>07/7/2026: Envìan contacto y correo electrònico del ing. a cargo de la obra.
 24/6/26: Se enviò Instructivo .El 8/05/26 se envió documentación modelo para participar. El 11/ envió documentación a analizar</t>
  </si>
  <si>
    <t>La Cesira</t>
  </si>
  <si>
    <t>0423-079809/2026</t>
  </si>
  <si>
    <t>GUILLERMO LEGORBURU</t>
  </si>
  <si>
    <t>(3382) 672961</t>
  </si>
  <si>
    <t>rossettomaxi@gmail.com</t>
  </si>
  <si>
    <r>
      <rPr>
        <rFont val="Calibri"/>
        <b/>
        <color theme="1"/>
        <sz val="10.0"/>
      </rPr>
      <t xml:space="preserve">8/6/26 PASA DE AREA TECNICA A LEGALES </t>
    </r>
    <r>
      <rPr>
        <rFont val="Calibri"/>
        <color theme="1"/>
        <sz val="10.0"/>
      </rPr>
      <t>//3/6/2026 Se envió documentacion completa digital por email y lo recibiò Jurídica.                                    SUBIDA EL 29-05-26
28/5/26, debe cambiar la nota de pedido a la contaduría Gral. y no se ve firma en la declaracion jurada. 
El 27/05/26 presentó toda la documentación (completa la parte técnica). Debe cambiar la Nota de inicio, corregir Monto y Plazo de Obra. LISTO, Pero ahora, 
El 27/05/2026 el municipio presentó el total de la información, se solicita que cambie la Nota inicial, con el momto de obra y el plazo de la misma.. EN CONDICIONES 
Se presentó nuevo Expte. con nuevo monto asignado - Pasó a $200.000.000.</t>
    </r>
  </si>
  <si>
    <t>Las Perdices</t>
  </si>
  <si>
    <t>Tercero Arriba</t>
  </si>
  <si>
    <t>PEDIR BETI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</si>
  <si>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SERGIO AVALIS</t>
    </r>
  </si>
  <si>
    <t>(3534) 234615</t>
  </si>
  <si>
    <t>25-6-26: Comunicación con int. Se espera autirización Ministerio Gobierno. El 08/05/26 se realia comunicación telefónica con el intendente. Va a enviar su documentación. SIN EXPEDIENTE.</t>
  </si>
  <si>
    <t>Colonia Barge</t>
  </si>
  <si>
    <t>0423-079784/2026</t>
  </si>
  <si>
    <t>SERGIO RODRIGUEZ</t>
  </si>
  <si>
    <t>(3468) 569782</t>
  </si>
  <si>
    <t>Mnina@ccbarge.gob.ar ///  nvrodriguez@ccbarge.gob.ar</t>
  </si>
  <si>
    <t>emanuelmartinatto@gmail.com</t>
  </si>
  <si>
    <t>24/6/26: Comunicaciòn con la comuna. Se enviò Instructivo.  El 11/5/26 se logra comunicación con municipalidad. Se pasa por whatsapp la documentación modelo</t>
  </si>
  <si>
    <t>Saira</t>
  </si>
  <si>
    <t>0423-079781/2026</t>
  </si>
  <si>
    <t>EDGAR JORDÁN</t>
  </si>
  <si>
    <t>(3472) 502676</t>
  </si>
  <si>
    <t>nvrodriguez@ccbarge.gob.ar</t>
  </si>
  <si>
    <t>22/6/26: Se envìa Instructivo.  12/6/26: Se envìa Modelos de doc. tecnica y se avisa que en breve se enviarà el instructivo total  del Programa. 10/6/26: Comunicaciòn con municipio para enviar Instructivo de Documentaciòn A presentar. El 11/5/26 se logra comunicación con municipalidad. Se pasa por whatsapp la documentación modelo. Envió documentación pero pide para PAVIMENTO</t>
  </si>
  <si>
    <t>Camilo Aldao</t>
  </si>
  <si>
    <t>0423-079782/2026</t>
  </si>
  <si>
    <t>MARIO DOMINGO BACELLI</t>
  </si>
  <si>
    <t>(3468) 644516</t>
  </si>
  <si>
    <t>munca@nodosud.com.ar    munca@futurnet.com.ar       mariobacelli@hotmail.com</t>
  </si>
  <si>
    <t>ARQ. GISELA MIRIANI (3468)51-6292</t>
  </si>
  <si>
    <t xml:space="preserve">13-07-2026  Se recibio doc. completa ordenada en 3 PDF                                                                                                                      13-07-2026  Avisa la arqta. Gise, que enviò toda la doc. por mail. NO llego, se dio aviso para su re envio                                                                      08-07-2026  Se solicita al arq. la Present. de toda la doc. corregida completa s/ intructivo (Como iniciar el tram.)                                                                                                                                                                                       07-07-2026  Se recibe doc. para completar pto 9                                03/7/2026: Se solicita completen el acta de aceptación del cargo del intendente.
30/6/2026: Expte. PASA A LEGALES 
29/6/2026: Documentaciòn en orden para anexar al Expte. y dar curso. 
- 05-06-2026 - Pto. 4 ( Falta cronograma de avance de obra + En planimetria gral. colocar las Geo referencias de los cuatro sectores de obra)                                                                                                                            Se solicitan nuevos cambios. COMPLETÓ DOCUMENTACIÓN 01/06/26 - Se pasan las actuaciones a arq. Carlos Viana para enviar a Jurídico
Se envían el 26/05/26, nuevas correcciones, se recibe nueva documentación técnica el 29/05/26. 
07-07-2026  Se recibe doc. Pto. 9 p/ completar exp.                                                                                                                                El 26/05/26 se envió correcciones a la parte técnica. Documentación Corregida. Sube a Jurídico
El 19/05/26 se recibe documentación corregida para su análisis. 
El 11/5/26 se logra comunicación con municipalidad. Se pasa por whatsapp la documentación modelo. </t>
  </si>
  <si>
    <t>Arias</t>
  </si>
  <si>
    <t>0423-079785/2026</t>
  </si>
  <si>
    <t>NÉSTOR DEFAGOT DIAZ</t>
  </si>
  <si>
    <t>(3468) 512149</t>
  </si>
  <si>
    <t>njdefagot@hotmail.com.ar</t>
  </si>
  <si>
    <t>ing.jmaldonado@gmail.com</t>
  </si>
  <si>
    <t>08/7/2026: Se enviaron observaciones (Email) al municipio y profesional responsable para corregir..
25-06-2026 -  Se enviaron imagenes de las correcc. y re envio del instructivo  p/ whats al ing.                     24-06-2026 - Se enviaron correcciones por whats al ing.                                                                                23/6/2026:  la nota de pedido tiene un valor mayor cotizado, 4to parrafo del considerando y art, 4,debe decir:seis meses (6) a partir de efectivizado el primer desembolso, nota a contaduria completar, falta DDJJ y acta de aceptacion del cargo, 22/6/26: Comunicaciòn con Int. y  profesional para corregir documentaciòn conforme al instructivo. 19/6/26: Comunicación con Municipio. Docuemtación En Evaluación. 4/6/26:Presentan documentaciòn por Cidi- En evaluaciòn tècnica - 
El 11/5/26 se logra comunicación con municipalidad. Se pasa por whatsapp la documentación modelo</t>
  </si>
  <si>
    <t>General Baldissera</t>
  </si>
  <si>
    <t>0423-079783/2026</t>
  </si>
  <si>
    <t>LUCAS PERASSI</t>
  </si>
  <si>
    <t>(3468) 512117</t>
  </si>
  <si>
    <t xml:space="preserve">munigbaldissera@gmail.com                         </t>
  </si>
  <si>
    <t xml:space="preserve"> ebigi@hotmail.com</t>
  </si>
  <si>
    <t>24/6/26:  Se envía Instructivo de documentación legal y técnica requerida. 22/6/26: Se solicitan correos electrònicos del municipio y profesional a cargo. El 11/5/26 se logra comunicación con municipalidad. Se pasa por whatsapp la documentación modelo</t>
  </si>
  <si>
    <t>Matorrales</t>
  </si>
  <si>
    <t>Río Segundo</t>
  </si>
  <si>
    <t>0423-079944/2026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</si>
  <si>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FRANCO CINGOLANI</t>
    </r>
  </si>
  <si>
    <t>(3573) 513735</t>
  </si>
  <si>
    <t>Munimatorrales@hotmail.com</t>
  </si>
  <si>
    <t>germangarino@gmail.com</t>
  </si>
  <si>
    <t>07/7/2026: Se solicita verifiquen el correo de la municipalidad porque NO se puede entregar. El municipio dice que enviaron con error. Se envìa nuevamente el Instructivo al correo correcto.
01/7/2026: Se envìa Instructivo de la documentaciòn legal y tècnica requerida por el Programa.
22/6/26: Comunicaciòn  con el municipio para enviar Instructivo. El 26/05/2026 se envía WhatsApp a intendente. El 27/05/2026 se logra la comunicación telefónica.</t>
  </si>
  <si>
    <t>Embalse</t>
  </si>
  <si>
    <t>Calamuchita</t>
  </si>
  <si>
    <t>0423-079932/2026</t>
  </si>
  <si>
    <t>MARIO RIVAROLA</t>
  </si>
  <si>
    <t>(3571) 526135</t>
  </si>
  <si>
    <t xml:space="preserve">crayanes@gmail.com  </t>
  </si>
  <si>
    <t>jjorgeaquiroga@gmail.com</t>
  </si>
  <si>
    <t>13/7/2026: Se solicita contacto de contador municipio (a cargo del tràmite). 
01/7/2026: Se enviaron al municipio y profesional a cargo, las Observaciones A corregir.
01/7/2026: Comunicación con el municipio, presentan documentaciòn A evaluar. 
29/6/2026: Comunicaciòn con la Contadora del municipio. Se solicitò la documentaciòn y dijeron que Hoy presentaban. Se aguarda la misma.
19/6/26: Se envía Instructivo de documentación legal y técnica requerida.  11/6/26: Se envìa nuevamente el instructivo Area Tècnica para que corrijan documentaciòn presentada. 10/6/26: Comunicaciòn con municipio para enviar Instructivo de Documentaciòn A presentar.  P-  Corregir a: $ 200.000.000-  en todo lugar donde se denomine el Monto de Obra.  + Agregar (cotas) a la Planimetria                                                                                                                   
                                                            El 26/05/2026 nos comunicamos telefónicamente con intendente. Se le envía WhatsApp documentación modelo. El 27/05/2026 se recibe documentación de parte de la Municipalidad. El 28/05/26 se envían las correcciones de la parte técnica</t>
  </si>
  <si>
    <t>Las Varillas</t>
  </si>
  <si>
    <t>San Justo</t>
  </si>
  <si>
    <t>0423-079946/2026</t>
  </si>
  <si>
    <t>MAURO DANIELE</t>
  </si>
  <si>
    <t>(3573) 414656</t>
  </si>
  <si>
    <t>maurodanielelv@gmail.com</t>
  </si>
  <si>
    <t>19/6/26: Se envía Instructivo de documentación legal y técnica requerida. El 26/05/2026 se comunica con el intendente, y se le envía documentación del Programa. El 28/05/2026 se pasa el monto asignado de $400.000.000</t>
  </si>
  <si>
    <t>Calchín</t>
  </si>
  <si>
    <t>0423-079943/2026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</si>
  <si>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CLAUDIO CAON</t>
    </r>
  </si>
  <si>
    <t>(3573) 498726</t>
  </si>
  <si>
    <t>sg_municalchin@hotmail.com</t>
  </si>
  <si>
    <t>19/6/26: El municipio presenta documentación a corregir y completar. Se envía INSTRUCTIVO de la documentación legal y técnica requerida.El 26/05/2026 se logra la comunicación telefónica con el Intendente. Se le envía documentación modelo por WhatsApp</t>
  </si>
  <si>
    <t>Villa Parque Santa Ana</t>
  </si>
  <si>
    <t>Santa María</t>
  </si>
  <si>
    <t>0423-079945/2026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</si>
  <si>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SERGIO CERDA</t>
    </r>
  </si>
  <si>
    <t>(351) 2045478</t>
  </si>
  <si>
    <t>19/6/26: Se envía Instructivo de documentación legal y técnica requerida.  12/6/26: Comunicaciòn con Sec. Gobierno para dar inicio al tràmite. El 26/05/2026 se logra la comunicación telefónica con el Intendente. Se le envía documentación modelo por WhatsApp</t>
  </si>
  <si>
    <t>Pozo del Molle</t>
  </si>
  <si>
    <t>0423-079948/2026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</si>
  <si>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FERNANDO RUIZ DÍAZ</t>
    </r>
  </si>
  <si>
    <t>(3534) 227342</t>
  </si>
  <si>
    <t>Intendencia@pozodelmolle.gob.ar</t>
  </si>
  <si>
    <t>01/7/2026: Se envìa Instructivo de la documentaciòn legal y tècnica requerida.
01/7/2026: Comunicación con el municipio solicitando Correos Electrónicos para enviar Instructivo. 
El 27/05/2026 se logra la comunicación telefónica con el Intendente. Se le envía documentación modelo por WhatsApp</t>
  </si>
  <si>
    <t>Capilla del Carmen</t>
  </si>
  <si>
    <t>0423-079942/2026</t>
  </si>
  <si>
    <t>DANIEL TURINA</t>
  </si>
  <si>
    <t>(3573) 402343</t>
  </si>
  <si>
    <t>municapilladelcarmen@hotmail.com</t>
  </si>
  <si>
    <t>3573-465684   lpleita@hotmail.com</t>
  </si>
  <si>
    <t>30/6/2026: Se enviaron observaciones A Corregir por el Municipio / Se envió nuevamente el Instructivo al arq. a cargo.
29/6/2026: El Municipio presenta Documentaciòn a corregir. Se espera Informe de legales para enviar Observaciones al municipio. 
18/6/26: Se envìa Instructivo de documentaciòn legal y tècnica a presentar por M-C.  El 27/05/2026 se logra la comunicación telefónica con el Intendente. Se le envía documentación modelo por WhatsApp</t>
  </si>
  <si>
    <t>Sacanta</t>
  </si>
  <si>
    <t>0423-080124/2026</t>
  </si>
  <si>
    <t>Mecchia Jose Luis</t>
  </si>
  <si>
    <t>Intendente@sacanta.gob.ar</t>
  </si>
  <si>
    <t>Secretariodegobierno@sacanta.gob.ar</t>
  </si>
  <si>
    <t>29/6/2026: Se envía nuevamente al municipio (Email) el Instructivo de la documentación legal y técnica requerida.
24/6/26: El Intendente informa que el monto autorizado es de $100 mill. y no $70 como dice la autorización previa. Ya hizo la gestión para que corrijan.  /// Se envía Instructivo de la documentación legal y técnica a presentar.....23/6/26: Comunicaciòn con municipio solicitando Correo electrònico. 5/6/26: Ingresa Nota Ministerio Gobierno autorizando financiamiento.</t>
  </si>
  <si>
    <t>0423-080115/2026</t>
  </si>
  <si>
    <t xml:space="preserve">inesramello@losreartes.gob.ar </t>
  </si>
  <si>
    <t>Ing. Martin Gallo 351-6645348     Mail: martingallo2012@gmail.com</t>
  </si>
  <si>
    <t>03/7/2026: Presentan documentación en evaluaciòn.
22/6/26:Comunicaciòn con la pres. comunal. Se envìa Instructivo de la documentaciòn legal y tècnica  requerida al munic. y al profesional. . 5/6/26: Ingresa Nota Ministerio Gobierno autorizando financiamiento.</t>
  </si>
  <si>
    <t>Laboulaye</t>
  </si>
  <si>
    <t>0423-080119/2026</t>
  </si>
  <si>
    <t>sec_opublicas@munilaboulaye.gov.ar</t>
  </si>
  <si>
    <t>23/6/26: Se solicitan correos electrònicos de municipio y profesional. Se Envìa INSTRUCTIVO de documentaciòn legal y tècnica requerida. 5/6/26: Ingresa Nota Ministerio Gobierno autorizando financiamiento.</t>
  </si>
  <si>
    <t>Santa Eufemia</t>
  </si>
  <si>
    <t>Juárez Celman</t>
  </si>
  <si>
    <t>0423-080118/2026</t>
  </si>
  <si>
    <t>Gisela Barrionuevo</t>
  </si>
  <si>
    <t>municipalidadsantaeufemia@gmail.com</t>
  </si>
  <si>
    <t>muni-staeufemia@hotmail.com.a</t>
  </si>
  <si>
    <t>En Evaluaciòn Tècnica</t>
  </si>
  <si>
    <t>08/7/2026: Presentan documentaciòn En evaluaciòn àrea tècnica y legales.
24/6/26 Comunicaciòn con municipio y se envìa Instructivo  de documentaciòn legal  tècnica requerida. 5/6/26: Ingresa Nota Ministerio Gobierno autorizando financiamiento.</t>
  </si>
  <si>
    <t>0423-080117/2026</t>
  </si>
  <si>
    <t>Gaston Bravo</t>
  </si>
  <si>
    <t>arquitecturaolaeta@gmail.com</t>
  </si>
  <si>
    <t>13/7/2026: Comunicaciòn con la arq. a cargo. Se hacen observaciones sobre doc. tècnica a corregir. 
08/7/2026: Se envìa al municipio (por Email) las correcciones que deben realizar.
03/7/2026: Presentan documentaciòn en Evaluaciòn.
19/6/26: El municipio presenta documentación a corregir y completar. Se envía INSTRUCTIVO de la documentación legar y técnica requerida. 5/6/26: Ingresa Nota Ministerio Gobierno autorizando financiamiento.</t>
  </si>
  <si>
    <t>Las Varas</t>
  </si>
  <si>
    <t>0423-080123/2026</t>
  </si>
  <si>
    <t>Fabian Macias</t>
  </si>
  <si>
    <t xml:space="preserve">municipalidaddelasvarasinterno@gmail.com </t>
  </si>
  <si>
    <t>carolinasirerol@gmail.com</t>
  </si>
  <si>
    <t>07/7/2026: Se envìa Instructivo y listado de documentaciòn requerida por el Programa.
01/7/2026: Se reitera la solicitud de Correos electrónicos y contactos. Se envìa Instructivo.  24/6/26:Comunicación con el municipio. Hoy es feriado en las Varas (Fiestas Patronales) Ya nos enviaran datos de Correos.  5/6/26: Ingresa Nota Ministerio Gobierno autorizando financiamiento.
24/6/26:Comunicación con el municipio. Hoy es feriado en las Varas (Fiestas Patronales) Ya nos enviaran datos de Correos.  5/6/26: Ingresa Nota Ministerio Gobierno autorizando financiamiento.</t>
  </si>
  <si>
    <t>Cruz Alta</t>
  </si>
  <si>
    <t>Agustin Gonzalez</t>
  </si>
  <si>
    <t>secretariadegobieno@cruzalta.gob.ar</t>
  </si>
  <si>
    <t>24/6/26: Se contacta al municipio se envía el  Instructivo de documentación legal y técnica requerida. 17/3/26: Ingresa Nota Ministerio Gobierno autorizando financiamiento.</t>
  </si>
  <si>
    <t>Charras</t>
  </si>
  <si>
    <t>0423-080116/2026</t>
  </si>
  <si>
    <t>Emiliano Rattazzi</t>
  </si>
  <si>
    <t>intendente@municipalidadcharras.gob.ar</t>
  </si>
  <si>
    <t>03/7/2026: Presentan documentaciòn nuevamente. 
01/7/2026: Se envìan al municipio /profesional las Observaciones a corregir. 
30-06-2026  Avisa el int. que envìo doc. por mail                                                                                                        18/6/26: Se envìa Instructivo de documentaciòn legal y tècnica a presentar por M-C. P -17-06-2026  Se corrige envio y se envia por whats al Intend. Emiliano   p/ su completam. -RTAS.:                                                                                                                                                                               12/6/26: Comunicaciòn con Intendente para dar inicio al tràmite. 5/6/26: Ingresa Nota Ministerio Gobierno autorizando financiamiento.</t>
  </si>
  <si>
    <t>El Fortín</t>
  </si>
  <si>
    <t>0423-080122/2026</t>
  </si>
  <si>
    <t>Carlosentesanomap@gmail.com</t>
  </si>
  <si>
    <t>Ignaciocesarbianchini@gmail.com</t>
  </si>
  <si>
    <t>29/6/2026: Comunicación con el intendenten. Se envía el Instructivo al arquitecto a cargo
18/6/26: Se envìa Instructivo de documentaciòn legal y tècnica a presentar por M-C.  8/6/26: Se envía Instructivo  (Doc. Requerida) a la localidad. 5/6/26: Ingresa Nota Ministerio Gobierno</t>
  </si>
  <si>
    <t>Alicia</t>
  </si>
  <si>
    <t>0423-080120/2026</t>
  </si>
  <si>
    <t>Bianchini Agustin</t>
  </si>
  <si>
    <t>obraspublicasalicia@gmail.com</t>
  </si>
  <si>
    <t>07/7/2026: Comunicaciòn con municipio. Mañana presentaràn documentaciòn para revisiòn legal y tècnica.
26-06-2026 --Se envian ahora tambien por Whatss el instruct.                                                                         25-6-26: Presentan documentaciòn incompleta.  Se envían las observaciones .Responden que a la brevedad completan. 18/6/26: Se envìa Instructivo de documentaciòn legal y tècnica a presentar por M-C.  5/6/26: Ingresa Nota Ministerio Gobierno autorizando financiamiento.</t>
  </si>
  <si>
    <t>El Arañado</t>
  </si>
  <si>
    <t>0423-080121/2026</t>
  </si>
  <si>
    <t>Gudiño Jorge Alino</t>
  </si>
  <si>
    <t>Jorgegudino276@gmail.com</t>
  </si>
  <si>
    <t>ab.alcantaro@gmail.com</t>
  </si>
  <si>
    <t>24/6/26:Comunicación con el municipio. Se envía Instructivo de la documentación legal y técnica requerida. 5/6/26: Ingresa Nota Ministerio Gobierno autorizando financiamiento.</t>
  </si>
  <si>
    <t>Villa del Prado</t>
  </si>
  <si>
    <t>0423-080125/2026</t>
  </si>
  <si>
    <t>Ludueña Jose Eduardo</t>
  </si>
  <si>
    <t>3547 52-5021</t>
  </si>
  <si>
    <t>obrasprivadasvilladelprado@gmail.com</t>
  </si>
  <si>
    <t>22/6/26: Se envìa Instructivo de la documentaciòn legal y tècnica requerida. 19/6/25/6/26: Comunicaciòn con el int. Se solicita correo electrònico para enviar instructivo. 5/6/26: Ingresa Nota Ministerio Gobierno autorizando financiamiento.</t>
  </si>
  <si>
    <t>Deán Funes</t>
  </si>
  <si>
    <t>melpetete@gmail.com</t>
  </si>
  <si>
    <t>29/6/2026: El secretario de la Int. envía número de nota presentada. Nos comunicamos informando que para dar inicio al trámite debemos tener la Autorización del Ministerio de Gobierno.
10/6/26: El Municipio se comunica con Area Tècnica. Localidad Sin Autorizaciòn del Ministerio de Gobierno.</t>
  </si>
  <si>
    <t>La Laguna</t>
  </si>
  <si>
    <t>07/7/2026: El intendente se comunicò para solicitar informaciòn respecto si tiene financiamiento autorizado para el programa.</t>
  </si>
  <si>
    <t>☝🏻 AGREGAR NUEVAS LOCALIDADES ARRIBA DE ESTA FILA ☝🏻</t>
  </si>
  <si>
    <t>l</t>
  </si>
  <si>
    <t>Presupuesto destinado por Localidad</t>
  </si>
  <si>
    <t>Donde esta radicado el expediente por áreas dentro de la repartición</t>
  </si>
  <si>
    <t>Económico DGV</t>
  </si>
  <si>
    <t>Privada DGV</t>
  </si>
  <si>
    <t>Proyecto, Planos, Còmputo y Presupuesto - Estado</t>
  </si>
  <si>
    <t>G</t>
  </si>
  <si>
    <t>LOCALIDAD</t>
  </si>
  <si>
    <t>CENSO 2010</t>
  </si>
  <si>
    <t>2019 - 2023</t>
  </si>
  <si>
    <t>TIPO</t>
  </si>
  <si>
    <t>Frente</t>
  </si>
  <si>
    <t>TELEFONO</t>
  </si>
  <si>
    <t>CORREO</t>
  </si>
  <si>
    <t>REELECCION</t>
  </si>
  <si>
    <t>2023-2027</t>
  </si>
  <si>
    <t>MAIL</t>
  </si>
  <si>
    <t>GENERO</t>
  </si>
  <si>
    <t>PARTIDO</t>
  </si>
  <si>
    <t>AMBOY</t>
  </si>
  <si>
    <t>DANIEL ALVAREZ</t>
  </si>
  <si>
    <t>HACEMOS POR CBA</t>
  </si>
  <si>
    <t>3546526127 / 03546-15526129(comuna)</t>
  </si>
  <si>
    <t>comunadeamboy@hotmail.com/danielalvarezamboy@gmail.com</t>
  </si>
  <si>
    <t>Maria Soledad Sanchez</t>
  </si>
  <si>
    <t>3546 515294</t>
  </si>
  <si>
    <t>F</t>
  </si>
  <si>
    <t>Union Vecinal Federal/HUXCBA</t>
  </si>
  <si>
    <t>CAÑADA DEL SAUCE</t>
  </si>
  <si>
    <t>MAURICIO ACOSTA</t>
  </si>
  <si>
    <t>aleortiz_81@hotmail.com</t>
  </si>
  <si>
    <t>Mauricio Acosta</t>
  </si>
  <si>
    <t>Hacemos Unidos por Córdoba</t>
  </si>
  <si>
    <t>EMBALSE</t>
  </si>
  <si>
    <t>EDUARDO MALDONADO (INTERINO)</t>
  </si>
  <si>
    <t>3571534418/ SECRETARIA 3513266882 Estela</t>
  </si>
  <si>
    <t>doctormaldonado@gmail.com</t>
  </si>
  <si>
    <t>Rivarola Mario</t>
  </si>
  <si>
    <t>LA CRUZ</t>
  </si>
  <si>
    <t>MAURICIO JAIMES</t>
  </si>
  <si>
    <t>CAMBIEMOS-UCR</t>
  </si>
  <si>
    <t>3515577512 / 03546-494017</t>
  </si>
  <si>
    <t>municipalidaddelacruz@hotmail.com/ tsbetyrodriguez@hotmail.com</t>
  </si>
  <si>
    <t>Melica Fabiana Raquel</t>
  </si>
  <si>
    <t>Juntos por el Cambio</t>
  </si>
  <si>
    <t>LA CUMBRECITA</t>
  </si>
  <si>
    <t>DANIEL ARTURO LOPEZ</t>
  </si>
  <si>
    <t>3546410650 / 03546-481051</t>
  </si>
  <si>
    <t>comuna2003@htomail.com</t>
  </si>
  <si>
    <t>Silvana Torres</t>
  </si>
  <si>
    <t>silmatorres@hotmail.com</t>
  </si>
  <si>
    <t>Somos por Cumbecita</t>
  </si>
  <si>
    <t>LAS BAJADAS</t>
  </si>
  <si>
    <t>GABRIELA CAMPILLO</t>
  </si>
  <si>
    <t>labatedaga3@hotmail.com</t>
  </si>
  <si>
    <t>Campilia Gabriela</t>
  </si>
  <si>
    <t>LAS CALERAS</t>
  </si>
  <si>
    <t>NESTOR GONZALEZ</t>
  </si>
  <si>
    <t>VECINAL-HXCBA</t>
  </si>
  <si>
    <t>nestorgonzalez_03@hotmail.com</t>
  </si>
  <si>
    <t>Nestor Gonzalez</t>
  </si>
  <si>
    <t>LOS CONDORES</t>
  </si>
  <si>
    <t>DIEGO BLENGINO</t>
  </si>
  <si>
    <t>diegoblengino@gmail.com/ sole_2535@hotmail.com</t>
  </si>
  <si>
    <t>Mateo Gioda</t>
  </si>
  <si>
    <t>LOS MOLINOS</t>
  </si>
  <si>
    <t>SILVIA MARTINEZ</t>
  </si>
  <si>
    <t>silviabmartinez2015@gmail.com/ comunalosmolinos@hotmail.com</t>
  </si>
  <si>
    <t>Quinteros Jonatan</t>
  </si>
  <si>
    <t>LOS REARTES</t>
  </si>
  <si>
    <t>LUCAS MARTIN SANCHEZ</t>
  </si>
  <si>
    <t>3546439509 / 03546-492084</t>
  </si>
  <si>
    <t>lucasms6@hotmail.com/ belen_santarosa@hotmail.com</t>
  </si>
  <si>
    <t>Maria Ines Ramello</t>
  </si>
  <si>
    <t>3546 65-1510</t>
  </si>
  <si>
    <t>Movimiento de Accion Vecinal</t>
  </si>
  <si>
    <t>LUTTI</t>
  </si>
  <si>
    <t>JUAN ANTONIO JAIMES</t>
  </si>
  <si>
    <t>juanantojaimes54@hotmail.com</t>
  </si>
  <si>
    <t>Cejas Romina Elizabeth</t>
  </si>
  <si>
    <t>CALMAYO</t>
  </si>
  <si>
    <t>LUIS ALBERTO CAMANDONE</t>
  </si>
  <si>
    <t>parquecalmayo@hotmail.com / lcamandone@hotmail.com</t>
  </si>
  <si>
    <t>Delgado Fernando</t>
  </si>
  <si>
    <t>RIO DE LOS SAUCES</t>
  </si>
  <si>
    <t>FABIAN GIGENA</t>
  </si>
  <si>
    <t>3585170382 / 3584855020 PABLO BRINGAS (SEC DE GOB)</t>
  </si>
  <si>
    <t>muniriodelossauces@gmail.com / pablo_bringas@hotmail.com</t>
  </si>
  <si>
    <t>Muñoz Gimena</t>
  </si>
  <si>
    <t>gimarribillaga@yahoo.com.ar</t>
  </si>
  <si>
    <t>SAN AGUSTIN</t>
  </si>
  <si>
    <t>IVAN DARIO ORTEGA</t>
  </si>
  <si>
    <t>3515919051//3547451411</t>
  </si>
  <si>
    <t>ivanortega_77@hotmail.com</t>
  </si>
  <si>
    <t>Calderon Miguel Santiago</t>
  </si>
  <si>
    <t>SAN IGNACIO</t>
  </si>
  <si>
    <t>JORGE ORDOÑEZ</t>
  </si>
  <si>
    <t>3546502111 / 03546-493018</t>
  </si>
  <si>
    <t>comunasanignacio@hotmail.com / jorgeordonez59@hotmail.com</t>
  </si>
  <si>
    <t>Adrian Urbano</t>
  </si>
  <si>
    <t>3546 45-0463</t>
  </si>
  <si>
    <t>Union Vecinal</t>
  </si>
  <si>
    <t>SEGUNDA USINA</t>
  </si>
  <si>
    <t>CEFERINO LOPEZ</t>
  </si>
  <si>
    <t>Rojo Roxana</t>
  </si>
  <si>
    <t>SANTA ROSA DE CALAMUCHITA</t>
  </si>
  <si>
    <t>CLAUDIO HORACIO CHAVERO</t>
  </si>
  <si>
    <t>3546482922 / 03546 - 482328 (muni)</t>
  </si>
  <si>
    <t>secretariaintendente@starosacalamuchita.com.a</t>
  </si>
  <si>
    <t>Eduardo Martin</t>
  </si>
  <si>
    <t>VILLA AMANCAY</t>
  </si>
  <si>
    <t>JULIO CESAR MANTOVANI</t>
  </si>
  <si>
    <t>vivas1@live.com.ar</t>
  </si>
  <si>
    <t>Yohana Rodriguez</t>
  </si>
  <si>
    <t>VILLA CIUDAD PARQUE</t>
  </si>
  <si>
    <t>PABLO JULIAN RIVEROS</t>
  </si>
  <si>
    <t>pablojriveros@gmail.com</t>
  </si>
  <si>
    <t>Diego Ruiz</t>
  </si>
  <si>
    <t>3546 51-3916</t>
  </si>
  <si>
    <t>VILLA DEL DIQUE</t>
  </si>
  <si>
    <t>RICARDO SCOLES</t>
  </si>
  <si>
    <t>mgmarandino@hotmail.com</t>
  </si>
  <si>
    <t>Emiliano Torres</t>
  </si>
  <si>
    <t>Somos Villa del Dique (justicialistas/PRO/radicales)</t>
  </si>
  <si>
    <t>VILLA GENERAL BELGRANO</t>
  </si>
  <si>
    <t>OSCAR SANTARELLI</t>
  </si>
  <si>
    <t>oscarsantarelli@vgb.gob.ar/ cintiabrasca@gmail.com</t>
  </si>
  <si>
    <t>Oscar Santarelli</t>
  </si>
  <si>
    <t>VILLA QUILLINZO</t>
  </si>
  <si>
    <t>DANILO GRAZIANO</t>
  </si>
  <si>
    <t>danilo@villaquillinzo.gob.ar</t>
  </si>
  <si>
    <t>Sebastian Cabral</t>
  </si>
  <si>
    <t>VILLA RUMIPAL</t>
  </si>
  <si>
    <t>GUSTAVO EDUARDO GANTUS</t>
  </si>
  <si>
    <t>FDT-HUPC</t>
  </si>
  <si>
    <t>gegantus@hotmail.com</t>
  </si>
  <si>
    <t>Julio Cesar Gantus</t>
  </si>
  <si>
    <t>VILLA YACANTO</t>
  </si>
  <si>
    <t>OSCAR ALFREDO MUSUMECI</t>
  </si>
  <si>
    <t>oscarmusumeci@hotmail.com</t>
  </si>
  <si>
    <t>Fernando Moisó</t>
  </si>
  <si>
    <t>Capital</t>
  </si>
  <si>
    <t>CÓRDOBA CAPITAL 1</t>
  </si>
  <si>
    <t>MARTIN LLARYORA</t>
  </si>
  <si>
    <t>mllaryora13@gmail.com</t>
  </si>
  <si>
    <t>Passerini Daniel</t>
  </si>
  <si>
    <t>3513 29-6549</t>
  </si>
  <si>
    <t>Colon</t>
  </si>
  <si>
    <t>AGUA DE ORO</t>
  </si>
  <si>
    <t>ORLANDO OSCAR BELLI</t>
  </si>
  <si>
    <t>CAMBIEMOS-MUCORA</t>
  </si>
  <si>
    <t>3516615772 / 03525 49-3071 (muni)</t>
  </si>
  <si>
    <t>belliorlando@yahoo.com/ municipalidad@aguadeoro.gob.ar</t>
  </si>
  <si>
    <t>Miguel Angel Aguirre</t>
  </si>
  <si>
    <t>COLONIA CAROYA</t>
  </si>
  <si>
    <t>GUSTAVO BRANDAN</t>
  </si>
  <si>
    <t>gustavo.brandan@yahoo.com.ar</t>
  </si>
  <si>
    <t>Nanini Paola</t>
  </si>
  <si>
    <t>COLONIA TIROLESA</t>
  </si>
  <si>
    <t>OSCAR LAURET</t>
  </si>
  <si>
    <t>lauretos@gmail.com</t>
  </si>
  <si>
    <t>Juan Panichelli</t>
  </si>
  <si>
    <t>COLONIA VICENTE AGÜERO</t>
  </si>
  <si>
    <t>GUSTAVO GERMAN RIPELONI</t>
  </si>
  <si>
    <t>gustavoripeloni@hotmail.com</t>
  </si>
  <si>
    <t>Nilda Lauret</t>
  </si>
  <si>
    <t>Encuentro Vecinal Córdoba</t>
  </si>
  <si>
    <t>EL MANZANO</t>
  </si>
  <si>
    <t>JOSE MARIA GARZON</t>
  </si>
  <si>
    <t>jmariagarzon@gmail.com</t>
  </si>
  <si>
    <t>Garzon Jose Maria</t>
  </si>
  <si>
    <t>ESTACION GENERAL PAZ</t>
  </si>
  <si>
    <t>BORGOBELLO CARLOS HECTOR</t>
  </si>
  <si>
    <t>carlosborgobello2@hotmail.com</t>
  </si>
  <si>
    <t>Dario Arata</t>
  </si>
  <si>
    <t>ESTACION JUAREZ CELMAN</t>
  </si>
  <si>
    <t>MYRIAN PRUNOTTO</t>
  </si>
  <si>
    <t>myrianprunotto@gmail.com</t>
  </si>
  <si>
    <t>Reschia Fabian</t>
  </si>
  <si>
    <t>3513 10-7108</t>
  </si>
  <si>
    <t>JESUS MARIA</t>
  </si>
  <si>
    <t>LUIS PICAT</t>
  </si>
  <si>
    <t>VECINAL</t>
  </si>
  <si>
    <t>intendencia@jesusmaria.gov.ar/hacienda@jesusmaria.gov.ar</t>
  </si>
  <si>
    <t>Federico Zarate</t>
  </si>
  <si>
    <t xml:space="preserve"> </t>
  </si>
  <si>
    <t>LA CALERA</t>
  </si>
  <si>
    <t>FACUNDO RUFEIL</t>
  </si>
  <si>
    <t>desarrollosociallacalera@gmail.com</t>
  </si>
  <si>
    <t>Fernando Rambaldi</t>
  </si>
  <si>
    <t>LA GRANJA</t>
  </si>
  <si>
    <t>CARLOS AMBROCICH</t>
  </si>
  <si>
    <t>carlosambrocich@gmail.com</t>
  </si>
  <si>
    <t>Pittaro Miguel Angel</t>
  </si>
  <si>
    <t>MALVINAS ARGENTINAS</t>
  </si>
  <si>
    <t>GASTON MAZZALAY</t>
  </si>
  <si>
    <t>gastonmazzalay@gmail.com</t>
  </si>
  <si>
    <t>Mazzalay Gaston</t>
  </si>
  <si>
    <t>MENDIOLAZA</t>
  </si>
  <si>
    <t>NESTOR DANIEL SALIBI</t>
  </si>
  <si>
    <t>intendente@mendiolaza.gov.ar</t>
  </si>
  <si>
    <t>Arning Adela</t>
  </si>
  <si>
    <t>3515 29-5168</t>
  </si>
  <si>
    <t>PRO</t>
  </si>
  <si>
    <t>MI GRANJA</t>
  </si>
  <si>
    <t>CLAUDIA INÉS ACOSTA</t>
  </si>
  <si>
    <t>3512449400 / 3513106611</t>
  </si>
  <si>
    <t>migranja_cordoba@yahoo.com.ar</t>
  </si>
  <si>
    <t>Acosta Claudia</t>
  </si>
  <si>
    <t>RIO CEBALLOS</t>
  </si>
  <si>
    <t>EDUARDO BALDASSI</t>
  </si>
  <si>
    <t>3543552682/ 3543690101</t>
  </si>
  <si>
    <t>baldassi62@gmail.com</t>
  </si>
  <si>
    <t>Lemos Ezequiel</t>
  </si>
  <si>
    <t>SALDAN</t>
  </si>
  <si>
    <t>CAYETANO CANTO</t>
  </si>
  <si>
    <t>CANTOCAYETANO@GMAIL.COM</t>
  </si>
  <si>
    <t>Cristori Carolina</t>
  </si>
  <si>
    <t>SALSIPUEDES</t>
  </si>
  <si>
    <t>MARCELO BUSTOS</t>
  </si>
  <si>
    <t>CAMBIEMOS-PRO</t>
  </si>
  <si>
    <t>marcelobustos1969@gmail.com/promocionciudadanasalsipuedes@gmail.com</t>
  </si>
  <si>
    <t>Strasorier Mario David</t>
  </si>
  <si>
    <t>TINOCO</t>
  </si>
  <si>
    <t>HEBERTO GUSTAVO BUSTOS</t>
  </si>
  <si>
    <t>comunadetinoco@outlook.com/ todocelso@gmail.com</t>
  </si>
  <si>
    <t>Bustos Dalma</t>
  </si>
  <si>
    <t>UNQUILLO</t>
  </si>
  <si>
    <t>JORGE FABRISIN</t>
  </si>
  <si>
    <t>intendencia@unquillo.gov.ar</t>
  </si>
  <si>
    <t>Guillermo Valli</t>
  </si>
  <si>
    <t>VILLA ALLENDE</t>
  </si>
  <si>
    <t>MARIA TERESA DE VELEZ EDUARDO ROMERO (LICENCIA)</t>
  </si>
  <si>
    <t>teredevelez@yahoo.com.ar / teresadevelez@gmail.com</t>
  </si>
  <si>
    <t>Pablo Cornet</t>
  </si>
  <si>
    <t>PRO - Propuesta Republicana</t>
  </si>
  <si>
    <t>VILLA CERRO AZUL</t>
  </si>
  <si>
    <t>MARIA LAURA WHERLI</t>
  </si>
  <si>
    <t>maruwehrli79@hotmail.com</t>
  </si>
  <si>
    <t>Di Pace Natalia</t>
  </si>
  <si>
    <t>Cruz Del Eje</t>
  </si>
  <si>
    <t>ALTO DE LOS QUEBRACHOS</t>
  </si>
  <si>
    <t>ARIEL ATILIO ALIENDRO</t>
  </si>
  <si>
    <t>3549417480 (secretaria elizabeth 3549459862)</t>
  </si>
  <si>
    <t>elizabeth_heredia2013@hotmail.com</t>
  </si>
  <si>
    <t>Rodrigo Aliendo</t>
  </si>
  <si>
    <t>UCR/HXCBA</t>
  </si>
  <si>
    <t>BAÑADO DE SOTO</t>
  </si>
  <si>
    <t>FABRICIO RUIZ</t>
  </si>
  <si>
    <t>banadodesotocomuna@gmail.com</t>
  </si>
  <si>
    <t>Ruiz Fabricio</t>
  </si>
  <si>
    <t>CRUZ DE CAÑA</t>
  </si>
  <si>
    <t>DAVID SANCHEZ</t>
  </si>
  <si>
    <t>davidflorencio.sanchez@gmail.com</t>
  </si>
  <si>
    <t>Matias Gallardo</t>
  </si>
  <si>
    <t>CRUZ DEL EJE</t>
  </si>
  <si>
    <t>CLAUDIO FARIAS</t>
  </si>
  <si>
    <t>claudiofale@hotmail.com</t>
  </si>
  <si>
    <t>Raschetti Renato</t>
  </si>
  <si>
    <t>EL BRETE</t>
  </si>
  <si>
    <t>NESTOR MAURICIO JACHULA</t>
  </si>
  <si>
    <t>manyy12@hotmail.com</t>
  </si>
  <si>
    <t>Pablo Diaz</t>
  </si>
  <si>
    <t>GUANACO MUERTO</t>
  </si>
  <si>
    <t>DOMINGO ZENON SORIA</t>
  </si>
  <si>
    <t>3549531634 / 3549418528</t>
  </si>
  <si>
    <t>domingozenons@gmail.com</t>
  </si>
  <si>
    <t>Mayco Soria</t>
  </si>
  <si>
    <t>LA BATEA</t>
  </si>
  <si>
    <t>MANUEL BENITO FARIAS</t>
  </si>
  <si>
    <t>omar_luna@hotmail.com.ar</t>
  </si>
  <si>
    <t>Ivan Denis Farias</t>
  </si>
  <si>
    <t>Juntos por el cambio</t>
  </si>
  <si>
    <t>LA HIGUERA</t>
  </si>
  <si>
    <t>DANIEL MANZANELLI</t>
  </si>
  <si>
    <t>danielemanzanelli@gmail.com/ comunalahiguera01@gmail.com</t>
  </si>
  <si>
    <t>Daniel Manzanelli</t>
  </si>
  <si>
    <t>LAS CAÑADAS</t>
  </si>
  <si>
    <t>RAFAEL CORTEZ</t>
  </si>
  <si>
    <t>3549464914 - 3549460632</t>
  </si>
  <si>
    <t>maiasuarez2008@outlook.com</t>
  </si>
  <si>
    <t>Erica Cortez</t>
  </si>
  <si>
    <t>LAS PLAYAS</t>
  </si>
  <si>
    <t>VICTOR ARCHILLA</t>
  </si>
  <si>
    <t>victor_archilla@hotmail.com</t>
  </si>
  <si>
    <t>Maria Daniela Godoy</t>
  </si>
  <si>
    <t>LOS CHAÑARITOS (CDE)</t>
  </si>
  <si>
    <t>MARIELA GONZALEZ</t>
  </si>
  <si>
    <t>marielag_42@hotmail.com/</t>
  </si>
  <si>
    <t>Bazan Ariel Alejandro</t>
  </si>
  <si>
    <t>Union Popular Federal</t>
  </si>
  <si>
    <t>MEDIA NARANJA</t>
  </si>
  <si>
    <t>JORGE CARBELO</t>
  </si>
  <si>
    <t>jorgecarbelo@gmail.com</t>
  </si>
  <si>
    <t>Juan Carbelo</t>
  </si>
  <si>
    <t>PASO VIEJO</t>
  </si>
  <si>
    <t>DARÍO HEREDIA</t>
  </si>
  <si>
    <t>dariocomunapasoviejo@hotmail.com</t>
  </si>
  <si>
    <t>Mauro Tapia</t>
  </si>
  <si>
    <t>3549 63-6770</t>
  </si>
  <si>
    <t>SAN MARCOS SIERRAS</t>
  </si>
  <si>
    <t>CÉSAR BRIGUERA</t>
  </si>
  <si>
    <t>cesarbriguera15@gmail.com</t>
  </si>
  <si>
    <t>Vrancic Luciano</t>
  </si>
  <si>
    <t>3549 43-2081</t>
  </si>
  <si>
    <t>Frente Amplio</t>
  </si>
  <si>
    <t>SERREZUELA</t>
  </si>
  <si>
    <t>RICARDO MARTIN</t>
  </si>
  <si>
    <t>ricardo25martin@gmail.com</t>
  </si>
  <si>
    <t>Ricardo Martin</t>
  </si>
  <si>
    <t>TUCLAME</t>
  </si>
  <si>
    <t>HUGO OSSES</t>
  </si>
  <si>
    <t>comunatuclame@gmail.com</t>
  </si>
  <si>
    <t>Graciela del Valle Gonzalez</t>
  </si>
  <si>
    <t>VILLA DE SOTO</t>
  </si>
  <si>
    <t>FERNANDO LUNA</t>
  </si>
  <si>
    <t>fernandojavierluna@yahoo.com.ar</t>
  </si>
  <si>
    <t>Maria Jose Acuña</t>
  </si>
  <si>
    <t>mariajo.turismo@hotmail.com</t>
  </si>
  <si>
    <t>BUCHARDO</t>
  </si>
  <si>
    <t>MARIA ANTONELA LAMBERTI</t>
  </si>
  <si>
    <t>antolamberti@hotmail.com</t>
  </si>
  <si>
    <t>Maria Atonella Lamberti</t>
  </si>
  <si>
    <t>DEL CAMPILLO</t>
  </si>
  <si>
    <t>ANA ZANOTTO</t>
  </si>
  <si>
    <t>anazanotto@yahoo.com.ar</t>
  </si>
  <si>
    <t>Villanova Carla</t>
  </si>
  <si>
    <t>Huinca Renanco</t>
  </si>
  <si>
    <t>OSCAR ELIAS SALIBA</t>
  </si>
  <si>
    <t>oscarsaliba@hotmail.com</t>
  </si>
  <si>
    <t>Lucia Bolaño</t>
  </si>
  <si>
    <t>ITALO</t>
  </si>
  <si>
    <t>ARIEL VIDORET</t>
  </si>
  <si>
    <t>gustavoarielvido@hotmail.com/ municipio@italonet.com.ar</t>
  </si>
  <si>
    <t>Vidoret Ariel</t>
  </si>
  <si>
    <t>JOVITA</t>
  </si>
  <si>
    <t>JAVIER RIBERI</t>
  </si>
  <si>
    <t>munijovita@yahoo.com.ar</t>
  </si>
  <si>
    <t>Javier Riberi</t>
  </si>
  <si>
    <t>MATTALDI</t>
  </si>
  <si>
    <t>DARIO RENAUDO</t>
  </si>
  <si>
    <t>bruno@mattaldinet.com.ar</t>
  </si>
  <si>
    <t>Agaccio German</t>
  </si>
  <si>
    <t>germangaccio@hotmail.com</t>
  </si>
  <si>
    <t>NICOLAS BRUZZONE</t>
  </si>
  <si>
    <t>CARLOS IRÚSTA</t>
  </si>
  <si>
    <t>carlitosbruzone2015@gmail.com</t>
  </si>
  <si>
    <t>Irusta Fabio</t>
  </si>
  <si>
    <t>irustaleonardofabio@gmail.com</t>
  </si>
  <si>
    <t>ONAGOITY</t>
  </si>
  <si>
    <t>JUAN CARLOS FENOGLIO</t>
  </si>
  <si>
    <t>3385406721/03387-491430 muni</t>
  </si>
  <si>
    <t>comunaonagoity@hotmail.com</t>
  </si>
  <si>
    <t>Omar Fenoglio</t>
  </si>
  <si>
    <t>comunaonagoity@hotmail. com</t>
  </si>
  <si>
    <t>PINCEN</t>
  </si>
  <si>
    <t>MIRIAM SIGNORILE</t>
  </si>
  <si>
    <t>miriangsignorile@hotmail.com</t>
  </si>
  <si>
    <t>Roggia Gonzalo Heber</t>
  </si>
  <si>
    <t>RANQUELES</t>
  </si>
  <si>
    <t>GABRIELA ELIZABETH LANFRANCO</t>
  </si>
  <si>
    <t>Licera Maria Florencia</t>
  </si>
  <si>
    <t>VILLA HUIDOBRO</t>
  </si>
  <si>
    <t>SILVIO ADRIAN QUIROGA</t>
  </si>
  <si>
    <t>silvio.quiroga@hotmail.com</t>
  </si>
  <si>
    <t>Quiroga Enzo</t>
  </si>
  <si>
    <t>VILLA SARMIENTO (GR)</t>
  </si>
  <si>
    <t>OSVALDO JESUS ESTRADA</t>
  </si>
  <si>
    <t>comunavillasarmiento@hotmail.com</t>
  </si>
  <si>
    <t>Osvaldo Estrada</t>
  </si>
  <si>
    <t>VILLA VALERIA</t>
  </si>
  <si>
    <t>DARIO RICARDO ARDILES</t>
  </si>
  <si>
    <t>ardilesdarioricardo@yahoo.com.ar</t>
  </si>
  <si>
    <t>Medero Claudio</t>
  </si>
  <si>
    <t>General San Martin</t>
  </si>
  <si>
    <t>ARROYO ALGODON</t>
  </si>
  <si>
    <t>CRISTIAN GHIANO</t>
  </si>
  <si>
    <t>cristianestebanghiano@hotmail.com/ agueda505@gmail.com</t>
  </si>
  <si>
    <t>Donati Gonzalo</t>
  </si>
  <si>
    <t>ARROYO CABRAL</t>
  </si>
  <si>
    <t>PABLO ALCALINO</t>
  </si>
  <si>
    <t>municipalidadarroyocabral@hotmail.com</t>
  </si>
  <si>
    <t>Raul Mariscalchi</t>
  </si>
  <si>
    <t>AUSONIA</t>
  </si>
  <si>
    <t>MAURICIO PAJON</t>
  </si>
  <si>
    <t>gallego78_80@hotmail.com</t>
  </si>
  <si>
    <t>Morelatto Enzo Nicolas</t>
  </si>
  <si>
    <t>3534 59-6816</t>
  </si>
  <si>
    <t>CHAZON</t>
  </si>
  <si>
    <t>ROBERT SANTIAGO MEICHTRI</t>
  </si>
  <si>
    <t>rmeichtri@gmail.com</t>
  </si>
  <si>
    <t>Robert Santiago Meichtri</t>
  </si>
  <si>
    <t>ETRURIA</t>
  </si>
  <si>
    <t>MAXIMILIANO ANDRES</t>
  </si>
  <si>
    <t>maxiandres1@gmail.com</t>
  </si>
  <si>
    <t>Maximiliano Andres</t>
  </si>
  <si>
    <t>LA LAGUNA</t>
  </si>
  <si>
    <t>JULIO CASTELLANO</t>
  </si>
  <si>
    <t>juliohcastellano@hotmail.com</t>
  </si>
  <si>
    <t>Mariano Colombano</t>
  </si>
  <si>
    <t>LA PALESTINA</t>
  </si>
  <si>
    <t>CRISTIAN PORTESIO</t>
  </si>
  <si>
    <t>cgportesio@hotmail.com.ar</t>
  </si>
  <si>
    <t>Mayco Becco</t>
  </si>
  <si>
    <t>LA PLAYOSA</t>
  </si>
  <si>
    <t>GABRIELA NICOLINO</t>
  </si>
  <si>
    <t>gnicolino2010@hotmail.com</t>
  </si>
  <si>
    <t>Villar Franco</t>
  </si>
  <si>
    <t>LUCA</t>
  </si>
  <si>
    <t>AUGUSTO ARIETTI</t>
  </si>
  <si>
    <t>AUGUSTOARIETTIPRENSA@YAHOO.COM</t>
  </si>
  <si>
    <t>Arietti Augusto</t>
  </si>
  <si>
    <t>PASCO</t>
  </si>
  <si>
    <t>DANIEL NICOLAS DELBONO</t>
  </si>
  <si>
    <t>municipalidadpasco@hotmail.com</t>
  </si>
  <si>
    <t>Dardo Pereyra</t>
  </si>
  <si>
    <t>Juntos por Pasco/Afin HUPC</t>
  </si>
  <si>
    <t>SILVIO PELLICO</t>
  </si>
  <si>
    <t>LETICIA YUDIT ALLOCCO</t>
  </si>
  <si>
    <t>lallocco@hotmail.com//muni_spellico@hotmail.com//lalloco@hotmail.com</t>
  </si>
  <si>
    <t>Federico Quiñonez</t>
  </si>
  <si>
    <t>TICINO</t>
  </si>
  <si>
    <t>LILIANA RUETSCH</t>
  </si>
  <si>
    <t>intendenciaticino@gmail.com</t>
  </si>
  <si>
    <t>Gabriel Cañas</t>
  </si>
  <si>
    <t>3534 06-2645</t>
  </si>
  <si>
    <t>TIO PUJIO</t>
  </si>
  <si>
    <t>NANCY DEL CARMEN SCHIAVI</t>
  </si>
  <si>
    <t>nancyschiavi@gmail.com</t>
  </si>
  <si>
    <t>Ariel Petrocchi</t>
  </si>
  <si>
    <t>VILLA MARIA</t>
  </si>
  <si>
    <t>PABLO ROSSO</t>
  </si>
  <si>
    <t>Eduardo Accastello</t>
  </si>
  <si>
    <t>VILLA NUEVA</t>
  </si>
  <si>
    <t>NATALIO GRAGLIA</t>
  </si>
  <si>
    <t>nat_gra@yahoo.com</t>
  </si>
  <si>
    <t>Tagni Ignacio Gabriel</t>
  </si>
  <si>
    <t>Ischilin</t>
  </si>
  <si>
    <t>AVELLANEDA</t>
  </si>
  <si>
    <t>PEDRO LAURET</t>
  </si>
  <si>
    <t>pedrolauret12@gmail.com</t>
  </si>
  <si>
    <t>Baretto Juan Esteban</t>
  </si>
  <si>
    <t>ESTAMOS</t>
  </si>
  <si>
    <t>CAÑADA DE RIO PINTO</t>
  </si>
  <si>
    <t>EDGARDO CASTRO</t>
  </si>
  <si>
    <t>ccriopinto@gmail.com</t>
  </si>
  <si>
    <t>Gutierrez Ariel Hernan</t>
  </si>
  <si>
    <t>3525 53-6676</t>
  </si>
  <si>
    <t>Encuentro Vecinal</t>
  </si>
  <si>
    <t>CHUÑA</t>
  </si>
  <si>
    <t>ROBUSTEANO LUNA</t>
  </si>
  <si>
    <t>lunarobustiano@hotmail.com</t>
  </si>
  <si>
    <t>Barrera Paulo Rodolfo</t>
  </si>
  <si>
    <t>COPACABANA</t>
  </si>
  <si>
    <t>ERNESTO ENRIQUE QUINTEROS</t>
  </si>
  <si>
    <t>ernestoenriquequinteros@hotmail.com</t>
  </si>
  <si>
    <t>Susana del Valle Luna</t>
  </si>
  <si>
    <t>3521650623/ 3521 40-4266</t>
  </si>
  <si>
    <t>DEAN FUNES</t>
  </si>
  <si>
    <t>RAUL ALBERTO FIGUEROA</t>
  </si>
  <si>
    <t>Diputada Nacional</t>
  </si>
  <si>
    <t>raulfigue@hotmail.com</t>
  </si>
  <si>
    <t>Andrea Nievas</t>
  </si>
  <si>
    <t>Vecinalismo/Candidata de Tito Figueroa</t>
  </si>
  <si>
    <t>LOS POZOS</t>
  </si>
  <si>
    <t>CLAUDIO TRIPIANA</t>
  </si>
  <si>
    <t>Claudio Tripiana</t>
  </si>
  <si>
    <t>OLIVARES DE SAN NICOLAS</t>
  </si>
  <si>
    <t>CARMEN ANTONIO HEREDIA</t>
  </si>
  <si>
    <t>herediaantonio124@gmail.com</t>
  </si>
  <si>
    <t>Heredia Yanina</t>
  </si>
  <si>
    <t>QUILINO</t>
  </si>
  <si>
    <t>MABEL GODOY</t>
  </si>
  <si>
    <t>godoymab@gmail.com</t>
  </si>
  <si>
    <t>Godoy Mabel</t>
  </si>
  <si>
    <t>VILLA GUTIERREZ</t>
  </si>
  <si>
    <t>OSVALDO C. ABRAMENIA</t>
  </si>
  <si>
    <t>comunadevillagutierrez@hotmail.com</t>
  </si>
  <si>
    <t>Abramenia Cesar</t>
  </si>
  <si>
    <t>3525 642177</t>
  </si>
  <si>
    <t>Juarez Celman</t>
  </si>
  <si>
    <t>ALEJANDRO ROCA</t>
  </si>
  <si>
    <t>ARIANA VIOLA</t>
  </si>
  <si>
    <t>ariviola@hotmail.com</t>
  </si>
  <si>
    <t>Etcheverry Aldo</t>
  </si>
  <si>
    <t>Union Vecinal Federal</t>
  </si>
  <si>
    <t>ASSUNTA</t>
  </si>
  <si>
    <t>SILVIO ANDRES ARTUSSO</t>
  </si>
  <si>
    <t>comunaassunta@hotmail.com</t>
  </si>
  <si>
    <t>Evelyn Artusso</t>
  </si>
  <si>
    <t>BENGOLEA</t>
  </si>
  <si>
    <t>OMAR EDUARDO FARIAS</t>
  </si>
  <si>
    <t>omarfar66@gmail.com</t>
  </si>
  <si>
    <t>Jorgelina Dominguez</t>
  </si>
  <si>
    <t>CARNERILLO</t>
  </si>
  <si>
    <t>IVAN GALFRE</t>
  </si>
  <si>
    <t>municipalidadcarnerillo@gmail.com</t>
  </si>
  <si>
    <t>Dalmasso Ariel Oscar</t>
  </si>
  <si>
    <t>3585 60-0743</t>
  </si>
  <si>
    <t>CHARRAS</t>
  </si>
  <si>
    <t>MIGLIORE MARCELO N.</t>
  </si>
  <si>
    <t>3585615550//3584106463</t>
  </si>
  <si>
    <t>EL RASTREADOR</t>
  </si>
  <si>
    <t>CAROLA BERTOTTI</t>
  </si>
  <si>
    <t>comunaelrastreador@hotmail.com.ar</t>
  </si>
  <si>
    <t>Roman Casalis</t>
  </si>
  <si>
    <t>3584 44-1004</t>
  </si>
  <si>
    <t>GENERAL CABRERA</t>
  </si>
  <si>
    <t>GUILLERMO CAVIGLIASO</t>
  </si>
  <si>
    <t>REELECION</t>
  </si>
  <si>
    <t>Cavigliasso Guillermo</t>
  </si>
  <si>
    <t>GENERAL DEHEZA</t>
  </si>
  <si>
    <t>FRANCO MORRA</t>
  </si>
  <si>
    <t>intendencia@mgdeheza.com.ar</t>
  </si>
  <si>
    <t>Flores Ferrando Oscar</t>
  </si>
  <si>
    <t>Vecinalismo</t>
  </si>
  <si>
    <t>HUANCHILLA</t>
  </si>
  <si>
    <t>Carlos Benitez</t>
  </si>
  <si>
    <t>Romina Oberto</t>
  </si>
  <si>
    <t>LA CARLOTA</t>
  </si>
  <si>
    <t>FABIO GUASCHINO</t>
  </si>
  <si>
    <t>drguaschino@yahoo.com.ar</t>
  </si>
  <si>
    <t>Bellon Natalia</t>
  </si>
  <si>
    <t>LOS CISNES</t>
  </si>
  <si>
    <t>CARLOS ALBERTO CALVO</t>
  </si>
  <si>
    <t>municipalidaddeloscisnes@yahoo.com.ar</t>
  </si>
  <si>
    <t>Truant Aldo</t>
  </si>
  <si>
    <t>3584 60-1570</t>
  </si>
  <si>
    <t>Vamos Los Cisnes</t>
  </si>
  <si>
    <t>OLAETA</t>
  </si>
  <si>
    <t>DARIO FLORIT</t>
  </si>
  <si>
    <t>marianelagallo83@gmail.com</t>
  </si>
  <si>
    <t>PACHECO DE MELO</t>
  </si>
  <si>
    <t>ROSANA FAVA DE DOFFO</t>
  </si>
  <si>
    <t>comuna_pachecodemelo@hotmail.com</t>
  </si>
  <si>
    <t>Doffo Luciano</t>
  </si>
  <si>
    <t>3584 60-1660</t>
  </si>
  <si>
    <t>PASO DEL DURAZNO</t>
  </si>
  <si>
    <t>JOSE LUIS PICCO</t>
  </si>
  <si>
    <t>3584818704 / 0358-4884089</t>
  </si>
  <si>
    <t>comunapasodeldurazno@hotmail.com</t>
  </si>
  <si>
    <t>Gladis Rovera</t>
  </si>
  <si>
    <t>3585 07-5122</t>
  </si>
  <si>
    <t>REDUCCION</t>
  </si>
  <si>
    <t>ANDRES PASSERO</t>
  </si>
  <si>
    <t>andrespassero@gmail.com</t>
  </si>
  <si>
    <t>Grazziano Jorge</t>
  </si>
  <si>
    <t>3585 60-0031</t>
  </si>
  <si>
    <t>SANTA EUFEMIA</t>
  </si>
  <si>
    <t>GERARDO MARIO ALLENDE</t>
  </si>
  <si>
    <t>gerardoallende58@hotmail.com</t>
  </si>
  <si>
    <t>UCACHA</t>
  </si>
  <si>
    <t>ARIEL MOREYRA</t>
  </si>
  <si>
    <t>gabrielamagra1@hotmail.com</t>
  </si>
  <si>
    <t>Ariel Moreyra</t>
  </si>
  <si>
    <t>Marcos Juarez</t>
  </si>
  <si>
    <t>ALEJO LEDESMA</t>
  </si>
  <si>
    <t>AGUSTIN MARCELO FERNANDO</t>
  </si>
  <si>
    <t>FDT- HACEMOS POR CBA</t>
  </si>
  <si>
    <t>marcelobancor@hotmail.com</t>
  </si>
  <si>
    <t>Yakoby Maria Antonia</t>
  </si>
  <si>
    <t>ARIAS</t>
  </si>
  <si>
    <t>MATÍAS DVOZDENOVICH</t>
  </si>
  <si>
    <t>intendentematias@gmail.com</t>
  </si>
  <si>
    <t>Defagot Diaz, Javier Nestor</t>
  </si>
  <si>
    <t>3468 512149</t>
  </si>
  <si>
    <t>CAMILO ALDAO</t>
  </si>
  <si>
    <t>CARLOS ATILIO CARIGNANO</t>
  </si>
  <si>
    <t>calicarignano@gmail.com</t>
  </si>
  <si>
    <t>Bacelli Mario Domingo</t>
  </si>
  <si>
    <t>CAPITAN GENERAL B. O'HIGGINS</t>
  </si>
  <si>
    <t>JUAN CARLOS BIANCONI</t>
  </si>
  <si>
    <t>Nora Bessone</t>
  </si>
  <si>
    <t>3468 56-1281</t>
  </si>
  <si>
    <t>CAVANAGH</t>
  </si>
  <si>
    <t>SANDRA L. DAL BO</t>
  </si>
  <si>
    <t>FDT-HACEMOS POR CBA</t>
  </si>
  <si>
    <t>sandradalbo@yahoo.com.ar</t>
  </si>
  <si>
    <t>Dal Bo Gustavo</t>
  </si>
  <si>
    <t>COLONIA BARGE</t>
  </si>
  <si>
    <t>LORENZO ABEL GAUTO</t>
  </si>
  <si>
    <t>coloniabarge1@gmail.com</t>
  </si>
  <si>
    <t>Rodriguez Sergio</t>
  </si>
  <si>
    <t>3468 56-9782</t>
  </si>
  <si>
    <t>COLONIA ITALIANA</t>
  </si>
  <si>
    <t>ALBERTO JUAN PRIOTTO</t>
  </si>
  <si>
    <t>cecipriotto@hotmail.com</t>
  </si>
  <si>
    <t>Ita Alejandra Soledad</t>
  </si>
  <si>
    <t>CORRAL DE BUSTOS-IFFLINGER</t>
  </si>
  <si>
    <t>ROBERTO PACHECO</t>
  </si>
  <si>
    <t>3468542552 / 03468-433936 (muni)</t>
  </si>
  <si>
    <t>pacheco.roberto.luis@gmail.com / intendente@corraldebustos.gov.ar</t>
  </si>
  <si>
    <t>Odarda Jose Maria</t>
  </si>
  <si>
    <t>CRUZ ALTA</t>
  </si>
  <si>
    <t>AGUSTIN GONZALEZ</t>
  </si>
  <si>
    <t>agu_gonzalez@hotmail.com</t>
  </si>
  <si>
    <t>GENERAL BALDISSERA</t>
  </si>
  <si>
    <t>GERARDO DANIEL MANCINI</t>
  </si>
  <si>
    <t>Perassi Lucas</t>
  </si>
  <si>
    <t>GENERAL ROCA</t>
  </si>
  <si>
    <t>MARCELO LUQUE</t>
  </si>
  <si>
    <t>3472553445 - 3472589054</t>
  </si>
  <si>
    <t>marilaurap@hotmail.com</t>
  </si>
  <si>
    <t>Iser Francisco Facundo</t>
  </si>
  <si>
    <t>GUATIMOZIN</t>
  </si>
  <si>
    <t>JOSE MARIA MUGUERZA</t>
  </si>
  <si>
    <t>dafnemanavella@hotmail.com</t>
  </si>
  <si>
    <t>Chicco Valeria Soledad</t>
  </si>
  <si>
    <t>INRIVILLE</t>
  </si>
  <si>
    <t>JULIETA AQUINO</t>
  </si>
  <si>
    <t>AQUINOJULIETA10@GMAIL.COM/ accionsocialinriville@gmail.com</t>
  </si>
  <si>
    <t>Julieta Aquino</t>
  </si>
  <si>
    <t>ISLA VERDE</t>
  </si>
  <si>
    <t>PATRICIA ELDA DELSOGLIO</t>
  </si>
  <si>
    <t>patriciadelsoglio@hotmail.com</t>
  </si>
  <si>
    <t>Patricia Delsoglio</t>
  </si>
  <si>
    <t>LEONES</t>
  </si>
  <si>
    <t>MARCELO FRANCIONI</t>
  </si>
  <si>
    <t>fabianfrancioniok@gmail.com</t>
  </si>
  <si>
    <t>Fabian Francioni</t>
  </si>
  <si>
    <t>Frente de Todos</t>
  </si>
  <si>
    <t>LOS SURGENTES</t>
  </si>
  <si>
    <t>PAULA CORDOBA</t>
  </si>
  <si>
    <t>cra.paulacordoba@gmail.com</t>
  </si>
  <si>
    <t>Pellizzon Gabriel Norberto</t>
  </si>
  <si>
    <t>3467 63-3676</t>
  </si>
  <si>
    <t>MARCOS JUAREZ</t>
  </si>
  <si>
    <t>PEDRO GUSTAVO DELARROSA</t>
  </si>
  <si>
    <t>georginameyer@marcosjuarez.gob.ar/dellarossapedro@gmail.com</t>
  </si>
  <si>
    <t>Sara Majorel</t>
  </si>
  <si>
    <t>MONTE BUEY</t>
  </si>
  <si>
    <t>EDWIN RIVA</t>
  </si>
  <si>
    <t>VECINAL-UCR</t>
  </si>
  <si>
    <t>biliatoricardo@gmail.com</t>
  </si>
  <si>
    <t>Mariano Calamante</t>
  </si>
  <si>
    <t>SAIRA</t>
  </si>
  <si>
    <t>EDGAR YORDAN</t>
  </si>
  <si>
    <t>edgarfyordan@hotmail.com</t>
  </si>
  <si>
    <t>Edgar Jordan</t>
  </si>
  <si>
    <t>3472 50-2676</t>
  </si>
  <si>
    <t>SALADILLO</t>
  </si>
  <si>
    <t>LUIS TUBARO</t>
  </si>
  <si>
    <t>3467639709 / 03467-493005 (muni)</t>
  </si>
  <si>
    <t>comunasaladillo@nodosud.com.ar/ silvinafabiani@hotmail.com</t>
  </si>
  <si>
    <t>Dario Quiroga</t>
  </si>
  <si>
    <t>VILLA ELISA</t>
  </si>
  <si>
    <t>MARCELO EDUARDO VELA</t>
  </si>
  <si>
    <t>velamarcelo327@gmail.com</t>
  </si>
  <si>
    <t>Lombardi Juan Pablo</t>
  </si>
  <si>
    <t>Minas</t>
  </si>
  <si>
    <t>CIENAGA DEL CORO</t>
  </si>
  <si>
    <t>RAFAEL LLANOS</t>
  </si>
  <si>
    <t>3542461333 / 03542-490516</t>
  </si>
  <si>
    <t>cienagadelcoro@hotmail.com.ar</t>
  </si>
  <si>
    <t>Velez Jose Ivan</t>
  </si>
  <si>
    <t>EL CHACHO</t>
  </si>
  <si>
    <t>CARLOS E. SALAZAR</t>
  </si>
  <si>
    <t>graciela-manzanares@hotmail.com</t>
  </si>
  <si>
    <t>Villanueva Esther Amalia</t>
  </si>
  <si>
    <t>Creo en Córdoba de Todos</t>
  </si>
  <si>
    <t>ESTANCIA DE GUADALUPE</t>
  </si>
  <si>
    <t>NIEVES INES VELEZ</t>
  </si>
  <si>
    <t>nievesinesvelez@gmail.com</t>
  </si>
  <si>
    <t>Grima Silvia Susana</t>
  </si>
  <si>
    <t>351 6526163</t>
  </si>
  <si>
    <t>GUASAPAMPA</t>
  </si>
  <si>
    <t>CEFERINO FIGUEROA</t>
  </si>
  <si>
    <t>ceferinofigueroa33@gmail.com</t>
  </si>
  <si>
    <t>Tapia Ariel Antonio</t>
  </si>
  <si>
    <t>3542 48-1242</t>
  </si>
  <si>
    <t>LA PLAYA</t>
  </si>
  <si>
    <t>JORGE DIAZ</t>
  </si>
  <si>
    <t>comunalaplaya2017@gmail.com</t>
  </si>
  <si>
    <t>Jorge Diaz</t>
  </si>
  <si>
    <t>SAN CARLOS MINAS</t>
  </si>
  <si>
    <t>CRISTIAN FRIAS</t>
  </si>
  <si>
    <t>cristianfrias096@gmail.com</t>
  </si>
  <si>
    <t>Romero Walter Ivan</t>
  </si>
  <si>
    <t>3542 46-6777</t>
  </si>
  <si>
    <t>TALAINI</t>
  </si>
  <si>
    <t>JORGE OMAR GUEMES</t>
  </si>
  <si>
    <t>jorgeoguemes@hotmail.com</t>
  </si>
  <si>
    <t>Jorge Camilo Guemes</t>
  </si>
  <si>
    <t>TOSNO</t>
  </si>
  <si>
    <t>WALTER E. MAIDANA</t>
  </si>
  <si>
    <t>comunadetosno@hotmail.es</t>
  </si>
  <si>
    <t>Maidana Federico</t>
  </si>
  <si>
    <t>3516 14-0050</t>
  </si>
  <si>
    <t>Pocho</t>
  </si>
  <si>
    <t>CHANCANI</t>
  </si>
  <si>
    <t>RICARDO AGUADE</t>
  </si>
  <si>
    <t>chanchavictoria@gmail.com</t>
  </si>
  <si>
    <t>Dominguez Ma. Alejandra</t>
  </si>
  <si>
    <t>LAS PALMAS</t>
  </si>
  <si>
    <t>DIEGO TEJEDA</t>
  </si>
  <si>
    <t>diegoantoniotejeda9@gmail.com</t>
  </si>
  <si>
    <t>Diego Tejeda</t>
  </si>
  <si>
    <t>LOS TALARES</t>
  </si>
  <si>
    <t>NICOLAZA DOMINGUEZ</t>
  </si>
  <si>
    <t>comunadelostalres@gmail.com</t>
  </si>
  <si>
    <t>Jose Dominguez</t>
  </si>
  <si>
    <t>SALSACATE</t>
  </si>
  <si>
    <t>KARINA FIGUEROA</t>
  </si>
  <si>
    <t>julio.cejas77@gmail.com</t>
  </si>
  <si>
    <t>Karina Figueroa</t>
  </si>
  <si>
    <t>SAN GERONIMO</t>
  </si>
  <si>
    <t>OMAR REARTE</t>
  </si>
  <si>
    <t>omaragustin.reartes@gmail.com</t>
  </si>
  <si>
    <t>Abregu Evangelina</t>
  </si>
  <si>
    <t>TALA CAÑADA</t>
  </si>
  <si>
    <t>DANIEL GUZMAN</t>
  </si>
  <si>
    <t>comunatala@hotmail.com.ar</t>
  </si>
  <si>
    <t>Martinez Paola de los Angeles</t>
  </si>
  <si>
    <t>VILLA DE POCHO</t>
  </si>
  <si>
    <t>DIANA MELISA OVIEDO</t>
  </si>
  <si>
    <t>dmelisa2010@hotmail.com</t>
  </si>
  <si>
    <t>Diana Melisa Oviedo</t>
  </si>
  <si>
    <t>Pte. Roque Saenz Peña</t>
  </si>
  <si>
    <t>GENERAL LEVALLE</t>
  </si>
  <si>
    <t>FEDERICO GALLO</t>
  </si>
  <si>
    <t>gallofederico@hotmail.com</t>
  </si>
  <si>
    <t>Laura Rodriguez Paredes</t>
  </si>
  <si>
    <t>LA CESIRA</t>
  </si>
  <si>
    <t>JORGE RYAN</t>
  </si>
  <si>
    <t>secretaria@munilacesira.com.ar</t>
  </si>
  <si>
    <t>Legorburu Guillermo</t>
  </si>
  <si>
    <t>LABOULAYE</t>
  </si>
  <si>
    <t>CESAR ABDALA</t>
  </si>
  <si>
    <t>3385593880//3385524323</t>
  </si>
  <si>
    <t>fenicio22@gmail.com</t>
  </si>
  <si>
    <t>Gino Chiapello</t>
  </si>
  <si>
    <t>LEGUIZAMON</t>
  </si>
  <si>
    <t>BOIERO NELSON</t>
  </si>
  <si>
    <t>boiero368@gmail.com</t>
  </si>
  <si>
    <t>Walter Simon</t>
  </si>
  <si>
    <t>3382573920 / 33285687304</t>
  </si>
  <si>
    <t>MELO</t>
  </si>
  <si>
    <t>MARIA ANGELES GIORDANO</t>
  </si>
  <si>
    <t>mariangeles_giordano@hotmail.com</t>
  </si>
  <si>
    <t>Carolina Ayraudo</t>
  </si>
  <si>
    <t>RIOBAMBA</t>
  </si>
  <si>
    <t>MIGUEL ANGEL CERUTTI</t>
  </si>
  <si>
    <t>ofriobamna@hotmail.com / pa_rio@hotmail.com</t>
  </si>
  <si>
    <t>Beatriz Gutierrez</t>
  </si>
  <si>
    <t>ROSALES</t>
  </si>
  <si>
    <t>MIGUEL ANGEL INGLADA</t>
  </si>
  <si>
    <t>miguelinglada@hotmail.com</t>
  </si>
  <si>
    <t>Ariel Panichelli</t>
  </si>
  <si>
    <t>SAN JOAQUIN</t>
  </si>
  <si>
    <t>OMAR ISOARDI</t>
  </si>
  <si>
    <t>omarisoardi53@hotmail.com</t>
  </si>
  <si>
    <t>Picco Daniel</t>
  </si>
  <si>
    <t>SERRANO</t>
  </si>
  <si>
    <t>ENRIQUE BUSSO</t>
  </si>
  <si>
    <t>scdesarrollosocialserrano@gmail.com</t>
  </si>
  <si>
    <t>Goñi Ismael</t>
  </si>
  <si>
    <t>VILLA ROSSI</t>
  </si>
  <si>
    <t>MARTIN ECHANIZ</t>
  </si>
  <si>
    <t>03385-15437428</t>
  </si>
  <si>
    <t>martinechaniz@hotmail.com/munivillarossi@hotmail.com</t>
  </si>
  <si>
    <t>Benitez Elvio</t>
  </si>
  <si>
    <t>Punilla</t>
  </si>
  <si>
    <t>BIALET MASSE</t>
  </si>
  <si>
    <t>MARCELO OLIVA</t>
  </si>
  <si>
    <t>olivamarcelo845@gmail.com</t>
  </si>
  <si>
    <t>Augusto Reina</t>
  </si>
  <si>
    <t>CABALANGO</t>
  </si>
  <si>
    <t>NATALIA SAYAS</t>
  </si>
  <si>
    <t>comunacabalango@yahoo.com.ar</t>
  </si>
  <si>
    <t>Carla Bruno</t>
  </si>
  <si>
    <t>CAPILLA DEL MONTE</t>
  </si>
  <si>
    <t>FABRICIO DIAZ</t>
  </si>
  <si>
    <t>3513431234 / secretaria Luis Grande 3548570798</t>
  </si>
  <si>
    <t>fabricdiaz@gmail.com</t>
  </si>
  <si>
    <t>Fabricio Diaz</t>
  </si>
  <si>
    <t>CASA GRANDE</t>
  </si>
  <si>
    <t>MABEL EDREIRA</t>
  </si>
  <si>
    <t>m_edreira@hotmail.com/ desarrollosocial@casagrande.gov.ar</t>
  </si>
  <si>
    <t>Moreno Miguel</t>
  </si>
  <si>
    <t>CHARBONIER</t>
  </si>
  <si>
    <t>ROXANA MONTENEGRO</t>
  </si>
  <si>
    <t>comunadecharbonier@hotmail.com</t>
  </si>
  <si>
    <t>Maricel Sanchez</t>
  </si>
  <si>
    <t>COSQUIN</t>
  </si>
  <si>
    <t>GABRIEL MUSSO</t>
  </si>
  <si>
    <t>gabrielmussocosquin@gmail.com</t>
  </si>
  <si>
    <t>Raul Cardinalli</t>
  </si>
  <si>
    <t>CUESTA BLANCA</t>
  </si>
  <si>
    <t>ANA GAITAN (INTERINA)</t>
  </si>
  <si>
    <t>comunacuestablanca@hotmail.com</t>
  </si>
  <si>
    <t>Gaitan Ana</t>
  </si>
  <si>
    <t>ESTANCIA VIEJA</t>
  </si>
  <si>
    <t>ADOLFO PARIZZIA</t>
  </si>
  <si>
    <t>3516577201 / 03541 42-1660</t>
  </si>
  <si>
    <t>comunaestanciavieja@hotmail.com / aparizzia@hotmail.com/ lausalgado33@hotmail.com</t>
  </si>
  <si>
    <t>Laura Suarez</t>
  </si>
  <si>
    <t>3541 65-9453</t>
  </si>
  <si>
    <t>HUERTA GRANDE</t>
  </si>
  <si>
    <t>MATIAS MONTOTO</t>
  </si>
  <si>
    <t>chuertagrande@gmail.com</t>
  </si>
  <si>
    <t>Corazza German</t>
  </si>
  <si>
    <t>VILLA RIO ICHO CRUZ</t>
  </si>
  <si>
    <t>TESSIO BARRERA PAULO ESTEBAN</t>
  </si>
  <si>
    <t>3541611620 / 3541612288 (Laura Menaldi prensa)</t>
  </si>
  <si>
    <t>ichocruzinforma@gmail.com</t>
  </si>
  <si>
    <t>Paulo Tessio</t>
  </si>
  <si>
    <t>Icho Somos Todos</t>
  </si>
  <si>
    <t>LA CUMBRE</t>
  </si>
  <si>
    <t>PABLO ALICIO (INTERINO)</t>
  </si>
  <si>
    <t>3516334896 / 03548-452880 (MUNI)</t>
  </si>
  <si>
    <t>secretariaprivada@lacumbre.gov.ar</t>
  </si>
  <si>
    <t>Pablo Alicio</t>
  </si>
  <si>
    <t>LA FALDA</t>
  </si>
  <si>
    <t>JAVIER DIEMINGER</t>
  </si>
  <si>
    <t>direcciondesarrollosocial@hotmail.com.ar/javidieminger@icloud.com</t>
  </si>
  <si>
    <t>Javier Dieminger</t>
  </si>
  <si>
    <t>LOS COCOS</t>
  </si>
  <si>
    <t>GUSTAVO CEBALLOS</t>
  </si>
  <si>
    <t>muniloscocos2012@gmail.com</t>
  </si>
  <si>
    <t>Furmston Maria Celeste</t>
  </si>
  <si>
    <t>MAYU SUMAJ</t>
  </si>
  <si>
    <t>MARA CLARA ALBELO</t>
  </si>
  <si>
    <t>maral77@life.com.ar</t>
  </si>
  <si>
    <t>Fabian Flores</t>
  </si>
  <si>
    <t>SAN ANTONIO DE ARREDONDO</t>
  </si>
  <si>
    <t>PATRICIA CICERONE</t>
  </si>
  <si>
    <t>3541570636/ 3515304508</t>
  </si>
  <si>
    <t>accionsocial_msa@hotmail.com</t>
  </si>
  <si>
    <t>Moyano Ariel Ermesto</t>
  </si>
  <si>
    <t>SAN ESTEBAN</t>
  </si>
  <si>
    <t>DE LORENZI DANIEL ANTONIO</t>
  </si>
  <si>
    <t>3548418186 / 03548-494073 (MUNI)</t>
  </si>
  <si>
    <t>munisanesteban@gmail.com/ danidelorenzi@gmail.com</t>
  </si>
  <si>
    <t>Guevara Juan</t>
  </si>
  <si>
    <t>SAN ROQUE</t>
  </si>
  <si>
    <t>JORGE OMAR BUSTAMENTE</t>
  </si>
  <si>
    <t>gaston.sanroque@hotmail.com</t>
  </si>
  <si>
    <t>Jorge Bustamante</t>
  </si>
  <si>
    <t>San Roque Avanza</t>
  </si>
  <si>
    <t>SANTA MARIA DE PUNILLA</t>
  </si>
  <si>
    <t>DARDO GABRIEL ZANOTTI</t>
  </si>
  <si>
    <t>dardozanotti@hotmail.com</t>
  </si>
  <si>
    <t>Silvia Rocchietti</t>
  </si>
  <si>
    <t>TALA HUASI</t>
  </si>
  <si>
    <t>ANA MIRANDA</t>
  </si>
  <si>
    <t>claudia_r_amaya@hotmail.com/comunadetalahuasi@hotmail.com.ar</t>
  </si>
  <si>
    <t>Marcelo Mainardi</t>
  </si>
  <si>
    <t>Juntos por Tala Huasi</t>
  </si>
  <si>
    <t>TANTI</t>
  </si>
  <si>
    <t>LUIS AZAR</t>
  </si>
  <si>
    <t>luishoracioazar@hotmail.com</t>
  </si>
  <si>
    <t>Emiliano Paredes</t>
  </si>
  <si>
    <t>3541 57-4762</t>
  </si>
  <si>
    <t>Union Civica Radical</t>
  </si>
  <si>
    <t>VALLE HERMOSO</t>
  </si>
  <si>
    <t>JORGE CASERIO</t>
  </si>
  <si>
    <t>jorgeomarcaserio@hotmail.com</t>
  </si>
  <si>
    <t>Daniel Spadoni</t>
  </si>
  <si>
    <t>VILLA CARLOS PAZ</t>
  </si>
  <si>
    <t>DANIEL GOMEZ GESTEIRA</t>
  </si>
  <si>
    <t>INTENDENTEGOMEZGESTEIRA@VILLACARLOSPAZ / pablodsalas@gmail.com</t>
  </si>
  <si>
    <t>Aviles Esteban</t>
  </si>
  <si>
    <t>Carlos Paz Unido</t>
  </si>
  <si>
    <t>VILLA GIARDINO</t>
  </si>
  <si>
    <t>OMAR FERREYRA</t>
  </si>
  <si>
    <t>ambrosioomarferreyra@gmail.com.ar/desarrollosocialvillagiardino@gmail.com</t>
  </si>
  <si>
    <t>Jorge Soria</t>
  </si>
  <si>
    <t>3515 38-1157</t>
  </si>
  <si>
    <t>VILLA PARQUE SIQUIMAN</t>
  </si>
  <si>
    <t>NESTOR CUELLO</t>
  </si>
  <si>
    <t>claudia_r_amaya@hotmail.com</t>
  </si>
  <si>
    <t>Mario Sariago</t>
  </si>
  <si>
    <t>Juntos por Siquiman</t>
  </si>
  <si>
    <t>VILLA SANTA CRUZ DEL LAGO</t>
  </si>
  <si>
    <t>OMAR DE GIOVANNI</t>
  </si>
  <si>
    <t>odegio@hotmail.com</t>
  </si>
  <si>
    <t>De Giovanni Omar - Reeleccion</t>
  </si>
  <si>
    <t>Rio Cuarto</t>
  </si>
  <si>
    <t>ACHIRAS</t>
  </si>
  <si>
    <t>JOSE MARIA GUTIERREZ</t>
  </si>
  <si>
    <t>josema7_gutierrez@hotmail.com</t>
  </si>
  <si>
    <t>Mauricio Garcia</t>
  </si>
  <si>
    <t>ADELIA MARIA</t>
  </si>
  <si>
    <t>JORGE MARINO</t>
  </si>
  <si>
    <t>marinohnos.2017@gmail.com</t>
  </si>
  <si>
    <t>Marino Jorge - Reeleccion</t>
  </si>
  <si>
    <t>ALCIRA</t>
  </si>
  <si>
    <t>FERNANDO GRAMAGLIA</t>
  </si>
  <si>
    <t>fergramaglia66@gmail.com</t>
  </si>
  <si>
    <t>Nancy Foresto</t>
  </si>
  <si>
    <t>3584 83-7047</t>
  </si>
  <si>
    <t>ALPA CORRAL</t>
  </si>
  <si>
    <t>MARIA NELIDA ORTIZ</t>
  </si>
  <si>
    <t>ale_crus@yahoo.com.a</t>
  </si>
  <si>
    <t>Vanina Gonzalez</t>
  </si>
  <si>
    <t>Vecinalismo Independiente</t>
  </si>
  <si>
    <t>BERROTARAN</t>
  </si>
  <si>
    <t>FREDI ANTONIO DECARLINI</t>
  </si>
  <si>
    <t>fredandecarlini@live.com.ar</t>
  </si>
  <si>
    <t>Federico Soto</t>
  </si>
  <si>
    <t>BULNES</t>
  </si>
  <si>
    <t>MARTÍN TOSELLI</t>
  </si>
  <si>
    <t>martintoselli989@gmail.com</t>
  </si>
  <si>
    <t>Ruben Maspero</t>
  </si>
  <si>
    <t>CHAJAN</t>
  </si>
  <si>
    <t>RICARDO REYNOSO</t>
  </si>
  <si>
    <t>reynosoricardo-45@hotmail.com</t>
  </si>
  <si>
    <t>Nestor Peralta</t>
  </si>
  <si>
    <t>nestorjoseluis2@gmail.com</t>
  </si>
  <si>
    <t>CHUCUL</t>
  </si>
  <si>
    <t>LUIS ALBERTO POLONI</t>
  </si>
  <si>
    <t>comunadechucul2017@hotmail.com</t>
  </si>
  <si>
    <t>Pablo Vigué</t>
  </si>
  <si>
    <t>3585 10-5556</t>
  </si>
  <si>
    <t>CORONEL BAIGORRIA</t>
  </si>
  <si>
    <t>WALTER RUBEN PERRONE</t>
  </si>
  <si>
    <t>3584322051 / 3584280190 (ayelen secretaria)</t>
  </si>
  <si>
    <t>municipiocoronelbaigorria@gmail.com</t>
  </si>
  <si>
    <t>Walter Ruben Perrone</t>
  </si>
  <si>
    <t>CORONEL MOLDES</t>
  </si>
  <si>
    <t>EVA ROSSO</t>
  </si>
  <si>
    <t>evarosso440@gmail.com</t>
  </si>
  <si>
    <t>Ezequiel Moiso</t>
  </si>
  <si>
    <t>3582 40-7484</t>
  </si>
  <si>
    <t>ELENA</t>
  </si>
  <si>
    <t>DORIS DEL VALLE AGHEMO</t>
  </si>
  <si>
    <t>contadoradoris@hotmail.com.ar</t>
  </si>
  <si>
    <t>Aguirre Romina</t>
  </si>
  <si>
    <t>3584 01-7677</t>
  </si>
  <si>
    <t>LA CAROLINA "EL POTOSI"</t>
  </si>
  <si>
    <t>SABINA RAQUEL SANITA</t>
  </si>
  <si>
    <t>SABINA_2010@HOTMAIL.COM.AR</t>
  </si>
  <si>
    <t>Sabina Raquel Sanita</t>
  </si>
  <si>
    <t>LA CAUTIVA</t>
  </si>
  <si>
    <t>JOSE LUIS BELTRAMONE</t>
  </si>
  <si>
    <t>jlbeltramone@yahoo.com.ar</t>
  </si>
  <si>
    <t>Roxana Ferreyra</t>
  </si>
  <si>
    <t>LAS ACEQUIAS</t>
  </si>
  <si>
    <t>GASTON TOMATIS</t>
  </si>
  <si>
    <t>gastontomatis@hotmail.com</t>
  </si>
  <si>
    <t>German Martini</t>
  </si>
  <si>
    <t>3584 01-5372</t>
  </si>
  <si>
    <t>LAS ALBAHACAS</t>
  </si>
  <si>
    <t>MIRIAM AGÜERO</t>
  </si>
  <si>
    <t>myantito@hotmail.com</t>
  </si>
  <si>
    <t>Miriam Agüero</t>
  </si>
  <si>
    <t>Juntos por el Cambio - UCR</t>
  </si>
  <si>
    <t>LAS HIGUERAS</t>
  </si>
  <si>
    <t>ALBERTO RODOLFO ESCUDERO</t>
  </si>
  <si>
    <t>secretaria-economia@lashigueras.gov.ar</t>
  </si>
  <si>
    <t>Gianfranco Luccesi</t>
  </si>
  <si>
    <t>LAS PEÑAS SUD</t>
  </si>
  <si>
    <t>NESTOR JOSE PASERO</t>
  </si>
  <si>
    <t>pelado197@gmail.com</t>
  </si>
  <si>
    <t>Nahuel Biole</t>
  </si>
  <si>
    <t>LAS VERTIENTES</t>
  </si>
  <si>
    <t>MIGUEL MELANO</t>
  </si>
  <si>
    <t>miguelmelano01@gmail.com</t>
  </si>
  <si>
    <t>Javier Girardi</t>
  </si>
  <si>
    <t>MALENA</t>
  </si>
  <si>
    <t>JORGELINA SARDO</t>
  </si>
  <si>
    <t>jorgelina.soardo@hotmail.com</t>
  </si>
  <si>
    <t>Leonardo Cravero</t>
  </si>
  <si>
    <t>MONTE DE LOS GAUCHOS</t>
  </si>
  <si>
    <t>ARIEL GRICH</t>
  </si>
  <si>
    <t>arielgrich@live.com.ar/sec-gobierno@montedlgauchos.com.ar</t>
  </si>
  <si>
    <t>Sergio Gomez</t>
  </si>
  <si>
    <t>RIO CUARTO</t>
  </si>
  <si>
    <t>JUAN MANUEL LLAMOSAS</t>
  </si>
  <si>
    <t>juanmallamosas@hotmail.com</t>
  </si>
  <si>
    <t>Nahuel Elias Biole</t>
  </si>
  <si>
    <t>3546 51-5294</t>
  </si>
  <si>
    <t>SAMPACHO</t>
  </si>
  <si>
    <t>FRANCO SUAREZ</t>
  </si>
  <si>
    <t>Franco Suarez</t>
  </si>
  <si>
    <t>SAN BASILIO</t>
  </si>
  <si>
    <t>MOINE RUBÉN NORBERTO</t>
  </si>
  <si>
    <t>rubenmoine@gmail.com</t>
  </si>
  <si>
    <t>Silvestrin Pablo Hugo</t>
  </si>
  <si>
    <t>Compromiso Ciudadano San Basilio</t>
  </si>
  <si>
    <t>SANTA CATALINA</t>
  </si>
  <si>
    <t>MIGUEL ANGEL NEGRO</t>
  </si>
  <si>
    <t>3584830823 / 0358 - 4990145 int 41 Lorena Arsaut</t>
  </si>
  <si>
    <t>munisantacatalina@gmail.com / secretariadesantacatalina@gmail.com</t>
  </si>
  <si>
    <t>Maximiliano Rossetto</t>
  </si>
  <si>
    <t>SUCO</t>
  </si>
  <si>
    <t>BONELLI FLAVIA</t>
  </si>
  <si>
    <t>flaviabonelli@hotmail.com</t>
  </si>
  <si>
    <t>Flavia Bonelli</t>
  </si>
  <si>
    <t>TOSQUITA</t>
  </si>
  <si>
    <t>LUIS NATALIO GASPAROLO</t>
  </si>
  <si>
    <t>municipalidad-detosquita@hotmail.com</t>
  </si>
  <si>
    <t>Facundo Brizio</t>
  </si>
  <si>
    <t>VICUÑA MACKENNA</t>
  </si>
  <si>
    <t>ROBERTO DANIEL CASARI</t>
  </si>
  <si>
    <t>hacienda@mvm.gov.ar/ intendencia@mvm.gov.ar</t>
  </si>
  <si>
    <t>Roberto Casari</t>
  </si>
  <si>
    <t>VILLA EL CHACAY</t>
  </si>
  <si>
    <t>JUAN AVILA</t>
  </si>
  <si>
    <t>jcarloavila@hotmail.com</t>
  </si>
  <si>
    <t>Radice Raul</t>
  </si>
  <si>
    <t>La Libertad Avanza</t>
  </si>
  <si>
    <t>WASHINGTON</t>
  </si>
  <si>
    <t>DARUICH SELIME NOEMI</t>
  </si>
  <si>
    <t>comunawashington@hotmail.com.ar</t>
  </si>
  <si>
    <t>Maria Marta Quiroga</t>
  </si>
  <si>
    <t>3583 44-2913</t>
  </si>
  <si>
    <t>‎mariamartaquiroga7@hotmail.com</t>
  </si>
  <si>
    <t>Rio Primero</t>
  </si>
  <si>
    <t>ATAHONA</t>
  </si>
  <si>
    <t>ELIO AGUIRRE</t>
  </si>
  <si>
    <t>comunadeatahona@hotmail.com</t>
  </si>
  <si>
    <t>Aguirre Carmen Trinidad</t>
  </si>
  <si>
    <t>CAÑADA DE MACHADO</t>
  </si>
  <si>
    <t>DANIEL ISOARDI</t>
  </si>
  <si>
    <t>comunacm@gmail.com</t>
  </si>
  <si>
    <t>Daniel Isoardi</t>
  </si>
  <si>
    <t>CAPILLA DE LOS REMEDIOS</t>
  </si>
  <si>
    <t>CESAR NICOLAS ÑAÑEZ</t>
  </si>
  <si>
    <t>nicolascba2002@gmail.com</t>
  </si>
  <si>
    <t>Ñañez Cesar Nicolas</t>
  </si>
  <si>
    <t>CHALACEA</t>
  </si>
  <si>
    <t>ISMAEL DELGADO</t>
  </si>
  <si>
    <t>dardo.ismael_delgado@hotmail.com</t>
  </si>
  <si>
    <t>Ingas Nestor Italo</t>
  </si>
  <si>
    <t>COLONIA LAS CUATRO ESQUINAS</t>
  </si>
  <si>
    <t>VICTOR HUGO MALANO</t>
  </si>
  <si>
    <t>victormalano54@gmail.com</t>
  </si>
  <si>
    <t>Silvana Paredes</t>
  </si>
  <si>
    <t>Union Vecinal/HUXCBA</t>
  </si>
  <si>
    <t>COMECHINGONES</t>
  </si>
  <si>
    <t>LAURA COMBA</t>
  </si>
  <si>
    <t>comunadecomechingones@live.com.ar</t>
  </si>
  <si>
    <t>Jorge Toscano</t>
  </si>
  <si>
    <t>3517 63-0594</t>
  </si>
  <si>
    <t>DIEGO DE ROJAS</t>
  </si>
  <si>
    <t>JOSÉ BOXLER</t>
  </si>
  <si>
    <t>jose_boxler@hotmail.com</t>
  </si>
  <si>
    <t>Lemos Romana</t>
  </si>
  <si>
    <t>EL CRISPIN</t>
  </si>
  <si>
    <t>CINTIA GUTIERREZ</t>
  </si>
  <si>
    <t>CINTIA.JANET@LIVE.COM</t>
  </si>
  <si>
    <t>Cintia Gutierrez</t>
  </si>
  <si>
    <t>ESQUINA</t>
  </si>
  <si>
    <t>CARLOS GONZALEZ</t>
  </si>
  <si>
    <t>3525433198 - 3525542399</t>
  </si>
  <si>
    <t>comunadeesquinario1@gmail.com</t>
  </si>
  <si>
    <t>Molina Patricia del Valle</t>
  </si>
  <si>
    <t>LA PARA</t>
  </si>
  <si>
    <t>MARTIN GUZMAN</t>
  </si>
  <si>
    <t>tongaguzmanlp@gmail.com/ desarrollosocialapara@gmail.com</t>
  </si>
  <si>
    <t>Piana Jose Victor</t>
  </si>
  <si>
    <t>LA POSTA</t>
  </si>
  <si>
    <t>IRMA VILLARREAL</t>
  </si>
  <si>
    <t>comunadelaposta@gmail.com</t>
  </si>
  <si>
    <t>Rodriguez Tamara</t>
  </si>
  <si>
    <t>LA PUERTA</t>
  </si>
  <si>
    <t>BRASCA FERNANDO PEDRO</t>
  </si>
  <si>
    <t>munilapuerta@hotmail.com</t>
  </si>
  <si>
    <t>Peralta Córdoba Lorena</t>
  </si>
  <si>
    <t>LA QUINTA</t>
  </si>
  <si>
    <t>ALBERTO GUTIERREZ</t>
  </si>
  <si>
    <t>albertogutierrez1412@hotmail.com</t>
  </si>
  <si>
    <t>Giordanengo Mario Cesar</t>
  </si>
  <si>
    <t>LAS GRAMILLAS</t>
  </si>
  <si>
    <t>DIEGO ALBERIONE</t>
  </si>
  <si>
    <t>dmalberione@hotmail.com</t>
  </si>
  <si>
    <t>Priotto Daniel Alfonso</t>
  </si>
  <si>
    <t>LAS SALADAS</t>
  </si>
  <si>
    <t>MARTIN OSCAR CATANIA</t>
  </si>
  <si>
    <t>03575-490615 (MUNI)</t>
  </si>
  <si>
    <t>comuna_lassaladas@hotmail.com</t>
  </si>
  <si>
    <t>Catania Martin Oscar</t>
  </si>
  <si>
    <t>MAQUINISTA GALLINI</t>
  </si>
  <si>
    <t>CRISTIAN CIENZA</t>
  </si>
  <si>
    <t>elymazzeo@hotmail.com</t>
  </si>
  <si>
    <t>Marta Oietto</t>
  </si>
  <si>
    <t>MONTE CRISTO</t>
  </si>
  <si>
    <t>VERONICA GAZZONI</t>
  </si>
  <si>
    <t>3513057338/3512009362 (Ezequiel Aguirre Sec. De Gobierno)</t>
  </si>
  <si>
    <t>veronicagazzoni@hotmail.com</t>
  </si>
  <si>
    <t>Daniel Hanewizcs</t>
  </si>
  <si>
    <t>OBISPO TREJO</t>
  </si>
  <si>
    <t>SILVIA MANSILLA</t>
  </si>
  <si>
    <t>silbialmansilla28@hotmail.com</t>
  </si>
  <si>
    <t>Mansilla Silbia</t>
  </si>
  <si>
    <t>KILOMETRO 658</t>
  </si>
  <si>
    <t>ANDINO GILABERT DANIELA VERONICA</t>
  </si>
  <si>
    <t>danielaandino9@hotmail.com/comunakm658@gmail.com</t>
  </si>
  <si>
    <t>Daniela Andino</t>
  </si>
  <si>
    <t>PIQUILLIN</t>
  </si>
  <si>
    <t>JOSE HORACIO RUBIOLO</t>
  </si>
  <si>
    <t>carraralau@hotmail.com</t>
  </si>
  <si>
    <t>David Moreno</t>
  </si>
  <si>
    <t>PLAZA DE MERCEDES</t>
  </si>
  <si>
    <t>CARLOS RODRIGUEZ</t>
  </si>
  <si>
    <t>comunaplaza@yahoo.com.ar</t>
  </si>
  <si>
    <t>Amaya Lorena</t>
  </si>
  <si>
    <t>RIO PRIMERO</t>
  </si>
  <si>
    <t>CRISTINA CRAVERO</t>
  </si>
  <si>
    <t>craveromarchetti@hotmail.com/cristinacravero.intendente@gmail.com</t>
  </si>
  <si>
    <t>Arneudo Galfre Mariangeles</t>
  </si>
  <si>
    <t>SAGRADA FAMILIA</t>
  </si>
  <si>
    <t>LEANDRO CHIARVA</t>
  </si>
  <si>
    <t>chiarvalenadro@gmail.com</t>
  </si>
  <si>
    <t>Monti Adrian Alejandro</t>
  </si>
  <si>
    <t>VILLA FONTANA</t>
  </si>
  <si>
    <t>VICTOR ABEL BIAGIOLI</t>
  </si>
  <si>
    <t>victorbiagioli@hotmail.com/municipalidadvf@gmail.com</t>
  </si>
  <si>
    <t>Biagioli Victor</t>
  </si>
  <si>
    <t>SANTA ROSA DE RIO PRIMERO</t>
  </si>
  <si>
    <t>VICTOR KIEFFER</t>
  </si>
  <si>
    <t>centroinfantilvillasantarosa@gmail.com</t>
  </si>
  <si>
    <t>Kieffer Daniel</t>
  </si>
  <si>
    <t>3574 41-1346</t>
  </si>
  <si>
    <t>Rio Seco</t>
  </si>
  <si>
    <t>CERRO COLORADO</t>
  </si>
  <si>
    <t>ARIEL B. BUSTOS</t>
  </si>
  <si>
    <t>COMUNACERROCOLORADO@hotmail.com</t>
  </si>
  <si>
    <t>Cesio Ana Betina</t>
  </si>
  <si>
    <t>CHAÑAR VIEJO</t>
  </si>
  <si>
    <t>GUSTAVO ARIEL BUSTOS</t>
  </si>
  <si>
    <t>arielbustoss@hotmail.com</t>
  </si>
  <si>
    <t>Bustos Griselda</t>
  </si>
  <si>
    <t>EUFRASIO LOZA</t>
  </si>
  <si>
    <t>BENIGNA ESTELA ALARCON</t>
  </si>
  <si>
    <t>comunaeufrasio@hotmail.com</t>
  </si>
  <si>
    <t>Acosta Romina Soledad</t>
  </si>
  <si>
    <t>3513 05-8431</t>
  </si>
  <si>
    <t>GUTEMBERG</t>
  </si>
  <si>
    <t>HECTOR GABRIEL VILLARREAL</t>
  </si>
  <si>
    <t>comunadegutenberg@hotmail.com</t>
  </si>
  <si>
    <t>Cabral Claudia Maricel</t>
  </si>
  <si>
    <t>LA RINCONADA</t>
  </si>
  <si>
    <t>AURORA PERALTA</t>
  </si>
  <si>
    <t>larinconada5233@hotmail.com</t>
  </si>
  <si>
    <t>Luis Ludueña</t>
  </si>
  <si>
    <t>LOS HOYOS</t>
  </si>
  <si>
    <t>MANSILLA JOSÉ</t>
  </si>
  <si>
    <t>hectorpepemansilla@hotmail.com</t>
  </si>
  <si>
    <t>Peralta Adriana del Valle</t>
  </si>
  <si>
    <t>PUESTO DE CASTRO</t>
  </si>
  <si>
    <t>JOSE HECTOR RENE VILLEGAS</t>
  </si>
  <si>
    <t>villegasrene1@hotmail.com</t>
  </si>
  <si>
    <t>Rodolfo Ganz</t>
  </si>
  <si>
    <t>RAYO CORTADO</t>
  </si>
  <si>
    <t>JUAN RAUL GONZALEZ</t>
  </si>
  <si>
    <t>comunarayocortado@gmail.com</t>
  </si>
  <si>
    <t>Gonzalez Hector Rodolfo</t>
  </si>
  <si>
    <t>3516 51-0999</t>
  </si>
  <si>
    <t>Frente Liberal Democrata Desarrollista</t>
  </si>
  <si>
    <t>SANTA ELENA</t>
  </si>
  <si>
    <t>PATRICIO POTEL</t>
  </si>
  <si>
    <t>patriciopoli54@gmail.com</t>
  </si>
  <si>
    <t>Rojas Diego Paulo</t>
  </si>
  <si>
    <t>3522 64-9078</t>
  </si>
  <si>
    <t>SEBASTIAN ELCANO</t>
  </si>
  <si>
    <t>LUCAS LERDA</t>
  </si>
  <si>
    <t>MUNICIPALIDADSEBASTIANELCANO@HOTMAIL.COM</t>
  </si>
  <si>
    <t>Lucas Lerda</t>
  </si>
  <si>
    <t>VILLA CANDELARIA NORTE</t>
  </si>
  <si>
    <t>PATRICIO ZEC</t>
  </si>
  <si>
    <t>zechector@gmail.com</t>
  </si>
  <si>
    <t>mariela belen</t>
  </si>
  <si>
    <t>3522 408322</t>
  </si>
  <si>
    <t>VILLA DE MARIA</t>
  </si>
  <si>
    <t>RAMON FLORES</t>
  </si>
  <si>
    <t>turismovillademaria@gmail.com</t>
  </si>
  <si>
    <t>Arce Jose Luis</t>
  </si>
  <si>
    <t>3522 40-3408</t>
  </si>
  <si>
    <t>Partido Laborista</t>
  </si>
  <si>
    <t>Rio Segundo</t>
  </si>
  <si>
    <t>CALCHIN</t>
  </si>
  <si>
    <t>CLAUDIO RAFAEL GORGERINO</t>
  </si>
  <si>
    <t>integorgerino@hotmail.com</t>
  </si>
  <si>
    <t>Claudio Caon</t>
  </si>
  <si>
    <t>CALCHIN OESTE</t>
  </si>
  <si>
    <t>NESTOR FAVIAN BOSSIO</t>
  </si>
  <si>
    <t>nestorfavianb66@gmail.com</t>
  </si>
  <si>
    <t>Mariano Vottero</t>
  </si>
  <si>
    <t>CAPILLA DEL CARMEN</t>
  </si>
  <si>
    <t>Daniel Turina</t>
  </si>
  <si>
    <t>CARRILOBO</t>
  </si>
  <si>
    <t>DANIEL TAPPERO</t>
  </si>
  <si>
    <t>municipalidadcarrilobo@yahoo.com.ar</t>
  </si>
  <si>
    <t>Clara Leonardo Miguel</t>
  </si>
  <si>
    <t>COLAZO</t>
  </si>
  <si>
    <t>SERGIO TEMPORINI</t>
  </si>
  <si>
    <t>munidecolazo@hotmail.com</t>
  </si>
  <si>
    <t>Sergio Temporini</t>
  </si>
  <si>
    <t>COLONIA VIDELA</t>
  </si>
  <si>
    <t>GUSTAVO ROMAN AIMAR</t>
  </si>
  <si>
    <t>gusaimar_67@hotmail.com</t>
  </si>
  <si>
    <t>Ramiro Brondino</t>
  </si>
  <si>
    <t>COSTASACATE</t>
  </si>
  <si>
    <t>MACIEL BALDUCCI</t>
  </si>
  <si>
    <t>macielbalduzzi@hotmail.com</t>
  </si>
  <si>
    <t>Balduzzi Elias</t>
  </si>
  <si>
    <t>IMPIRA</t>
  </si>
  <si>
    <t>ULISES VIALE</t>
  </si>
  <si>
    <t>ulisesviale79@hotmail.com</t>
  </si>
  <si>
    <t>Viada Laura Soledad</t>
  </si>
  <si>
    <t>LAGUNA LARGA</t>
  </si>
  <si>
    <t>MATIAS TORRES CENA</t>
  </si>
  <si>
    <t>MATIASTC@MSN.COM</t>
  </si>
  <si>
    <t>Matias Torres Cena</t>
  </si>
  <si>
    <t>LAS JUNTURAS</t>
  </si>
  <si>
    <t>DAMIAN JOSE PASTORE</t>
  </si>
  <si>
    <t>damianpastore2012@hotmail.com</t>
  </si>
  <si>
    <t>Jose Luis Tassin</t>
  </si>
  <si>
    <t>3532 67-7938</t>
  </si>
  <si>
    <t>LOS CHAÑARITOS (RS)</t>
  </si>
  <si>
    <t>ELENA JUANA MASSIMINO DE FELIPPA</t>
  </si>
  <si>
    <t>chanaritos.rio2@gmail.com</t>
  </si>
  <si>
    <t>Franco Mendoseva - LISTA UNICA</t>
  </si>
  <si>
    <t>LUQUE</t>
  </si>
  <si>
    <t>LUCAS GERMÁN VALIENTE</t>
  </si>
  <si>
    <t>lucasval40@hotmail.com</t>
  </si>
  <si>
    <t>Diego Vianno</t>
  </si>
  <si>
    <t>3573 69-2662</t>
  </si>
  <si>
    <t>MANFREDI</t>
  </si>
  <si>
    <t>VILLALON CRISTIAN</t>
  </si>
  <si>
    <t>cristianvillalon@hotmail.com</t>
  </si>
  <si>
    <t>Olmedo Patricio</t>
  </si>
  <si>
    <t>3572 59-6414</t>
  </si>
  <si>
    <t>MATORRALES</t>
  </si>
  <si>
    <t>FRANCO CINGOLANI</t>
  </si>
  <si>
    <t>francocingolani66@hotmail.com</t>
  </si>
  <si>
    <t>Cingolani Franco</t>
  </si>
  <si>
    <t>ONCATIVO</t>
  </si>
  <si>
    <t>GASTON LUIS RE</t>
  </si>
  <si>
    <t>gastonre@oncativo.gob.ar</t>
  </si>
  <si>
    <t>Filoni Nicolas</t>
  </si>
  <si>
    <t>PILAR</t>
  </si>
  <si>
    <t>LEOPOLDO GRUMPSTUP</t>
  </si>
  <si>
    <t>grumstrup17@gmail.com</t>
  </si>
  <si>
    <t>Leopoldo Grumpstrup</t>
  </si>
  <si>
    <t>POZO DEL MOLLE</t>
  </si>
  <si>
    <t>JORGE ROLAND</t>
  </si>
  <si>
    <t>martin_roland@hotmail.com</t>
  </si>
  <si>
    <t>Ruiz Diaz Fernando</t>
  </si>
  <si>
    <t>RINCON</t>
  </si>
  <si>
    <t>SERGIO D. LUDUEÑA</t>
  </si>
  <si>
    <t>sergiolud@hotmail.com</t>
  </si>
  <si>
    <t>Perez Miguel Alejandro</t>
  </si>
  <si>
    <t>3573 43-5090</t>
  </si>
  <si>
    <t>RIO SEGUNDO</t>
  </si>
  <si>
    <t>DARIO CHESTA</t>
  </si>
  <si>
    <t>dariochesta@gmail.com/ albertjuridicos@gmail.com</t>
  </si>
  <si>
    <t>Chesta Dario</t>
  </si>
  <si>
    <t>SANTIAGO TEMPLE</t>
  </si>
  <si>
    <t>MARCOS FERACE</t>
  </si>
  <si>
    <t>marcoferace@yahoo.com.ar</t>
  </si>
  <si>
    <t>Marcos Ferace</t>
  </si>
  <si>
    <t>VILLA DEL ROSARIO</t>
  </si>
  <si>
    <t>RICARDO MANERA</t>
  </si>
  <si>
    <t>manerarys@gmail.com</t>
  </si>
  <si>
    <t>Diego Carballo</t>
  </si>
  <si>
    <t>San Alberto</t>
  </si>
  <si>
    <t>AMBUL</t>
  </si>
  <si>
    <t>CLAUDIA BUSTOS</t>
  </si>
  <si>
    <t>claubustos74@hotmail.com</t>
  </si>
  <si>
    <t>Atala Sandro</t>
  </si>
  <si>
    <t>Somos Ambul</t>
  </si>
  <si>
    <t>ARROYO DE LOS PATOS</t>
  </si>
  <si>
    <t>NESTOR NIEVAS</t>
  </si>
  <si>
    <t>nievasnestor71@gmail.com</t>
  </si>
  <si>
    <t>Ponce Mirta Beatriz</t>
  </si>
  <si>
    <t>Partido Democrata Cristiano</t>
  </si>
  <si>
    <t>LAS CALLES</t>
  </si>
  <si>
    <t>MAURO OVIEDO</t>
  </si>
  <si>
    <t>maurooviedo165@gmail.com/ comunadelascalles@hotmail.com</t>
  </si>
  <si>
    <t>Ramirez Debora Camila</t>
  </si>
  <si>
    <t>LAS RABONAS</t>
  </si>
  <si>
    <t>MARCELO MATOS</t>
  </si>
  <si>
    <t>comunalr@gmail.com</t>
  </si>
  <si>
    <t>Ferreyra Walter Ruben</t>
  </si>
  <si>
    <t>3512 06-0153</t>
  </si>
  <si>
    <t>MINA CLAVERO</t>
  </si>
  <si>
    <t>CLAUDIO MANZANELLI</t>
  </si>
  <si>
    <t>claudiomanzanelli04@gmail.com</t>
  </si>
  <si>
    <t>Quiroga Luis Leandro</t>
  </si>
  <si>
    <t>NONO</t>
  </si>
  <si>
    <t>MARIANO CEBALLOS RECALDE</t>
  </si>
  <si>
    <t>mariano.ceballos.nono@gmail.com</t>
  </si>
  <si>
    <t>Ramirez Matias</t>
  </si>
  <si>
    <t>ramirezmatias265@gmail.com</t>
  </si>
  <si>
    <t>PANAHOLMA</t>
  </si>
  <si>
    <t>DARÍO ALTAMIRANO</t>
  </si>
  <si>
    <t>comunadepanaholma@hotmail.com.ar</t>
  </si>
  <si>
    <t>Guzman Isidoro</t>
  </si>
  <si>
    <t>3544 40-8818</t>
  </si>
  <si>
    <t>SAN LORENZO</t>
  </si>
  <si>
    <t>LUIS AGUIRRE</t>
  </si>
  <si>
    <t>comunasanlorenzo@gmail.com</t>
  </si>
  <si>
    <t>Depetris Luis</t>
  </si>
  <si>
    <t>SAN PEDRO</t>
  </si>
  <si>
    <t>SERGIO SORIA</t>
  </si>
  <si>
    <t>silvinacabezasborneo@gmail.com</t>
  </si>
  <si>
    <t>Silvina Cabezas</t>
  </si>
  <si>
    <t>SAN VICENTE</t>
  </si>
  <si>
    <t>OVIEDO ELIAS JAVIER</t>
  </si>
  <si>
    <t>3544549995/3544539456</t>
  </si>
  <si>
    <t>oviedoeliasjavier@gmail.com</t>
  </si>
  <si>
    <t>Oviedo Elias</t>
  </si>
  <si>
    <t>SAUCE ARRIBA</t>
  </si>
  <si>
    <t>JUAN RAMON ROMERO</t>
  </si>
  <si>
    <t>romerojuanramon239@hotmail.com</t>
  </si>
  <si>
    <t>Romero Luciana Dolores</t>
  </si>
  <si>
    <t>VILLA CURA BROCHERO</t>
  </si>
  <si>
    <t>CARLOS OVIEDO</t>
  </si>
  <si>
    <t>carlosmoviedo@gmail.com</t>
  </si>
  <si>
    <t>Oviedo Carlos</t>
  </si>
  <si>
    <t>VILLA SARMIENTO (SA)</t>
  </si>
  <si>
    <t>ROBERTO OVIEDO</t>
  </si>
  <si>
    <t>oviedorobertocsyds@gmail.com</t>
  </si>
  <si>
    <t>Cufre Sergio Andres</t>
  </si>
  <si>
    <t>Fuerza por Sarmiento</t>
  </si>
  <si>
    <t>CONLARA</t>
  </si>
  <si>
    <t>ANTONIO TRANSITO CASTRO</t>
  </si>
  <si>
    <t>comunadeconlara@hotmail.com</t>
  </si>
  <si>
    <t>Dominguez Celia Teresa</t>
  </si>
  <si>
    <t>LA PAZ</t>
  </si>
  <si>
    <t>CARLOS HACHUEL</t>
  </si>
  <si>
    <t>municipalidaddelapaz@hotmail.com</t>
  </si>
  <si>
    <t>Funes Ramon Rufino</t>
  </si>
  <si>
    <t>LA POBLACION</t>
  </si>
  <si>
    <t>FRANCISCO RAUL MARTINEZ</t>
  </si>
  <si>
    <t>frmartinez.2011@hotmail.com</t>
  </si>
  <si>
    <t>Romero Eduardo "Yobi"</t>
  </si>
  <si>
    <t>LAS TAPIAS</t>
  </si>
  <si>
    <t>LUISA DIAZ</t>
  </si>
  <si>
    <t>3544467295 / 011-1555090639 ALBERTO IRIRARTE secretario privado / 3513095387 maximiliano romero (prensa)</t>
  </si>
  <si>
    <t>prensa.lucydiaz@gmail.com</t>
  </si>
  <si>
    <t>Diaz Luisa</t>
  </si>
  <si>
    <t>LOS CERRILLOS</t>
  </si>
  <si>
    <t>JOSE ALBERTO VARGAS</t>
  </si>
  <si>
    <t>municipalidadloscerrillos@hotmail.com.ar</t>
  </si>
  <si>
    <t>Michelini Silvana</t>
  </si>
  <si>
    <t>3544-645222</t>
  </si>
  <si>
    <t>LOS HORNILLOS</t>
  </si>
  <si>
    <t>JOSE LUCIO PAREDES</t>
  </si>
  <si>
    <t>comunalh@gmail.com</t>
  </si>
  <si>
    <t>Caballero Carolina</t>
  </si>
  <si>
    <t>LUYABA</t>
  </si>
  <si>
    <t>ULISES NELSON ALTAMIRANO</t>
  </si>
  <si>
    <t>ulises_altamirano@hotmail.com</t>
  </si>
  <si>
    <t>Pereyra Maximiliano</t>
  </si>
  <si>
    <t>SAN JAVIER Y YACANTO</t>
  </si>
  <si>
    <t>MARTIN GARCIA</t>
  </si>
  <si>
    <t>Garcia Martin</t>
  </si>
  <si>
    <t>SAN JOSE</t>
  </si>
  <si>
    <t>HUGO GOMEZ</t>
  </si>
  <si>
    <t>hugowgomez53@gmail.com</t>
  </si>
  <si>
    <t>Americo Gomez</t>
  </si>
  <si>
    <t>3541 24-1351</t>
  </si>
  <si>
    <t>VILLA DE LAS ROSAS</t>
  </si>
  <si>
    <t>ENRIQUE RODOLFO REBORA</t>
  </si>
  <si>
    <t>munivillalasrosas@gmail.com</t>
  </si>
  <si>
    <t>Oviedo Javier Omar</t>
  </si>
  <si>
    <t>VILLA DOLORES</t>
  </si>
  <si>
    <t>CARMEN GLORIA PEREYRA</t>
  </si>
  <si>
    <t>cgloriapereyra@gmail.com/ paopousset@gmail.com</t>
  </si>
  <si>
    <t>Maximiliano Rivarola</t>
  </si>
  <si>
    <t>Movimiento Ciudadano/Juntos por el Cambio</t>
  </si>
  <si>
    <t>ALICIA</t>
  </si>
  <si>
    <t>JOSE GUALDONI</t>
  </si>
  <si>
    <t>accion.social.alicia@gmail.com</t>
  </si>
  <si>
    <t>ALTOS DE CHIPION</t>
  </si>
  <si>
    <t>NERIS GARRAZA</t>
  </si>
  <si>
    <t>muniadechipion@gmail.com</t>
  </si>
  <si>
    <t>Fuyana Carlos</t>
  </si>
  <si>
    <t>ARROYITO</t>
  </si>
  <si>
    <t>GUSTAVO BENEDETTI</t>
  </si>
  <si>
    <t>3576468889/410340</t>
  </si>
  <si>
    <t>gbenedetti@municipiodearroyito.gob.ar/gustavobenedetti2019@gmail.com</t>
  </si>
  <si>
    <t>Benedetti Gustavo</t>
  </si>
  <si>
    <t>BALNEARIA</t>
  </si>
  <si>
    <t>MIGUEL MENDEZ</t>
  </si>
  <si>
    <t>intendencia@balnearia.gob.ar</t>
  </si>
  <si>
    <t>Mendez Miguel</t>
  </si>
  <si>
    <t>BRINKMANN</t>
  </si>
  <si>
    <t>GUSTAVO TEVEZ</t>
  </si>
  <si>
    <t>tevezstefani@yahoo.com.ar</t>
  </si>
  <si>
    <t>Actis Mauricio</t>
  </si>
  <si>
    <t>COLONIA ANITA</t>
  </si>
  <si>
    <t>SERGIO BELTRAMINO</t>
  </si>
  <si>
    <t>coloniaanita@yahoo.com.ar</t>
  </si>
  <si>
    <t>Busso German Raul - LISTA UNICA</t>
  </si>
  <si>
    <t>Vecinal - UCR</t>
  </si>
  <si>
    <t>COLONIA ITURRASPE</t>
  </si>
  <si>
    <t>ABEL BINNER</t>
  </si>
  <si>
    <t>coloniaiturraspe@yahoo.com</t>
  </si>
  <si>
    <t>Salvagno Fernando - LISTA UNICA</t>
  </si>
  <si>
    <t>COLONIA LAS PICHANAS</t>
  </si>
  <si>
    <t>LINDER EDER LANDRA</t>
  </si>
  <si>
    <t>oficinapichanas@gmail.com</t>
  </si>
  <si>
    <t>Ascuet Ana Maria - LISTA UNICA</t>
  </si>
  <si>
    <t>3576 46-6962</t>
  </si>
  <si>
    <t>COLONIA MARINA</t>
  </si>
  <si>
    <t>GERARDO CERUTTI</t>
  </si>
  <si>
    <t>3564-615239</t>
  </si>
  <si>
    <t>gerardojosecerutti@gmail.com</t>
  </si>
  <si>
    <t>Cerutti Gerardo Jose</t>
  </si>
  <si>
    <t>COLONIA PROSPERIDAD</t>
  </si>
  <si>
    <t>MIGUEL MARADONA</t>
  </si>
  <si>
    <t>veterinariagarua@hotmail.com</t>
  </si>
  <si>
    <t>Miguel Maradona</t>
  </si>
  <si>
    <t>COLONIA SAN BARTOLOME</t>
  </si>
  <si>
    <t>NORBERTO MAGNI</t>
  </si>
  <si>
    <t>tainamagni@gmail.com</t>
  </si>
  <si>
    <t>Colombero Eduardo</t>
  </si>
  <si>
    <t>COLONIA SAN PEDRO</t>
  </si>
  <si>
    <t>VICTOR ESTEBAN BLENGINO</t>
  </si>
  <si>
    <t>victorble@live.com</t>
  </si>
  <si>
    <t>Novahig Maria Alejandra</t>
  </si>
  <si>
    <t>COLONIA VALTELINA</t>
  </si>
  <si>
    <t>GABRIEL FELIPPA</t>
  </si>
  <si>
    <t>gabrielfelippa@hotmail.com</t>
  </si>
  <si>
    <t>Villa Maria Soledad</t>
  </si>
  <si>
    <t>Agrupacion Vecinal</t>
  </si>
  <si>
    <t>COLONIA VIGNAUD</t>
  </si>
  <si>
    <t>EVANGELINA VIGNA</t>
  </si>
  <si>
    <t>03562-15515112</t>
  </si>
  <si>
    <t>evivigna@gmail.com</t>
  </si>
  <si>
    <t>Vigna Evangelina</t>
  </si>
  <si>
    <t>DEVOTO</t>
  </si>
  <si>
    <t>ADRIAN NELSO RINERO</t>
  </si>
  <si>
    <t>adrianrinero@arnet.com.ar/adrianrinero@gmail.com</t>
  </si>
  <si>
    <t>Adrian Rinero</t>
  </si>
  <si>
    <t>EL ARAÑADO</t>
  </si>
  <si>
    <t>JORGE ALBERTO ARROYO</t>
  </si>
  <si>
    <t>jarroyo@hotmail.com.ar</t>
  </si>
  <si>
    <t>EL FORTIN</t>
  </si>
  <si>
    <t>ELIO ANTONIO SANCHEZ</t>
  </si>
  <si>
    <t>sanchez-ea@hotmail.com</t>
  </si>
  <si>
    <t>Entesano Carlos</t>
  </si>
  <si>
    <t>EL TIO</t>
  </si>
  <si>
    <t>FERNANDO ROSSI</t>
  </si>
  <si>
    <t>pirurossi@hotmail.com</t>
  </si>
  <si>
    <t>Bertotti Silvia</t>
  </si>
  <si>
    <t>FREYRE</t>
  </si>
  <si>
    <t>AGUSTO PASTORE</t>
  </si>
  <si>
    <t>desarrollosocial_freyre@hotmail.com</t>
  </si>
  <si>
    <t>Baldo German</t>
  </si>
  <si>
    <t>LA FRANCIA</t>
  </si>
  <si>
    <t>MARÍA FERNANDA GRIMALDI</t>
  </si>
  <si>
    <t>francocastellina@hotmail.com</t>
  </si>
  <si>
    <t>Castellina Franco</t>
  </si>
  <si>
    <t>LA PAQUITA</t>
  </si>
  <si>
    <t>RUBEN PARA</t>
  </si>
  <si>
    <t>rubenjp@hotmail.com.ar</t>
  </si>
  <si>
    <t>Muselo Rodolfo</t>
  </si>
  <si>
    <t>LA TORDILLA</t>
  </si>
  <si>
    <t>CLAUDIA BORDONI</t>
  </si>
  <si>
    <t>munitordilla@gmail.com</t>
  </si>
  <si>
    <t>Bordoni Claudia</t>
  </si>
  <si>
    <t>LAS VARAS</t>
  </si>
  <si>
    <t>EDUARDO RAMON ALE</t>
  </si>
  <si>
    <t>eduardo@cayelac.com.ar</t>
  </si>
  <si>
    <t>fabiandmacias@gmail.com</t>
  </si>
  <si>
    <t>LAS VARILLAS</t>
  </si>
  <si>
    <t>fliadaniele2000@gmail.com</t>
  </si>
  <si>
    <t>Mauro Daniele</t>
  </si>
  <si>
    <t>Sigamos Juntos Las Varillas</t>
  </si>
  <si>
    <t>MARULL</t>
  </si>
  <si>
    <t>GABRIEL FALETTO</t>
  </si>
  <si>
    <t>jgabrielfaletto@gmail.com</t>
  </si>
  <si>
    <t>Faletto Gabriel - Reeleccion</t>
  </si>
  <si>
    <t>3563 49-6019</t>
  </si>
  <si>
    <t>MIRAMAR</t>
  </si>
  <si>
    <t>ADRIAN WALKER</t>
  </si>
  <si>
    <t>adrianwalkerint@gmail.com</t>
  </si>
  <si>
    <t>Cicarelli, Gerardo</t>
  </si>
  <si>
    <t>MORTEROS</t>
  </si>
  <si>
    <t>JOSÉ BRÍA</t>
  </si>
  <si>
    <t>jbmorteros07@hotmail.com</t>
  </si>
  <si>
    <t>Sebastian Demarchi</t>
  </si>
  <si>
    <t>Alternativa/Hacemos Unidos por Córdoba</t>
  </si>
  <si>
    <t>PLAZA LUXARDO</t>
  </si>
  <si>
    <t>VICTOR HUGO BURDINO</t>
  </si>
  <si>
    <t>vburdino3@gmail.com</t>
  </si>
  <si>
    <t>Alessio Victor Hugo</t>
  </si>
  <si>
    <t>PORTEÑA</t>
  </si>
  <si>
    <t>CARLOS BAIGORRIA</t>
  </si>
  <si>
    <t>baigorriacarlos5@gmail.com</t>
  </si>
  <si>
    <t>Passero Nora Rosana</t>
  </si>
  <si>
    <t>QUEBRACHO HERRADO</t>
  </si>
  <si>
    <t>HORACIO SALVAI</t>
  </si>
  <si>
    <t>horaciosalvai1952@gmail.com</t>
  </si>
  <si>
    <t>Marson Rodolfo</t>
  </si>
  <si>
    <t>SACANTA</t>
  </si>
  <si>
    <t>DANIEL G GARNERO</t>
  </si>
  <si>
    <t>dgarnero@gmail.com</t>
  </si>
  <si>
    <t>SAN FRANCISCO</t>
  </si>
  <si>
    <t>DAMIAN PETA BERNARTE</t>
  </si>
  <si>
    <t>Bernarte Damian</t>
  </si>
  <si>
    <t>SATURNINO MARIA LASPIUR</t>
  </si>
  <si>
    <t>FERNANDO COASSOLO</t>
  </si>
  <si>
    <t>municipiolaspiur@yahoo.com.ar</t>
  </si>
  <si>
    <t>Horacio Depetris</t>
  </si>
  <si>
    <t>SEEBER</t>
  </si>
  <si>
    <t>CELIA R. GIORGIS</t>
  </si>
  <si>
    <t>muniseeber@gmail.com</t>
  </si>
  <si>
    <t>Celia Giorgis</t>
  </si>
  <si>
    <t>TORO PUJIO</t>
  </si>
  <si>
    <t>EMILIANO RIBODINO (INTERINO)</t>
  </si>
  <si>
    <t>Gaston Landra</t>
  </si>
  <si>
    <t>3576 41-3414</t>
  </si>
  <si>
    <t>TRANSITO</t>
  </si>
  <si>
    <t>ELISA CARRIZO</t>
  </si>
  <si>
    <t>secretariaprivada@transito.gob.ar</t>
  </si>
  <si>
    <t>Violo Fabian</t>
  </si>
  <si>
    <t>VILLA CONCEPCION DEL TIO</t>
  </si>
  <si>
    <t>DAVID MERCADO</t>
  </si>
  <si>
    <t>david.mercado.gonzalez@hotmail.com</t>
  </si>
  <si>
    <t>Mercado Gonzalez Jorge Efrain</t>
  </si>
  <si>
    <t>VILLA SAN ESTEBAN</t>
  </si>
  <si>
    <t>JORGE FERRATTO</t>
  </si>
  <si>
    <t>jorgealbertferratto@outlook.es</t>
  </si>
  <si>
    <t>Verena Ferratto</t>
  </si>
  <si>
    <t>Santa Maria</t>
  </si>
  <si>
    <t>ALTA GRACIA</t>
  </si>
  <si>
    <t>MARCOS TORRES</t>
  </si>
  <si>
    <t>3547479446 / 3516335513 (Vale Ammateis)</t>
  </si>
  <si>
    <t>torresmarcosag@gmail.com / valeriaamateis@gmail.com</t>
  </si>
  <si>
    <t>Marcos Torres</t>
  </si>
  <si>
    <t>3547 541787</t>
  </si>
  <si>
    <t>ANISACATE</t>
  </si>
  <si>
    <t>ZALAZAR RAMON HORACIO</t>
  </si>
  <si>
    <t>anisacatemunicipio@gmail.com</t>
  </si>
  <si>
    <t>Natalia Contini</t>
  </si>
  <si>
    <t>3512 38-1398</t>
  </si>
  <si>
    <t>BOUWER</t>
  </si>
  <si>
    <t>JUAN EDUARDO LUPPI</t>
  </si>
  <si>
    <t>bouwer03@yahoo.com.ar</t>
  </si>
  <si>
    <t>Gustavo Braira</t>
  </si>
  <si>
    <t>3515 31-3833</t>
  </si>
  <si>
    <t>Union Vecinal de Bouwer</t>
  </si>
  <si>
    <t>DESPEÑADEROS</t>
  </si>
  <si>
    <t>CAROLINA BASUALDO</t>
  </si>
  <si>
    <t>CAROBASUALDOT@GMAIL.COM</t>
  </si>
  <si>
    <t>Basualdo Carolina</t>
  </si>
  <si>
    <t>DIQUE CHICO</t>
  </si>
  <si>
    <t>NILO PEREZ</t>
  </si>
  <si>
    <t>melinareta27@gmail.com</t>
  </si>
  <si>
    <t>Melina Reta</t>
  </si>
  <si>
    <t>FALDA DEL CARMEN</t>
  </si>
  <si>
    <t>RUBEN LIENDO</t>
  </si>
  <si>
    <t>faldadelcarmen@hotmail.com</t>
  </si>
  <si>
    <t>Liendo Ruben</t>
  </si>
  <si>
    <t>LA PAISANITA</t>
  </si>
  <si>
    <t>IGNACIO SALA</t>
  </si>
  <si>
    <t>villalapaisanita@gmail.com</t>
  </si>
  <si>
    <t>Heredia Brian</t>
  </si>
  <si>
    <t>LA RANCHERITA</t>
  </si>
  <si>
    <t>ALEJANDRO SOSA</t>
  </si>
  <si>
    <r>
      <rPr>
        <rFont val="Calibri"/>
        <color rgb="FF1155CC"/>
        <sz val="12.0"/>
        <u/>
      </rPr>
      <t>comlarancheritaylascascadas@</t>
    </r>
    <r>
      <rPr>
        <rFont val="Calibri"/>
        <sz val="12.0"/>
        <u/>
      </rPr>
      <t>gmail.com</t>
    </r>
  </si>
  <si>
    <t>Vanetti Miguel</t>
  </si>
  <si>
    <t>LA SERRANITA</t>
  </si>
  <si>
    <t>CARLOS GUZMAN</t>
  </si>
  <si>
    <t>cadolfogp@hotmail.com.ar</t>
  </si>
  <si>
    <t>Guzman Cardozo Carlos Martin</t>
  </si>
  <si>
    <t>LOS CEDROS</t>
  </si>
  <si>
    <t>HUGO ALBERTO SUAREZ</t>
  </si>
  <si>
    <t>comunadeloscedros@yahoo.com.ar</t>
  </si>
  <si>
    <t>Spadoni Silvia Viviana</t>
  </si>
  <si>
    <t>LOZADA</t>
  </si>
  <si>
    <t>EDGARDO DARIO GIROTTI</t>
  </si>
  <si>
    <t>munilozada@hotmail.com</t>
  </si>
  <si>
    <t>Franco Oviedo</t>
  </si>
  <si>
    <t>MALAGUEÑO</t>
  </si>
  <si>
    <t>CIAREZ PEDRO PASCUAL</t>
  </si>
  <si>
    <t>ciarez.p@gmail.com/muni.desarrollosocial@gmail.com</t>
  </si>
  <si>
    <t>Fey Marcos</t>
  </si>
  <si>
    <t>3516 85-1655</t>
  </si>
  <si>
    <t>MONTE RALO</t>
  </si>
  <si>
    <t>RICARDO LUSSO</t>
  </si>
  <si>
    <t>ricardolusso@hotmail.com</t>
  </si>
  <si>
    <t>Nardi Hector</t>
  </si>
  <si>
    <t>POTRERO DE GARAY</t>
  </si>
  <si>
    <t>GERARDO MARTINEZ</t>
  </si>
  <si>
    <t>martinezgerardoariel19@gmail.com</t>
  </si>
  <si>
    <t>Gerardo Martinez</t>
  </si>
  <si>
    <t>RAFAEL GARCIA</t>
  </si>
  <si>
    <t>JUAN FRANCO GOMEZ</t>
  </si>
  <si>
    <t>francogomezrg@gmail.com</t>
  </si>
  <si>
    <t>Romero Eduardo</t>
  </si>
  <si>
    <t>3547 52-6787</t>
  </si>
  <si>
    <t>SAN CLEMENTE</t>
  </si>
  <si>
    <t>RAMON CUELLO</t>
  </si>
  <si>
    <t>ramone.cuello19@gmail.com</t>
  </si>
  <si>
    <t>Ledesma Humberto Edgar</t>
  </si>
  <si>
    <t>3547 46-3341</t>
  </si>
  <si>
    <t>TOLEDO</t>
  </si>
  <si>
    <t>VICTOR HUGO TOLEDO</t>
  </si>
  <si>
    <t>vht2011@yahoo.com.ar/ macaalena@gmail.com</t>
  </si>
  <si>
    <t>Marin Sergio Alejandro</t>
  </si>
  <si>
    <t>3515 30-5017</t>
  </si>
  <si>
    <t>VILLA CIUDAD DE AMERICA</t>
  </si>
  <si>
    <t>JOSE LUIS COLOMBATI</t>
  </si>
  <si>
    <t>joseluiscolombati@gmail.com</t>
  </si>
  <si>
    <t>Murua Jose Osvaldo</t>
  </si>
  <si>
    <t>VILLA PARQUE SANTA ANA</t>
  </si>
  <si>
    <t>JOSE LUIS BECKER</t>
  </si>
  <si>
    <t>joseluisbecker@yahoo.com.ar</t>
  </si>
  <si>
    <t>Cerda Sergio</t>
  </si>
  <si>
    <t>VALLE DE ANISACATE</t>
  </si>
  <si>
    <t>JORGE H. MERLO</t>
  </si>
  <si>
    <t>3547520781 - 3547520784</t>
  </si>
  <si>
    <t>comunavalleanisacate5189@hotmail.com</t>
  </si>
  <si>
    <t>Merlo Nicolas</t>
  </si>
  <si>
    <t>VILLA DEL PRADO</t>
  </si>
  <si>
    <t>LUJAN CARLOS NELSON</t>
  </si>
  <si>
    <t>clujan2015@gmail.com</t>
  </si>
  <si>
    <t>VILLA LA BOLSA</t>
  </si>
  <si>
    <t>VERONICA DIEDRICH</t>
  </si>
  <si>
    <t>VSDiedrich@hotmail.com</t>
  </si>
  <si>
    <t>Alberto Nieto</t>
  </si>
  <si>
    <t>3547 59-0688</t>
  </si>
  <si>
    <t>VILLA LOS AROMOS</t>
  </si>
  <si>
    <t>NELLY MORALES</t>
  </si>
  <si>
    <t>nellymoralesfmp@yahoo.com.ar</t>
  </si>
  <si>
    <t>Pastorino Daniel</t>
  </si>
  <si>
    <t>3515 72-7877</t>
  </si>
  <si>
    <t>VILLA SAN ISIDRO</t>
  </si>
  <si>
    <t>CLAUDIO PEÑA</t>
  </si>
  <si>
    <t>claudiotea1975@mail.com</t>
  </si>
  <si>
    <t>Nelson Basualdo</t>
  </si>
  <si>
    <t>Sobremonte</t>
  </si>
  <si>
    <t>CAMINIAGA</t>
  </si>
  <si>
    <t>SANDRO DARIO CESIO</t>
  </si>
  <si>
    <t>sandrodariocecio30@gmail.com/ comunadecaminiaga@hotmail.com</t>
  </si>
  <si>
    <t>Cecio Sandro</t>
  </si>
  <si>
    <t>CHUÑA HUASI</t>
  </si>
  <si>
    <t>HECTOR HUGO MOSCONI</t>
  </si>
  <si>
    <t>danikam75@hotmail.com</t>
  </si>
  <si>
    <t>Mosconi Juan José</t>
  </si>
  <si>
    <t>POZO NUEVO</t>
  </si>
  <si>
    <t>GLADYS ESPÍNDOLA</t>
  </si>
  <si>
    <t>gladysespindola.42@gmail.com</t>
  </si>
  <si>
    <t>Sisnero Marcela Belen</t>
  </si>
  <si>
    <t>3522 64-8097</t>
  </si>
  <si>
    <t>‎marcesisnero@hotmail.com</t>
  </si>
  <si>
    <t>SAN FRANCISCO DEL CHAÑAR</t>
  </si>
  <si>
    <t>MARCELO ESLAVA</t>
  </si>
  <si>
    <t>marceloeslava4@gmail.com</t>
  </si>
  <si>
    <t>Argañaraz Sebastian Humberto</t>
  </si>
  <si>
    <t>3512 19-8831</t>
  </si>
  <si>
    <t>ALMAFUERTE</t>
  </si>
  <si>
    <t>NESTOR RUBEN DAGUM</t>
  </si>
  <si>
    <t>3571-540644</t>
  </si>
  <si>
    <t>rubendagum@gmail.com</t>
  </si>
  <si>
    <t>Ruben Dagum</t>
  </si>
  <si>
    <t>COLONIA ALMADA</t>
  </si>
  <si>
    <t>JORGE MARIO FRARESSO</t>
  </si>
  <si>
    <t>jorgefraresso@gmail.com</t>
  </si>
  <si>
    <t>Tantucci Maximiliano</t>
  </si>
  <si>
    <t>3572 52-8261</t>
  </si>
  <si>
    <t>CORRALITO</t>
  </si>
  <si>
    <t>JOSE IGNACIO SCOTTO</t>
  </si>
  <si>
    <t>scottojose@hotmail.com</t>
  </si>
  <si>
    <t>Scotto Jose Ignacio</t>
  </si>
  <si>
    <t>DALMACIO VELEZ</t>
  </si>
  <si>
    <t>EUSEBIO DANIEL TORRES</t>
  </si>
  <si>
    <t>gitano678@gmail.com / danieltorres678@yahoo.com.ar</t>
  </si>
  <si>
    <t>Sargiotto Ruben Edgar</t>
  </si>
  <si>
    <t>3584 12-0653</t>
  </si>
  <si>
    <t>GENERAL FOTHERINGHAM</t>
  </si>
  <si>
    <t>MARIO MORENO</t>
  </si>
  <si>
    <t>chocheramoreno@gmail.com</t>
  </si>
  <si>
    <t>Mario Moreno</t>
  </si>
  <si>
    <t>HERNANDO</t>
  </si>
  <si>
    <t>GUSTAVO BOTTASSO</t>
  </si>
  <si>
    <t>gustavoabottasso@gmail.com</t>
  </si>
  <si>
    <t>Bianchini Ricardo</t>
  </si>
  <si>
    <t>3534 25-4716</t>
  </si>
  <si>
    <t>JAMES CRAIK</t>
  </si>
  <si>
    <t>OSCAR ALBERTO FASOLIS</t>
  </si>
  <si>
    <t>intendenciajcraik@gmail.com</t>
  </si>
  <si>
    <t>Mariano Galfré</t>
  </si>
  <si>
    <t>LAS ISLETILLAS</t>
  </si>
  <si>
    <t>CLAUDIO BORETTO</t>
  </si>
  <si>
    <t>claudioboretto@gmail.com</t>
  </si>
  <si>
    <t>Claudio Boretto</t>
  </si>
  <si>
    <t>LAS PERDICES</t>
  </si>
  <si>
    <t>SERGIO AVALLIS</t>
  </si>
  <si>
    <t>arqavalis@gmail.com</t>
  </si>
  <si>
    <t>Avallis Sergio</t>
  </si>
  <si>
    <t>LOS ZORROS</t>
  </si>
  <si>
    <t>GUILLERMO FAVA</t>
  </si>
  <si>
    <t>guilledfava@hotmail.com</t>
  </si>
  <si>
    <t>Fabian Galfione</t>
  </si>
  <si>
    <t>muniloszorros@gmail.com      fabianpatogalfione@gmail.com</t>
  </si>
  <si>
    <t>OLIVA</t>
  </si>
  <si>
    <t>OCTAVIO IBARRA</t>
  </si>
  <si>
    <t>octa_ibarra@hotmail.com</t>
  </si>
  <si>
    <t>Octavio Ibarra</t>
  </si>
  <si>
    <t>Somos Oliva</t>
  </si>
  <si>
    <t>PAMPAYASTA NORTE</t>
  </si>
  <si>
    <t>DANIELA GROSSO (INTERINA)</t>
  </si>
  <si>
    <t>Daniela Grosso</t>
  </si>
  <si>
    <t>PAMPAYASTA SUD</t>
  </si>
  <si>
    <t>IVÁN DIYORIO</t>
  </si>
  <si>
    <t>ivandiyorio9@gmail.com</t>
  </si>
  <si>
    <t>Guillermo Ristorto</t>
  </si>
  <si>
    <t>PUNTA DEL AGUA</t>
  </si>
  <si>
    <t>DANIEL HECTOR CABRERA</t>
  </si>
  <si>
    <t>danicabrera80@hotmail.com</t>
  </si>
  <si>
    <t>Emilia Rodriguez</t>
  </si>
  <si>
    <t>RIO TERCERO</t>
  </si>
  <si>
    <t>MARCOS FERRER</t>
  </si>
  <si>
    <t>ferrergobieno@gmail.com</t>
  </si>
  <si>
    <t>Marcos Ferrer</t>
  </si>
  <si>
    <t>TANCACHA</t>
  </si>
  <si>
    <t>VICTOR VERA</t>
  </si>
  <si>
    <t>victorveratanchaca@gmail.com</t>
  </si>
  <si>
    <t>Reyneri Santiago</t>
  </si>
  <si>
    <t>3571 66-5110</t>
  </si>
  <si>
    <t>VILLA ASCASUBI</t>
  </si>
  <si>
    <t>FERNANDO SALVI</t>
  </si>
  <si>
    <t>3517597286 - 1166955324</t>
  </si>
  <si>
    <t>carivillaasc@hotmail.com</t>
  </si>
  <si>
    <t>Fonseca Zully</t>
  </si>
  <si>
    <t>Totoral</t>
  </si>
  <si>
    <t>CANDELARIA SUD</t>
  </si>
  <si>
    <t>FAVIAN O. LUNA</t>
  </si>
  <si>
    <t>comunadecandelariasud@hotmail.com.ar</t>
  </si>
  <si>
    <t>Luna Claudio Dante</t>
  </si>
  <si>
    <t>3525 43-1750</t>
  </si>
  <si>
    <t>CAÑADA DE LUQUE</t>
  </si>
  <si>
    <t>MOLINA VICTOR EDUARDO</t>
  </si>
  <si>
    <t>municipalidaddecanadadeluque@gmail.com</t>
  </si>
  <si>
    <t>Velazquez Ruben</t>
  </si>
  <si>
    <t>3515 44-6420</t>
  </si>
  <si>
    <t>rubenvelazquez27@yahoo.com.ar</t>
  </si>
  <si>
    <t>CAPILLA DE SITON</t>
  </si>
  <si>
    <t>MARIO CENTURION</t>
  </si>
  <si>
    <t>marioalbertoce@hotmail.com</t>
  </si>
  <si>
    <t>Mario Centurion</t>
  </si>
  <si>
    <t>LA PAMPA</t>
  </si>
  <si>
    <t>DANIEL FUNES</t>
  </si>
  <si>
    <t>funes_comuna@hotmail.com</t>
  </si>
  <si>
    <t>YAMILA DIAZ</t>
  </si>
  <si>
    <t>3525 41-8858</t>
  </si>
  <si>
    <t>LAS PEÑAS</t>
  </si>
  <si>
    <t>CARLOS CUELLO</t>
  </si>
  <si>
    <t>cuelloadrian6@gmail.com</t>
  </si>
  <si>
    <t>Tiraboschi Cesar</t>
  </si>
  <si>
    <t>LOS MISTOLES</t>
  </si>
  <si>
    <t>JUAN BECERRA</t>
  </si>
  <si>
    <t>becerrajuan776@gmail.com</t>
  </si>
  <si>
    <t>Gisela del Valle Becerra</t>
  </si>
  <si>
    <t>SARMIENTO</t>
  </si>
  <si>
    <t>GUILLERMO MOYANO</t>
  </si>
  <si>
    <t>guillemoyano.18@gmail.com</t>
  </si>
  <si>
    <t>Guillermo Moyano</t>
  </si>
  <si>
    <t>SIMBOLAR</t>
  </si>
  <si>
    <t>OCHOA JUAN CARLOS</t>
  </si>
  <si>
    <t>juancarlosochoa@outlook.com</t>
  </si>
  <si>
    <t>Ochoa Sol</t>
  </si>
  <si>
    <t>SINSACATE</t>
  </si>
  <si>
    <t>CARLOS CIPRIAN</t>
  </si>
  <si>
    <t>sinsacate@coop5.com.ar</t>
  </si>
  <si>
    <t>Ciprian Carlos Alberto</t>
  </si>
  <si>
    <t>VILLA DEL TOTORAL</t>
  </si>
  <si>
    <t>JOSE LUIS DE LUCCA</t>
  </si>
  <si>
    <t>cflimia@gmail.com</t>
  </si>
  <si>
    <t>Garay Cecilia Noemi</t>
  </si>
  <si>
    <t>Tulumba</t>
  </si>
  <si>
    <t>CHURQUI CAÑADA</t>
  </si>
  <si>
    <t>JUAN E. MONTOYA</t>
  </si>
  <si>
    <t>comunachurquicanada@live.com.ar</t>
  </si>
  <si>
    <t>Montoya Dina Valeria</t>
  </si>
  <si>
    <t>EL RODEO</t>
  </si>
  <si>
    <t>CARLOS OSSES</t>
  </si>
  <si>
    <t>carlos_cheble@hotmail.com</t>
  </si>
  <si>
    <t>Quiñonez Juan</t>
  </si>
  <si>
    <t>3521 44-9927</t>
  </si>
  <si>
    <t>LAS ARRIAS</t>
  </si>
  <si>
    <t>JUAN MEDINA</t>
  </si>
  <si>
    <t>munilasarrias@gmail.com</t>
  </si>
  <si>
    <t>Medina Juan</t>
  </si>
  <si>
    <t>LUCIO V. MANSILLA</t>
  </si>
  <si>
    <t>OSCAR ALVARRACÍN</t>
  </si>
  <si>
    <t>3521401198 - 3521432231</t>
  </si>
  <si>
    <t>oscaralvarracin8@gmail.com</t>
  </si>
  <si>
    <t>Alvarracin Rita</t>
  </si>
  <si>
    <t>3516 62-9532</t>
  </si>
  <si>
    <t>ROSARIO DEL SALADILLO</t>
  </si>
  <si>
    <t>LORENZO LOPEZ</t>
  </si>
  <si>
    <t>lololopez375@gmail.com</t>
  </si>
  <si>
    <t>Lopez Nuñez Lara Agostina</t>
  </si>
  <si>
    <t>SAN JOSE DE LA DORMIDA</t>
  </si>
  <si>
    <t>ALEJANDRO ALLENDE</t>
  </si>
  <si>
    <t>alejandroallende_s@hotmail.com</t>
  </si>
  <si>
    <t>Alejandro Allende</t>
  </si>
  <si>
    <t>SAN JOSE DE LAS SALINAS</t>
  </si>
  <si>
    <t>MARCELO RUIZ</t>
  </si>
  <si>
    <t>municipalidad.sjs@gmail.com</t>
  </si>
  <si>
    <t>Marcelo Ruiz</t>
  </si>
  <si>
    <t>SAN PEDRO NORTE</t>
  </si>
  <si>
    <t>ADRIAN EDUVIC GARAY</t>
  </si>
  <si>
    <t>VECINAL-PRO</t>
  </si>
  <si>
    <t>adriangaray66@hotmail.com</t>
  </si>
  <si>
    <t>Garay Bartolo</t>
  </si>
  <si>
    <t>VILLA TULUMBA</t>
  </si>
  <si>
    <t>SEBASTIAN PERALTA</t>
  </si>
  <si>
    <t>sebitaperalta@hotmail.com</t>
  </si>
  <si>
    <t>Casas Roberto Raul</t>
  </si>
  <si>
    <t>3521 444609</t>
  </si>
  <si>
    <t>Union</t>
  </si>
  <si>
    <t>ALDEA SANTA MARIA</t>
  </si>
  <si>
    <t>GABRIELA IMOLA</t>
  </si>
  <si>
    <t>gabrielaimola@hotmail.com.ar</t>
  </si>
  <si>
    <t>Daniela Imola</t>
  </si>
  <si>
    <t>ALTO ALEGRE</t>
  </si>
  <si>
    <t>OMAR TAVELLA</t>
  </si>
  <si>
    <t>omar_tavella@yahoo.com.ar</t>
  </si>
  <si>
    <t>Gigli Jose Alberto</t>
  </si>
  <si>
    <t>ANA ZUMARAN</t>
  </si>
  <si>
    <t>CYNTIA FRUS</t>
  </si>
  <si>
    <t>comunaz_@hotmail.com//cynthiafru_@hotmail.com</t>
  </si>
  <si>
    <t>Santos Janicis Antonia</t>
  </si>
  <si>
    <t>3534 84-9493</t>
  </si>
  <si>
    <t>‎janicissantos@hotmail.com</t>
  </si>
  <si>
    <t>BALLESTEROS</t>
  </si>
  <si>
    <t>ORLANDO A. BRUSA</t>
  </si>
  <si>
    <t>municipalidaddeballesteros@hotmail.com</t>
  </si>
  <si>
    <t>Graciela Sanchez</t>
  </si>
  <si>
    <t>BALLESTEROS SUD</t>
  </si>
  <si>
    <t>CAROLINA V. JARA</t>
  </si>
  <si>
    <t>carojara30@hotmail.com</t>
  </si>
  <si>
    <t>Elena Bertero</t>
  </si>
  <si>
    <t>BELL VILLE</t>
  </si>
  <si>
    <t>CARLOS BRINER</t>
  </si>
  <si>
    <t>carlitos_briner@hotmail.com</t>
  </si>
  <si>
    <t>Juan Manuel Moroni</t>
  </si>
  <si>
    <t>BENJAMIN GOULD</t>
  </si>
  <si>
    <t>JORGE LUIS JAIME</t>
  </si>
  <si>
    <t>jorge_jaime@hotmail.com/ alainbenjamin_secgob@hotmail.com</t>
  </si>
  <si>
    <t>Alain Correa</t>
  </si>
  <si>
    <t>CANALS</t>
  </si>
  <si>
    <t>EDGAR BRUNO</t>
  </si>
  <si>
    <t>edgarbrunodurquet@gmail.com</t>
  </si>
  <si>
    <t>Edgar Bruno</t>
  </si>
  <si>
    <t>Hacemos unidos por Córdoba</t>
  </si>
  <si>
    <t>CHILIBROSTE</t>
  </si>
  <si>
    <t>DOMINGO TITO MORENA</t>
  </si>
  <si>
    <t>domingotitomorena@gmail.com</t>
  </si>
  <si>
    <t>Cesar Morena - LISTA UNICA</t>
  </si>
  <si>
    <t>3515 05-0232</t>
  </si>
  <si>
    <t>CINTRA</t>
  </si>
  <si>
    <t>ENRIQUE "KIKO" MENDEZ PAZ</t>
  </si>
  <si>
    <t>kikomendezpaz3@gmail.com</t>
  </si>
  <si>
    <t>Enrique Mendez Paz</t>
  </si>
  <si>
    <t>COLONIA BISMARCK</t>
  </si>
  <si>
    <t>DANIELA CASTRILLO</t>
  </si>
  <si>
    <t>municipalidad_colbismarck@hotmail.com</t>
  </si>
  <si>
    <t>Leandro Dignani</t>
  </si>
  <si>
    <t>COLONIA BREMEN</t>
  </si>
  <si>
    <t>ALEJANDRO OJEDA</t>
  </si>
  <si>
    <t>comunacniabremen@hotmail.com</t>
  </si>
  <si>
    <t>Micaela Farioli</t>
  </si>
  <si>
    <t>3463 44-4756</t>
  </si>
  <si>
    <t>IDIAZABAL</t>
  </si>
  <si>
    <t>JUAN PABLO VASSIA</t>
  </si>
  <si>
    <t>privada@idiazabal.com.ar/jpvassia@hotmail.com/ alejandragassie@hotmail.com</t>
  </si>
  <si>
    <t>Juan Pablo Vassia</t>
  </si>
  <si>
    <t>JUSTINIANO POSSE</t>
  </si>
  <si>
    <t>VICTOR GERARDO ZUIN</t>
  </si>
  <si>
    <t>loszuin@nodosud.com.ar</t>
  </si>
  <si>
    <t>Rodolfo Margherit</t>
  </si>
  <si>
    <t>3537 44-7020</t>
  </si>
  <si>
    <t>LABORDE</t>
  </si>
  <si>
    <t>MARIA ELISA VIDAL</t>
  </si>
  <si>
    <t>mariaelisa_vidal@yahoo.com.ar</t>
  </si>
  <si>
    <t>Cristina Sanabria de Salvay</t>
  </si>
  <si>
    <t>3537 68-6652</t>
  </si>
  <si>
    <t>MONTE LEÑA</t>
  </si>
  <si>
    <t>ALICIA CENTURIÓN</t>
  </si>
  <si>
    <t>3537597369 / 3537336413</t>
  </si>
  <si>
    <t>ALIS_36@HOTMAIL.COM.AR/municipalidadmontelena@yahoo.com.ar</t>
  </si>
  <si>
    <t>Gustavo Isoardi</t>
  </si>
  <si>
    <t>Vecinal/HUPC</t>
  </si>
  <si>
    <t>MONTE MAIZ</t>
  </si>
  <si>
    <t>LUIS MARIA TROTE</t>
  </si>
  <si>
    <t>3468517625 / 3468510193 Arq. Eduardo Rios</t>
  </si>
  <si>
    <t>luistrote48@gmail.com</t>
  </si>
  <si>
    <t>Trote Luis Maria</t>
  </si>
  <si>
    <t>MORRISON</t>
  </si>
  <si>
    <t>GUSTAVO REITANO</t>
  </si>
  <si>
    <t>estudiojuridico@nodosud.com.ar</t>
  </si>
  <si>
    <t>Gustavo Reitano</t>
  </si>
  <si>
    <t>NOETINGER</t>
  </si>
  <si>
    <t>MARCELO BJORKLUND</t>
  </si>
  <si>
    <t>Bjorklund Marcelo</t>
  </si>
  <si>
    <t>ORDOÑEZ</t>
  </si>
  <si>
    <t>PABLO LADRON DE GUEVARA</t>
  </si>
  <si>
    <t>paobasualdo@gmail.com</t>
  </si>
  <si>
    <t>Ladron de Guevara Pablo</t>
  </si>
  <si>
    <t>PASCANAS</t>
  </si>
  <si>
    <t>RODOLFO L. FILIPPONI</t>
  </si>
  <si>
    <t>rfilipponi@hotmail.com</t>
  </si>
  <si>
    <t>Lolich Mariela Alejandra</t>
  </si>
  <si>
    <t>PUEBLO ITALIANO</t>
  </si>
  <si>
    <t>DANIEL GERGOLET</t>
  </si>
  <si>
    <t>flaviaalzuarte@hotmail.com</t>
  </si>
  <si>
    <t>Jorge Ordoñez</t>
  </si>
  <si>
    <t>3463 64-6286</t>
  </si>
  <si>
    <t>SAN ANTONIO DE LITIN</t>
  </si>
  <si>
    <t>JUAN VAZQUEZ</t>
  </si>
  <si>
    <t>munilitin@outlook.com</t>
  </si>
  <si>
    <t>Nelson Gonzalez</t>
  </si>
  <si>
    <t>3537 33-3504</t>
  </si>
  <si>
    <t>SAN MARCOS SUD</t>
  </si>
  <si>
    <t>CLAUDIA GODOY</t>
  </si>
  <si>
    <t>3537650371 / 3537593148 Milagros Sanmartin secretaria de gobierno</t>
  </si>
  <si>
    <t>informacionsms@gmail.com</t>
  </si>
  <si>
    <t>Godoy Claudia</t>
  </si>
  <si>
    <t>VIAMONTE</t>
  </si>
  <si>
    <t>GABRIEL FERNANDEZ</t>
  </si>
  <si>
    <t>muniviamonte@gmail.com</t>
  </si>
  <si>
    <t>Manzoni Facundo Francisco</t>
  </si>
  <si>
    <t>VILLA LOS PATOS</t>
  </si>
  <si>
    <t>MIGUEL ANGEL DI MATTEO</t>
  </si>
  <si>
    <t>migueldimatteo291@gmail.com</t>
  </si>
  <si>
    <t>Di Matteo Miguel Angel - HIJO- LISTA UNICA</t>
  </si>
  <si>
    <t>WENCESLAO ESCALANTE</t>
  </si>
  <si>
    <t>DANIEL MONDINO</t>
  </si>
  <si>
    <t>municwescalante@gmail.com</t>
  </si>
  <si>
    <t>Mondino Daniel</t>
  </si>
  <si>
    <t>DEPARTAMENTOS PROVINCIA DE CORDOBA</t>
  </si>
  <si>
    <t>Colón</t>
  </si>
  <si>
    <t>General San Martín</t>
  </si>
  <si>
    <t>Ischilín</t>
  </si>
  <si>
    <t>Río Cuarto</t>
  </si>
  <si>
    <t>Río Primero</t>
  </si>
  <si>
    <t>Río Seco</t>
  </si>
  <si>
    <t>Unión</t>
  </si>
  <si>
    <t>LOCALIDADES PROVINCIA DE CORDOBA</t>
  </si>
  <si>
    <t>Achiras</t>
  </si>
  <si>
    <t>Adelia María</t>
  </si>
  <si>
    <t>Agua de Oro</t>
  </si>
  <si>
    <t>Alcira Gigena</t>
  </si>
  <si>
    <t>Aldea Santa María</t>
  </si>
  <si>
    <t>Alejandro Roca</t>
  </si>
  <si>
    <t>Alejo Ledesma</t>
  </si>
  <si>
    <t>Almafuerte</t>
  </si>
  <si>
    <t>Alpa Corral</t>
  </si>
  <si>
    <t>Alta Gracia</t>
  </si>
  <si>
    <t>Alto Alegre</t>
  </si>
  <si>
    <t>Alto de los Quebrachos</t>
  </si>
  <si>
    <t>Altos de Chipión</t>
  </si>
  <si>
    <t>Amboy</t>
  </si>
  <si>
    <t>Ambul</t>
  </si>
  <si>
    <t>Ana Zumarán</t>
  </si>
  <si>
    <t>Anisacate</t>
  </si>
  <si>
    <t>Arroyito</t>
  </si>
  <si>
    <t>Arroyo Algodón</t>
  </si>
  <si>
    <t>Arroyo Cabral</t>
  </si>
  <si>
    <t>Arroyo de los Patos</t>
  </si>
  <si>
    <t>Assunta</t>
  </si>
  <si>
    <t>Atahona</t>
  </si>
  <si>
    <t>Ausonia</t>
  </si>
  <si>
    <t>Avellaneda</t>
  </si>
  <si>
    <t>Ballesteros</t>
  </si>
  <si>
    <t>Ballesteros Sud</t>
  </si>
  <si>
    <t>Balnearia</t>
  </si>
  <si>
    <t>Bañado de Soto</t>
  </si>
  <si>
    <t>Bell Ville</t>
  </si>
  <si>
    <t>Bengolea</t>
  </si>
  <si>
    <t>Benjamín Gould</t>
  </si>
  <si>
    <t>Berrotarán</t>
  </si>
  <si>
    <t>Bialet Massé</t>
  </si>
  <si>
    <t>Bouwer</t>
  </si>
  <si>
    <t>Brinkmann</t>
  </si>
  <si>
    <t>Buchardo</t>
  </si>
  <si>
    <t>Bulnes</t>
  </si>
  <si>
    <t>Cabalango</t>
  </si>
  <si>
    <t>Calchín Oeste</t>
  </si>
  <si>
    <t>Calmayo</t>
  </si>
  <si>
    <t>Caminiaga</t>
  </si>
  <si>
    <t>Canals</t>
  </si>
  <si>
    <t>Candelaria Sud</t>
  </si>
  <si>
    <t>Cañada de Luque</t>
  </si>
  <si>
    <t>Capilla de los Remedios</t>
  </si>
  <si>
    <t>Capilla del Monte</t>
  </si>
  <si>
    <t>Capilla de Sitón</t>
  </si>
  <si>
    <t>Carnerillo</t>
  </si>
  <si>
    <t>Carrilobo</t>
  </si>
  <si>
    <t>Casa Grande</t>
  </si>
  <si>
    <t>Cerro Colorado</t>
  </si>
  <si>
    <t>Chaján</t>
  </si>
  <si>
    <t>Chancaní</t>
  </si>
  <si>
    <t>Charbonier</t>
  </si>
  <si>
    <t>Chazón</t>
  </si>
  <si>
    <t>Chilibroste</t>
  </si>
  <si>
    <t>Chucul</t>
  </si>
  <si>
    <t>Cintra</t>
  </si>
  <si>
    <t>Colazo</t>
  </si>
  <si>
    <t>Colonia Almada</t>
  </si>
  <si>
    <t>Colonia Anita</t>
  </si>
  <si>
    <t>Colonia Bismarck</t>
  </si>
  <si>
    <t>Colonia Bremen</t>
  </si>
  <si>
    <t>Colonia Caroya</t>
  </si>
  <si>
    <t>Colonia Marina</t>
  </si>
  <si>
    <t>Colonia Prosperidad</t>
  </si>
  <si>
    <t>Colonia San Bartolomé</t>
  </si>
  <si>
    <t>Colonia San Pedro</t>
  </si>
  <si>
    <t>Colonia Tirolesa</t>
  </si>
  <si>
    <t>Colonia Valtelina</t>
  </si>
  <si>
    <t>Comechingones</t>
  </si>
  <si>
    <t>Conlara</t>
  </si>
  <si>
    <t>Copacabana</t>
  </si>
  <si>
    <t>Córdoba</t>
  </si>
  <si>
    <t>Corral de Bustos-Ifflinger</t>
  </si>
  <si>
    <t>Corralito</t>
  </si>
  <si>
    <t>Cosquín</t>
  </si>
  <si>
    <t>Costa Sacate</t>
  </si>
  <si>
    <t>Cruz de Caña</t>
  </si>
  <si>
    <t>Cuesta Blanca</t>
  </si>
  <si>
    <t>Despeñaderos</t>
  </si>
  <si>
    <t>Devoto</t>
  </si>
  <si>
    <t>Dique Chico</t>
  </si>
  <si>
    <t>El Brete</t>
  </si>
  <si>
    <t>El Crispín</t>
  </si>
  <si>
    <t>El Manzano</t>
  </si>
  <si>
    <t>El Rastreador</t>
  </si>
  <si>
    <t>El Rodeo</t>
  </si>
  <si>
    <t>Elena</t>
  </si>
  <si>
    <t>Esquina</t>
  </si>
  <si>
    <t>Estación General Paz</t>
  </si>
  <si>
    <t>Estación Juárez Celman</t>
  </si>
  <si>
    <t>Estancia de Guadalupe</t>
  </si>
  <si>
    <t>Estancia Vieja</t>
  </si>
  <si>
    <t>Etruria</t>
  </si>
  <si>
    <t>Falda del Carmen</t>
  </si>
  <si>
    <t>Freyre</t>
  </si>
  <si>
    <t>General Cabrera</t>
  </si>
  <si>
    <t>General Deheza</t>
  </si>
  <si>
    <t>General Fotheringham</t>
  </si>
  <si>
    <t>General Levalle</t>
  </si>
  <si>
    <t>Guasapampa</t>
  </si>
  <si>
    <t>Guatimozín</t>
  </si>
  <si>
    <t>Gutenberg</t>
  </si>
  <si>
    <t>Hernando</t>
  </si>
  <si>
    <t>Huanchilla</t>
  </si>
  <si>
    <t>Huerta Grande</t>
  </si>
  <si>
    <t>Huinca Renancó</t>
  </si>
  <si>
    <t>Idiazábal</t>
  </si>
  <si>
    <t>Impira</t>
  </si>
  <si>
    <t>Inriville</t>
  </si>
  <si>
    <t>Isla Verde</t>
  </si>
  <si>
    <t>Italó</t>
  </si>
  <si>
    <t>James Craik</t>
  </si>
  <si>
    <t>Jesús María</t>
  </si>
  <si>
    <t>Jovita</t>
  </si>
  <si>
    <t>Justiniano Posse</t>
  </si>
  <si>
    <t>Laborde</t>
  </si>
  <si>
    <t>Laguna Larga</t>
  </si>
  <si>
    <t>La Calera</t>
  </si>
  <si>
    <t>La Carlota</t>
  </si>
  <si>
    <t>La Cautiva</t>
  </si>
  <si>
    <t>La Cruz</t>
  </si>
  <si>
    <t>La Cumbre</t>
  </si>
  <si>
    <t>La Cumbrecita</t>
  </si>
  <si>
    <t>La Falda</t>
  </si>
  <si>
    <t>La Francia</t>
  </si>
  <si>
    <t>La Granja</t>
  </si>
  <si>
    <t>La Paisanita</t>
  </si>
  <si>
    <t>La Palestina</t>
  </si>
  <si>
    <t>La Paquita</t>
  </si>
  <si>
    <t>La Para</t>
  </si>
  <si>
    <t>La Playa</t>
  </si>
  <si>
    <t>La Playosa</t>
  </si>
  <si>
    <t>La Posta</t>
  </si>
  <si>
    <t>La Puerta</t>
  </si>
  <si>
    <t>La Rancherita</t>
  </si>
  <si>
    <t>La Serranita</t>
  </si>
  <si>
    <t>La Tordilla</t>
  </si>
  <si>
    <t>Las Acequias</t>
  </si>
  <si>
    <t>Las Albahacas</t>
  </si>
  <si>
    <t>Las Arrias</t>
  </si>
  <si>
    <t>Las Bajadas</t>
  </si>
  <si>
    <t>Las Calles</t>
  </si>
  <si>
    <t>Las Cañadas</t>
  </si>
  <si>
    <t>Las Gramillas</t>
  </si>
  <si>
    <t>Las Higueras</t>
  </si>
  <si>
    <t>Las Isletillas</t>
  </si>
  <si>
    <t>Las Junturas</t>
  </si>
  <si>
    <t>Las Palmas</t>
  </si>
  <si>
    <t>Las Peñas</t>
  </si>
  <si>
    <t>Las Peñas Sud</t>
  </si>
  <si>
    <t>Las Rabonas</t>
  </si>
  <si>
    <t>Las Saladas</t>
  </si>
  <si>
    <t>Las Tapias</t>
  </si>
  <si>
    <t>Las Vertientes</t>
  </si>
  <si>
    <t>Leguizamón</t>
  </si>
  <si>
    <t>Leones</t>
  </si>
  <si>
    <t>Los Cedros</t>
  </si>
  <si>
    <t>Los Cerrillos</t>
  </si>
  <si>
    <t>Los Chañaritos</t>
  </si>
  <si>
    <t>Los Cisnes</t>
  </si>
  <si>
    <t>Los Cocos</t>
  </si>
  <si>
    <t>Los Cóndores</t>
  </si>
  <si>
    <t>Los Mistoles</t>
  </si>
  <si>
    <t>Los Molinos</t>
  </si>
  <si>
    <t>Los Pozos</t>
  </si>
  <si>
    <t>Los Surgentes</t>
  </si>
  <si>
    <t>Luca</t>
  </si>
  <si>
    <t>Luque</t>
  </si>
  <si>
    <t>Malagueño</t>
  </si>
  <si>
    <t>Malena</t>
  </si>
  <si>
    <t>Malvinas Argentinas</t>
  </si>
  <si>
    <t>Manfredi</t>
  </si>
  <si>
    <t>Marull</t>
  </si>
  <si>
    <t>Mattaldi</t>
  </si>
  <si>
    <t>Mayú Sumaj</t>
  </si>
  <si>
    <t>Melo</t>
  </si>
  <si>
    <t>Mendiolaza</t>
  </si>
  <si>
    <t>Mi Granja</t>
  </si>
  <si>
    <t>Mina Clavero</t>
  </si>
  <si>
    <t>Miramar de Ansenuza</t>
  </si>
  <si>
    <t>Monte Buey</t>
  </si>
  <si>
    <t>Monte Cristo</t>
  </si>
  <si>
    <t>Monte de los Gauchos</t>
  </si>
  <si>
    <t>Monte Leña</t>
  </si>
  <si>
    <t>Monte Maíz</t>
  </si>
  <si>
    <t>Monte Ralo</t>
  </si>
  <si>
    <t>Morrison</t>
  </si>
  <si>
    <t>Morteros</t>
  </si>
  <si>
    <t>Nicolás Bruzone</t>
  </si>
  <si>
    <t>Nono</t>
  </si>
  <si>
    <t>Obispo Trejo</t>
  </si>
  <si>
    <t>Oliva</t>
  </si>
  <si>
    <t>Onagolty</t>
  </si>
  <si>
    <t>Oncativo</t>
  </si>
  <si>
    <t>Ordóñez</t>
  </si>
  <si>
    <t>Pampayasta Norte</t>
  </si>
  <si>
    <t>Pampayasta Sud</t>
  </si>
  <si>
    <t>Panaholma</t>
  </si>
  <si>
    <t>Pascanas</t>
  </si>
  <si>
    <t>Pasco</t>
  </si>
  <si>
    <t>Paso Viejo</t>
  </si>
  <si>
    <t>Pincén</t>
  </si>
  <si>
    <t>Pilar</t>
  </si>
  <si>
    <t>Piquillín</t>
  </si>
  <si>
    <t>Plaza de Mercedes</t>
  </si>
  <si>
    <t>Plaza Luxardo</t>
  </si>
  <si>
    <t>Porteña</t>
  </si>
  <si>
    <t>Potrero de Garay</t>
  </si>
  <si>
    <t>Pueblo Italiano</t>
  </si>
  <si>
    <t>Puesto de Castro</t>
  </si>
  <si>
    <t>Quebracho Herrado</t>
  </si>
  <si>
    <t>Quilino</t>
  </si>
  <si>
    <t>Rafael García</t>
  </si>
  <si>
    <t>Ranqueles</t>
  </si>
  <si>
    <t>Rayo Cortado</t>
  </si>
  <si>
    <t>Reducción</t>
  </si>
  <si>
    <t>Río Bamba</t>
  </si>
  <si>
    <t>Río Ceballos</t>
  </si>
  <si>
    <t>Río de los Sauces</t>
  </si>
  <si>
    <t>Río Tercero</t>
  </si>
  <si>
    <t>Rosario del Saladillo</t>
  </si>
  <si>
    <t>Sagrada Familia</t>
  </si>
  <si>
    <t>Saldán</t>
  </si>
  <si>
    <t>Salsacate</t>
  </si>
  <si>
    <t>Salsipuedes</t>
  </si>
  <si>
    <t>Sampacho</t>
  </si>
  <si>
    <t>San Agustín</t>
  </si>
  <si>
    <t>San Antonio de Arredondo</t>
  </si>
  <si>
    <t>San Antonio de Litín</t>
  </si>
  <si>
    <t>San Basilio</t>
  </si>
  <si>
    <t>San Carlos Minas</t>
  </si>
  <si>
    <t>San Clemente</t>
  </si>
  <si>
    <t>San Esteban</t>
  </si>
  <si>
    <t>San Francisco</t>
  </si>
  <si>
    <t>San Ignacio</t>
  </si>
  <si>
    <t>San José</t>
  </si>
  <si>
    <t>San José de la Dormida</t>
  </si>
  <si>
    <t>San José de las Salinas</t>
  </si>
  <si>
    <t>San Lorenzo</t>
  </si>
  <si>
    <t>San Marcos Sierras</t>
  </si>
  <si>
    <t>San Marcos Sud</t>
  </si>
  <si>
    <t>San Pedro</t>
  </si>
  <si>
    <t>San Pedro Norte</t>
  </si>
  <si>
    <t>San Roque</t>
  </si>
  <si>
    <t>San Vicente</t>
  </si>
  <si>
    <t>Santa Catalina</t>
  </si>
  <si>
    <t>Santa Elena</t>
  </si>
  <si>
    <t>Santa María de Punilla</t>
  </si>
  <si>
    <t>Santa Rosa de Calamuchita</t>
  </si>
  <si>
    <t>Santa Rosa de Río Primero</t>
  </si>
  <si>
    <t>Santiago Temple</t>
  </si>
  <si>
    <t>Saturnino María Laspiur</t>
  </si>
  <si>
    <t>Sebastián Elcano</t>
  </si>
  <si>
    <t>Seeber</t>
  </si>
  <si>
    <t>Serrano</t>
  </si>
  <si>
    <t>Serrezuela</t>
  </si>
  <si>
    <t>Silvio Pellico</t>
  </si>
  <si>
    <t>Simbolar</t>
  </si>
  <si>
    <t>Sinsacate</t>
  </si>
  <si>
    <t>Tala Cañada</t>
  </si>
  <si>
    <t>Tala Huasi</t>
  </si>
  <si>
    <t>Tancacha</t>
  </si>
  <si>
    <t>Tanti</t>
  </si>
  <si>
    <t>Taninga</t>
  </si>
  <si>
    <t>Ticino</t>
  </si>
  <si>
    <t>Tío Pujio</t>
  </si>
  <si>
    <t>Toledo</t>
  </si>
  <si>
    <t>Toro Pujio</t>
  </si>
  <si>
    <t>Tosno</t>
  </si>
  <si>
    <t>Tránsito</t>
  </si>
  <si>
    <t>Ucacha</t>
  </si>
  <si>
    <t>Unquillo</t>
  </si>
  <si>
    <t>Valle de Anisacate</t>
  </si>
  <si>
    <t>Valle Hermoso</t>
  </si>
  <si>
    <t>Viamonte</t>
  </si>
  <si>
    <t>Villa Albertina</t>
  </si>
  <si>
    <t>Villa Allende</t>
  </si>
  <si>
    <t>Villa Amancay</t>
  </si>
  <si>
    <t>Villa Ascasubi</t>
  </si>
  <si>
    <t>Villa Candelaria Norte</t>
  </si>
  <si>
    <t>Villa Carlos Paz</t>
  </si>
  <si>
    <t>Villa Cerro Azul</t>
  </si>
  <si>
    <t>Villa Ciudad de América</t>
  </si>
  <si>
    <t>Villa Ciudad Parque</t>
  </si>
  <si>
    <t>Villa Concepción del Tío</t>
  </si>
  <si>
    <t>Villa Cura Brochero</t>
  </si>
  <si>
    <t>Villa de Las Rosas</t>
  </si>
  <si>
    <t>Villa de María</t>
  </si>
  <si>
    <t>Villa de Pocho</t>
  </si>
  <si>
    <t>Villa del Dique</t>
  </si>
  <si>
    <t>Villa del Rosario</t>
  </si>
  <si>
    <t>Villa del Totoral</t>
  </si>
  <si>
    <t>Villa Dolores</t>
  </si>
  <si>
    <t>Villa El Chacay</t>
  </si>
  <si>
    <t>Villa Elisa</t>
  </si>
  <si>
    <t>Villa Flor Serrana</t>
  </si>
  <si>
    <t>Villa Fontana</t>
  </si>
  <si>
    <t>Villa General Belgrano</t>
  </si>
  <si>
    <t>Villa Giardino</t>
  </si>
  <si>
    <t>Villa Gutiérrez</t>
  </si>
  <si>
    <t>Villa La Bolsa</t>
  </si>
  <si>
    <t>Villa Los Aromos</t>
  </si>
  <si>
    <t>Villa María</t>
  </si>
  <si>
    <t>Villa Nueva</t>
  </si>
  <si>
    <t>Villa Parque Síquiman</t>
  </si>
  <si>
    <t>Villa Quillinzo</t>
  </si>
  <si>
    <t>Villa Rossi</t>
  </si>
  <si>
    <t>Villa Rumipal</t>
  </si>
  <si>
    <t>Villa Santa Cruz del Lago</t>
  </si>
  <si>
    <t>Villa Tulumba</t>
  </si>
  <si>
    <t>Villa Yacanto</t>
  </si>
  <si>
    <t>Villa de Soto</t>
  </si>
  <si>
    <t>Washington</t>
  </si>
  <si>
    <t>Wenceslao Escalante</t>
  </si>
  <si>
    <t>Ycho Cruz</t>
  </si>
  <si>
    <t>Zanoni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</si>
</sst>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$]#,##0"/>
    <numFmt numFmtId="165" formatCode="0 &quot;ml&quot;"/>
    <numFmt numFmtId="166" formatCode="0 &quot;m2&quot;"/>
    <numFmt numFmtId="167" formatCode="d/MM/yyyy"/>
    <numFmt numFmtId="168" formatCode="d/m/yyyy"/>
    <numFmt numFmtId="169" formatCode="0 &quot;localidades&quot;"/>
    <numFmt numFmtId="170" formatCode="D/M/YYYY"/>
  </numFmts>
  <fonts count="79">
    <font>
      <sz val="11.0"/>
      <color theme="1"/>
      <name val="Calibri"/>
      <scheme val="minor"/>
    </font>
    <font>
      <b/>
      <sz val="15.0"/>
      <color rgb="FFFFFFFF"/>
      <name val="Calibri"/>
    </font>
    <font/>
    <font>
      <b/>
      <sz val="14.0"/>
      <color rgb="FFFFFFFF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b/>
      <sz val="14.0"/>
      <color rgb="FF000000"/>
      <name val="Calibri"/>
      <scheme val="minor"/>
    </font>
    <font>
      <b/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rgb="FF38761D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0"/>
      <name val="Calibri"/>
    </font>
    <font>
      <u/>
      <sz val="10.0"/>
      <color rgb="FF0563C1"/>
      <name val="Calibri"/>
    </font>
    <font>
      <sz val="11.0"/>
      <color rgb="FF5E5E5E"/>
      <name val="&quot;Google Sans&quot;"/>
    </font>
    <font>
      <sz val="10.0"/>
      <color theme="1"/>
      <name val="Calibri"/>
      <scheme val="minor"/>
    </font>
    <font>
      <sz val="11.0"/>
      <color rgb="FF333333"/>
      <name val="Arial"/>
    </font>
    <font>
      <u/>
      <sz val="10.0"/>
      <color theme="10"/>
      <name val="Calibri"/>
    </font>
    <font>
      <u/>
      <sz val="10.0"/>
      <color rgb="FF0563C1"/>
      <name val="Calibri"/>
    </font>
    <font>
      <color rgb="FF741B47"/>
      <name val="Calibri"/>
      <scheme val="minor"/>
    </font>
    <font>
      <b/>
      <sz val="14.0"/>
      <color rgb="FFC27BA0"/>
      <name val="Calibri"/>
      <scheme val="minor"/>
    </font>
    <font>
      <b/>
      <sz val="12.0"/>
      <color theme="1"/>
      <name val="Calibri"/>
      <scheme val="minor"/>
    </font>
    <font>
      <color rgb="FF3C78D8"/>
      <name val="Calibri"/>
      <scheme val="minor"/>
    </font>
    <font>
      <b/>
      <sz val="14.0"/>
      <color rgb="FF6D9EEB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  <scheme val="minor"/>
    </font>
    <font>
      <b/>
      <sz val="17.0"/>
      <color theme="1"/>
      <name val="Calibri"/>
      <scheme val="minor"/>
    </font>
    <font>
      <b/>
      <i/>
      <color theme="1"/>
      <name val="Calibri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color rgb="FF000000"/>
      <name val="Calibri"/>
      <scheme val="minor"/>
    </font>
    <font>
      <b/>
      <sz val="10.0"/>
      <color rgb="FF000000"/>
      <name val="Calibri"/>
      <scheme val="minor"/>
    </font>
    <font>
      <sz val="10.0"/>
      <color rgb="FFB7B7B7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sz val="10.0"/>
      <color rgb="FF000000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u/>
      <color rgb="FF0000FF"/>
    </font>
    <font>
      <u/>
      <color rgb="FF0000FF"/>
    </font>
    <font>
      <sz val="10.0"/>
      <color rgb="FF0563C1"/>
      <name val="Calibri"/>
    </font>
    <font>
      <u/>
      <sz val="10.0"/>
      <color theme="10"/>
      <name val="Calibri"/>
    </font>
    <font>
      <b/>
      <sz val="10.0"/>
      <color rgb="FFFF0000"/>
      <name val="Calibri"/>
    </font>
    <font>
      <sz val="10.0"/>
      <color rgb="FFFF0000"/>
      <name val="Calibri"/>
    </font>
    <font>
      <u/>
      <sz val="10.0"/>
      <color rgb="FFFF0000"/>
      <name val="Calibri"/>
    </font>
    <font>
      <sz val="9.0"/>
      <color theme="1"/>
      <name val="&quot;Calibri&quot;"/>
    </font>
    <font>
      <u/>
      <sz val="10.0"/>
      <color rgb="FF0563C1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b/>
      <sz val="10.0"/>
      <color rgb="FF666666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sz val="8.0"/>
      <color rgb="FF000000"/>
      <name val="&quot;Google Sans&quot;"/>
    </font>
    <font>
      <sz val="10.0"/>
      <color rgb="FF5E5E5E"/>
      <name val="Arial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b/>
      <sz val="17.0"/>
      <color rgb="FF666666"/>
      <name val="Calibri"/>
    </font>
    <font>
      <sz val="10.0"/>
      <color rgb="FF666666"/>
      <name val="Calibri"/>
    </font>
    <font>
      <b/>
      <sz val="11.0"/>
      <color rgb="FFFFFFFF"/>
      <name val="Calibri"/>
    </font>
    <font>
      <b/>
      <sz val="11.0"/>
      <color rgb="FFFF0000"/>
      <name val="Calibri"/>
    </font>
    <font>
      <color theme="1"/>
      <name val="Arial"/>
    </font>
    <font>
      <sz val="11.0"/>
      <color rgb="FFFF0000"/>
      <name val="Calibri"/>
    </font>
    <font>
      <sz val="11.0"/>
      <color rgb="FFFFFF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2.0"/>
      <color theme="1"/>
      <name val="Calibri"/>
    </font>
    <font>
      <u/>
      <sz val="12.0"/>
      <color rgb="FF0000FF"/>
      <name val="Calibri"/>
    </font>
    <font>
      <sz val="11.0"/>
      <color rgb="FF1F1F1F"/>
      <name val="Calibri"/>
    </font>
    <font>
      <color rgb="FFFF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666666"/>
        <bgColor rgb="FF666666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A5A5A5"/>
        <bgColor rgb="FFA5A5A5"/>
      </patternFill>
    </fill>
    <fill>
      <patternFill patternType="solid">
        <fgColor rgb="FF1C4587"/>
        <bgColor rgb="FF1C458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A61C00"/>
        <bgColor rgb="FFA61C00"/>
      </patternFill>
    </fill>
    <fill>
      <patternFill patternType="solid">
        <fgColor rgb="FFEFEFEF"/>
        <bgColor rgb="FFEFEFEF"/>
      </patternFill>
    </fill>
    <fill>
      <patternFill patternType="solid">
        <fgColor rgb="FFCC4125"/>
        <bgColor rgb="FFCC4125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0" fillId="4" fontId="4" numFmtId="0" xfId="0" applyFill="1" applyFont="1"/>
    <xf borderId="0" fillId="4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7" numFmtId="0" xfId="0" applyAlignment="1" applyFont="1">
      <alignment readingOrder="0"/>
    </xf>
    <xf borderId="2" fillId="5" fontId="8" numFmtId="0" xfId="0" applyBorder="1" applyFill="1" applyFont="1"/>
    <xf borderId="2" fillId="5" fontId="9" numFmtId="0" xfId="0" applyAlignment="1" applyBorder="1" applyFont="1">
      <alignment horizontal="right" shrinkToFit="0" textRotation="0" vertical="center" wrapText="1"/>
    </xf>
    <xf borderId="2" fillId="5" fontId="9" numFmtId="0" xfId="0" applyAlignment="1" applyBorder="1" applyFont="1">
      <alignment horizontal="center" readingOrder="0" shrinkToFit="0" textRotation="0" vertical="center" wrapText="1"/>
    </xf>
    <xf borderId="0" fillId="6" fontId="8" numFmtId="0" xfId="0" applyAlignment="1" applyFill="1" applyFont="1">
      <alignment readingOrder="0"/>
    </xf>
    <xf borderId="0" fillId="6" fontId="4" numFmtId="0" xfId="0" applyFont="1"/>
    <xf borderId="4" fillId="4" fontId="4" numFmtId="0" xfId="0" applyBorder="1" applyFont="1"/>
    <xf borderId="4" fillId="4" fontId="10" numFmtId="0" xfId="0" applyAlignment="1" applyBorder="1" applyFont="1">
      <alignment horizontal="right" readingOrder="0" shrinkToFit="0" textRotation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7" fontId="11" numFmtId="0" xfId="0" applyAlignment="1" applyBorder="1" applyFill="1" applyFont="1">
      <alignment horizontal="center" readingOrder="0" shrinkToFit="0" vertical="center" wrapText="1"/>
    </xf>
    <xf borderId="4" fillId="4" fontId="10" numFmtId="0" xfId="0" applyAlignment="1" applyBorder="1" applyFont="1">
      <alignment horizontal="right" readingOrder="0" textRotation="0" vertical="center"/>
    </xf>
    <xf borderId="4" fillId="4" fontId="12" numFmtId="0" xfId="0" applyAlignment="1" applyBorder="1" applyFont="1">
      <alignment horizontal="center" vertical="center"/>
    </xf>
    <xf borderId="4" fillId="7" fontId="12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right" shrinkToFit="0" textRotation="0" vertical="center" wrapText="1"/>
    </xf>
    <xf borderId="4" fillId="4" fontId="10" numFmtId="0" xfId="0" applyAlignment="1" applyBorder="1" applyFont="1">
      <alignment horizontal="center" readingOrder="0" textRotation="0" vertical="center"/>
    </xf>
    <xf borderId="4" fillId="0" fontId="10" numFmtId="0" xfId="0" applyAlignment="1" applyBorder="1" applyFont="1">
      <alignment horizontal="center" readingOrder="0" textRotation="0" vertical="center"/>
    </xf>
    <xf borderId="4" fillId="4" fontId="10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left" vertical="bottom"/>
    </xf>
    <xf borderId="4" fillId="4" fontId="10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vertical="bottom"/>
    </xf>
    <xf borderId="4" fillId="4" fontId="15" numFmtId="0" xfId="0" applyAlignment="1" applyBorder="1" applyFont="1">
      <alignment horizontal="center" shrinkToFit="0" vertical="center" wrapText="1"/>
    </xf>
    <xf borderId="4" fillId="4" fontId="16" numFmtId="0" xfId="0" applyAlignment="1" applyBorder="1" applyFont="1">
      <alignment horizontal="center" readingOrder="0" shrinkToFit="0" vertical="center" wrapText="1"/>
    </xf>
    <xf borderId="0" fillId="8" fontId="17" numFmtId="0" xfId="0" applyAlignment="1" applyFill="1" applyFont="1">
      <alignment readingOrder="0"/>
    </xf>
    <xf borderId="2" fillId="4" fontId="18" numFmtId="0" xfId="0" applyAlignment="1" applyBorder="1" applyFont="1">
      <alignment horizontal="center" readingOrder="0" textRotation="90" vertical="center"/>
    </xf>
    <xf borderId="4" fillId="4" fontId="10" numFmtId="0" xfId="0" applyAlignment="1" applyBorder="1" applyFont="1">
      <alignment horizontal="left" readingOrder="0" shrinkToFit="0" textRotation="0" vertical="center" wrapText="1"/>
    </xf>
    <xf borderId="4" fillId="4" fontId="10" numFmtId="164" xfId="0" applyAlignment="1" applyBorder="1" applyFont="1" applyNumberFormat="1">
      <alignment horizontal="center" shrinkToFit="0" vertical="center" wrapText="1"/>
    </xf>
    <xf borderId="4" fillId="7" fontId="10" numFmtId="164" xfId="0" applyAlignment="1" applyBorder="1" applyFont="1" applyNumberFormat="1">
      <alignment horizontal="center" readingOrder="0" shrinkToFit="0" vertical="center" wrapText="1"/>
    </xf>
    <xf borderId="4" fillId="4" fontId="10" numFmtId="165" xfId="0" applyAlignment="1" applyBorder="1" applyFont="1" applyNumberFormat="1">
      <alignment horizontal="center" readingOrder="0" shrinkToFit="0" vertical="center" wrapText="1"/>
    </xf>
    <xf borderId="4" fillId="7" fontId="10" numFmtId="165" xfId="0" applyAlignment="1" applyBorder="1" applyFont="1" applyNumberFormat="1">
      <alignment horizontal="center" readingOrder="0" shrinkToFit="0" vertical="center" wrapText="1"/>
    </xf>
    <xf borderId="6" fillId="0" fontId="2" numFmtId="0" xfId="0" applyBorder="1" applyFont="1"/>
    <xf borderId="4" fillId="4" fontId="10" numFmtId="166" xfId="0" applyAlignment="1" applyBorder="1" applyFont="1" applyNumberFormat="1">
      <alignment horizontal="center" readingOrder="0" shrinkToFit="0" vertical="center" wrapText="1"/>
    </xf>
    <xf borderId="4" fillId="7" fontId="10" numFmtId="166" xfId="0" applyAlignment="1" applyBorder="1" applyFont="1" applyNumberForma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textRotation="90" vertical="center" wrapText="1"/>
    </xf>
    <xf borderId="0" fillId="4" fontId="12" numFmtId="0" xfId="0" applyAlignment="1" applyFont="1">
      <alignment horizontal="center" readingOrder="0" shrinkToFit="0" textRotation="0" vertical="center" wrapText="1"/>
    </xf>
    <xf borderId="0" fillId="4" fontId="10" numFmtId="0" xfId="0" applyAlignment="1" applyFont="1">
      <alignment horizontal="center" readingOrder="0" textRotation="0" vertical="center"/>
    </xf>
    <xf borderId="0" fillId="0" fontId="10" numFmtId="0" xfId="0" applyAlignment="1" applyFont="1">
      <alignment horizontal="center" readingOrder="0" textRotation="0" vertical="center"/>
    </xf>
    <xf borderId="0" fillId="4" fontId="10" numFmtId="0" xfId="0" applyAlignment="1" applyFont="1">
      <alignment horizontal="center" readingOrder="0" shrinkToFit="0" textRotation="0" vertical="center" wrapText="1"/>
    </xf>
    <xf borderId="6" fillId="4" fontId="12" numFmtId="0" xfId="0" applyAlignment="1" applyBorder="1" applyFont="1">
      <alignment horizontal="center" readingOrder="0" shrinkToFit="0" textRotation="0" vertical="center" wrapText="1"/>
    </xf>
    <xf borderId="2" fillId="4" fontId="10" numFmtId="0" xfId="0" applyAlignment="1" applyBorder="1" applyFont="1">
      <alignment horizontal="center" readingOrder="0" shrinkToFit="0" textRotation="0" vertical="center" wrapText="1"/>
    </xf>
    <xf borderId="2" fillId="4" fontId="10" numFmtId="0" xfId="0" applyAlignment="1" applyBorder="1" applyFont="1">
      <alignment horizontal="center" readingOrder="0" textRotation="0" vertical="center"/>
    </xf>
    <xf borderId="2" fillId="0" fontId="10" numFmtId="0" xfId="0" applyAlignment="1" applyBorder="1" applyFont="1">
      <alignment horizontal="center" readingOrder="0" textRotation="0" vertical="center"/>
    </xf>
    <xf borderId="2" fillId="4" fontId="4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wrapText="1"/>
    </xf>
    <xf borderId="2" fillId="4" fontId="10" numFmtId="0" xfId="0" applyAlignment="1" applyBorder="1" applyFont="1">
      <alignment horizontal="center" readingOrder="0" shrinkToFit="0" textRotation="90" vertical="center" wrapText="1"/>
    </xf>
    <xf borderId="2" fillId="4" fontId="4" numFmtId="167" xfId="0" applyAlignment="1" applyBorder="1" applyFont="1" applyNumberFormat="1">
      <alignment horizontal="center" shrinkToFit="0" vertical="center" wrapText="1"/>
    </xf>
    <xf borderId="0" fillId="9" fontId="19" numFmtId="168" xfId="0" applyAlignment="1" applyFill="1" applyFont="1" applyNumberFormat="1">
      <alignment readingOrder="0"/>
    </xf>
    <xf borderId="6" fillId="4" fontId="10" numFmtId="0" xfId="0" applyAlignment="1" applyBorder="1" applyFont="1">
      <alignment horizontal="center" readingOrder="0" shrinkToFit="0" textRotation="0" vertical="center" wrapText="1"/>
    </xf>
    <xf borderId="6" fillId="4" fontId="10" numFmtId="0" xfId="0" applyAlignment="1" applyBorder="1" applyFont="1">
      <alignment horizontal="center" readingOrder="0" textRotation="0" vertical="center"/>
    </xf>
    <xf borderId="6" fillId="0" fontId="10" numFmtId="0" xfId="0" applyAlignment="1" applyBorder="1" applyFont="1">
      <alignment horizontal="center" readingOrder="0" textRotation="0" vertical="center"/>
    </xf>
    <xf borderId="0" fillId="4" fontId="10" numFmtId="0" xfId="0" applyAlignment="1" applyFont="1">
      <alignment horizontal="right" readingOrder="0" shrinkToFit="0" textRotation="0" vertical="center" wrapText="1"/>
    </xf>
    <xf borderId="0" fillId="4" fontId="4" numFmtId="0" xfId="0" applyAlignment="1" applyFont="1">
      <alignment readingOrder="0"/>
    </xf>
    <xf borderId="0" fillId="4" fontId="10" numFmtId="0" xfId="0" applyAlignment="1" applyFont="1">
      <alignment horizontal="right" readingOrder="0" textRotation="0" vertical="center"/>
    </xf>
    <xf borderId="0" fillId="4" fontId="10" numFmtId="0" xfId="0" applyAlignment="1" applyFont="1">
      <alignment horizontal="right" shrinkToFit="0" textRotation="0" vertical="center" wrapText="1"/>
    </xf>
    <xf borderId="0" fillId="4" fontId="18" numFmtId="0" xfId="0" applyAlignment="1" applyFont="1">
      <alignment horizontal="center" readingOrder="0" textRotation="90" vertical="center"/>
    </xf>
    <xf borderId="0" fillId="4" fontId="10" numFmtId="0" xfId="0" applyAlignment="1" applyFont="1">
      <alignment horizontal="left" readingOrder="0" shrinkToFit="0" textRotation="0" vertical="center" wrapText="1"/>
    </xf>
    <xf borderId="3" fillId="10" fontId="3" numFmtId="0" xfId="0" applyAlignment="1" applyBorder="1" applyFill="1" applyFont="1">
      <alignment readingOrder="0"/>
    </xf>
    <xf borderId="4" fillId="7" fontId="10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4" fillId="7" fontId="15" numFmtId="0" xfId="0" applyAlignment="1" applyBorder="1" applyFont="1">
      <alignment horizontal="center" shrinkToFit="0" vertical="center" wrapText="1"/>
    </xf>
    <xf borderId="4" fillId="7" fontId="21" numFmtId="0" xfId="0" applyAlignment="1" applyBorder="1" applyFont="1">
      <alignment horizontal="center" readingOrder="0" shrinkToFit="0" vertical="center" wrapText="1"/>
    </xf>
    <xf borderId="2" fillId="0" fontId="4" numFmtId="167" xfId="0" applyAlignment="1" applyBorder="1" applyFont="1" applyNumberFormat="1">
      <alignment horizontal="center" shrinkToFit="0" vertical="center" wrapText="1"/>
    </xf>
    <xf borderId="3" fillId="11" fontId="3" numFmtId="0" xfId="0" applyAlignment="1" applyBorder="1" applyFill="1" applyFont="1">
      <alignment readingOrder="0"/>
    </xf>
    <xf borderId="3" fillId="12" fontId="3" numFmtId="0" xfId="0" applyAlignment="1" applyBorder="1" applyFill="1" applyFont="1">
      <alignment readingOrder="0"/>
    </xf>
    <xf borderId="2" fillId="0" fontId="4" numFmtId="167" xfId="0" applyAlignment="1" applyBorder="1" applyFont="1" applyNumberFormat="1">
      <alignment horizontal="center" readingOrder="0" shrinkToFit="0" vertical="center" wrapText="1"/>
    </xf>
    <xf borderId="1" fillId="13" fontId="22" numFmtId="0" xfId="0" applyAlignment="1" applyBorder="1" applyFill="1" applyFont="1">
      <alignment readingOrder="0"/>
    </xf>
    <xf borderId="7" fillId="13" fontId="22" numFmtId="0" xfId="0" applyAlignment="1" applyBorder="1" applyFont="1">
      <alignment readingOrder="0"/>
    </xf>
    <xf borderId="3" fillId="13" fontId="22" numFmtId="0" xfId="0" applyAlignment="1" applyBorder="1" applyFont="1">
      <alignment readingOrder="0"/>
    </xf>
    <xf borderId="8" fillId="13" fontId="22" numFmtId="0" xfId="0" applyAlignment="1" applyBorder="1" applyFont="1">
      <alignment readingOrder="0"/>
    </xf>
    <xf borderId="3" fillId="0" fontId="6" numFmtId="0" xfId="0" applyAlignment="1" applyBorder="1" applyFont="1">
      <alignment horizontal="right" readingOrder="0"/>
    </xf>
    <xf borderId="8" fillId="0" fontId="5" numFmtId="14" xfId="0" applyAlignment="1" applyBorder="1" applyFont="1" applyNumberFormat="1">
      <alignment horizontal="left"/>
    </xf>
    <xf borderId="3" fillId="0" fontId="5" numFmtId="0" xfId="0" applyAlignment="1" applyBorder="1" applyFont="1">
      <alignment horizontal="right" readingOrder="0"/>
    </xf>
    <xf borderId="8" fillId="0" fontId="6" numFmtId="0" xfId="0" applyAlignment="1" applyBorder="1" applyFont="1">
      <alignment readingOrder="0"/>
    </xf>
    <xf borderId="8" fillId="0" fontId="7" numFmtId="0" xfId="0" applyAlignment="1" applyBorder="1" applyFont="1">
      <alignment horizontal="left" readingOrder="0"/>
    </xf>
    <xf borderId="3" fillId="0" fontId="23" numFmtId="0" xfId="0" applyAlignment="1" applyBorder="1" applyFont="1">
      <alignment horizontal="right" readingOrder="0"/>
    </xf>
    <xf borderId="8" fillId="0" fontId="23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right" readingOrder="0"/>
    </xf>
    <xf borderId="8" fillId="0" fontId="7" numFmtId="164" xfId="0" applyAlignment="1" applyBorder="1" applyFont="1" applyNumberFormat="1">
      <alignment horizontal="left" readingOrder="0"/>
    </xf>
    <xf borderId="8" fillId="0" fontId="4" numFmtId="165" xfId="0" applyAlignment="1" applyBorder="1" applyFont="1" applyNumberFormat="1">
      <alignment horizontal="left"/>
    </xf>
    <xf borderId="8" fillId="0" fontId="4" numFmtId="166" xfId="0" applyAlignment="1" applyBorder="1" applyFont="1" applyNumberFormat="1">
      <alignment horizontal="left"/>
    </xf>
    <xf borderId="3" fillId="0" fontId="24" numFmtId="0" xfId="0" applyAlignment="1" applyBorder="1" applyFont="1">
      <alignment readingOrder="0"/>
    </xf>
    <xf borderId="8" fillId="0" fontId="4" numFmtId="0" xfId="0" applyBorder="1" applyFont="1"/>
    <xf borderId="9" fillId="0" fontId="4" numFmtId="0" xfId="0" applyAlignment="1" applyBorder="1" applyFont="1">
      <alignment readingOrder="0"/>
    </xf>
    <xf borderId="10" fillId="0" fontId="4" numFmtId="0" xfId="0" applyBorder="1" applyFont="1"/>
    <xf borderId="9" fillId="0" fontId="4" numFmtId="0" xfId="0" applyBorder="1" applyFont="1"/>
    <xf borderId="2" fillId="0" fontId="4" numFmtId="0" xfId="0" applyAlignment="1" applyBorder="1" applyFont="1">
      <alignment readingOrder="0"/>
    </xf>
    <xf borderId="2" fillId="0" fontId="4" numFmtId="0" xfId="0" applyBorder="1" applyFont="1"/>
    <xf borderId="1" fillId="14" fontId="25" numFmtId="0" xfId="0" applyAlignment="1" applyBorder="1" applyFill="1" applyFont="1">
      <alignment readingOrder="0"/>
    </xf>
    <xf borderId="7" fillId="14" fontId="25" numFmtId="0" xfId="0" applyAlignment="1" applyBorder="1" applyFont="1">
      <alignment readingOrder="0"/>
    </xf>
    <xf borderId="3" fillId="14" fontId="25" numFmtId="0" xfId="0" applyAlignment="1" applyBorder="1" applyFont="1">
      <alignment readingOrder="0"/>
    </xf>
    <xf borderId="8" fillId="14" fontId="25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3" fillId="0" fontId="26" numFmtId="0" xfId="0" applyAlignment="1" applyBorder="1" applyFont="1">
      <alignment horizontal="right" readingOrder="0"/>
    </xf>
    <xf borderId="8" fillId="0" fontId="26" numFmtId="0" xfId="0" applyAlignment="1" applyBorder="1" applyFont="1">
      <alignment horizontal="right" readingOrder="0"/>
    </xf>
    <xf borderId="8" fillId="0" fontId="4" numFmtId="164" xfId="0" applyAlignment="1" applyBorder="1" applyFont="1" applyNumberFormat="1">
      <alignment horizontal="left"/>
    </xf>
    <xf borderId="8" fillId="0" fontId="4" numFmtId="0" xfId="0" applyAlignment="1" applyBorder="1" applyFont="1">
      <alignment readingOrder="0"/>
    </xf>
    <xf borderId="8" fillId="0" fontId="4" numFmtId="0" xfId="0" applyAlignment="1" applyBorder="1" applyFont="1">
      <alignment horizontal="left"/>
    </xf>
    <xf borderId="7" fillId="0" fontId="4" numFmtId="0" xfId="0" applyBorder="1" applyFont="1"/>
    <xf borderId="3" fillId="4" fontId="10" numFmtId="0" xfId="0" applyAlignment="1" applyBorder="1" applyFont="1">
      <alignment horizontal="left" readingOrder="0" shrinkToFit="0" textRotation="0" vertical="center" wrapText="1"/>
    </xf>
    <xf borderId="2" fillId="4" fontId="4" numFmtId="0" xfId="0" applyBorder="1" applyFont="1"/>
    <xf borderId="6" fillId="4" fontId="4" numFmtId="0" xfId="0" applyBorder="1" applyFont="1"/>
    <xf borderId="5" fillId="0" fontId="4" numFmtId="0" xfId="0" applyBorder="1" applyFont="1"/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8" fillId="0" fontId="2" numFmtId="0" xfId="0" applyBorder="1" applyFont="1"/>
    <xf borderId="9" fillId="0" fontId="27" numFmtId="0" xfId="0" applyAlignment="1" applyBorder="1" applyFont="1">
      <alignment readingOrder="0" shrinkToFit="0" wrapText="1"/>
    </xf>
    <xf borderId="10" fillId="0" fontId="2" numFmtId="0" xfId="0" applyBorder="1" applyFont="1"/>
    <xf borderId="3" fillId="8" fontId="14" numFmtId="0" xfId="0" applyAlignment="1" applyBorder="1" applyFont="1">
      <alignment horizontal="center" readingOrder="0" shrinkToFit="0" vertical="center" wrapText="1"/>
    </xf>
    <xf borderId="3" fillId="0" fontId="0" numFmtId="0" xfId="0" applyAlignment="1" applyBorder="1" applyFont="1">
      <alignment horizontal="right" readingOrder="0"/>
    </xf>
    <xf borderId="0" fillId="0" fontId="0" numFmtId="0" xfId="0" applyAlignment="1" applyFont="1">
      <alignment readingOrder="0"/>
    </xf>
    <xf borderId="9" fillId="0" fontId="28" numFmtId="167" xfId="0" applyAlignment="1" applyBorder="1" applyFont="1" applyNumberFormat="1">
      <alignment horizontal="right"/>
    </xf>
    <xf borderId="10" fillId="0" fontId="28" numFmtId="167" xfId="0" applyAlignment="1" applyBorder="1" applyFont="1" applyNumberForma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167" xfId="0" applyAlignment="1" applyFont="1" applyNumberFormat="1">
      <alignment horizontal="left"/>
    </xf>
    <xf borderId="0" fillId="0" fontId="4" numFmtId="0" xfId="0" applyAlignment="1" applyFont="1">
      <alignment horizontal="right"/>
    </xf>
    <xf borderId="1" fillId="4" fontId="5" numFmtId="0" xfId="0" applyAlignment="1" applyBorder="1" applyFont="1">
      <alignment readingOrder="0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/>
    </xf>
    <xf borderId="3" fillId="4" fontId="5" numFmtId="0" xfId="0" applyAlignment="1" applyBorder="1" applyFont="1">
      <alignment readingOrder="0"/>
    </xf>
    <xf borderId="8" fillId="4" fontId="5" numFmtId="0" xfId="0" applyAlignment="1" applyBorder="1" applyFont="1">
      <alignment readingOrder="0"/>
    </xf>
    <xf borderId="0" fillId="4" fontId="5" numFmtId="0" xfId="0" applyFont="1"/>
    <xf borderId="0" fillId="0" fontId="5" numFmtId="0" xfId="0" applyFont="1"/>
    <xf borderId="0" fillId="0" fontId="29" numFmtId="0" xfId="0" applyAlignment="1" applyFont="1">
      <alignment readingOrder="0"/>
    </xf>
    <xf borderId="0" fillId="0" fontId="4" numFmtId="14" xfId="0" applyFont="1" applyNumberFormat="1"/>
    <xf borderId="0" fillId="0" fontId="4" numFmtId="0" xfId="0" applyAlignment="1" applyFont="1">
      <alignment shrinkToFit="0" wrapText="1"/>
    </xf>
    <xf borderId="11" fillId="0" fontId="27" numFmtId="0" xfId="0" applyAlignment="1" applyBorder="1" applyFont="1">
      <alignment horizontal="right" vertical="center"/>
    </xf>
    <xf borderId="11" fillId="0" fontId="2" numFmtId="0" xfId="0" applyBorder="1" applyFont="1"/>
    <xf borderId="11" fillId="0" fontId="10" numFmtId="0" xfId="0" applyAlignment="1" applyBorder="1" applyFont="1">
      <alignment horizontal="center" readingOrder="0" shrinkToFit="0" textRotation="0" vertical="center" wrapText="1"/>
    </xf>
    <xf borderId="0" fillId="0" fontId="4" numFmtId="0" xfId="0" applyAlignment="1" applyFont="1">
      <alignment readingOrder="0" vertical="center"/>
    </xf>
    <xf borderId="0" fillId="0" fontId="27" numFmtId="0" xfId="0" applyFont="1"/>
    <xf borderId="0" fillId="8" fontId="12" numFmtId="169" xfId="0" applyAlignment="1" applyFont="1" applyNumberFormat="1">
      <alignment horizontal="center" shrinkToFit="0" vertical="center" wrapText="1"/>
    </xf>
    <xf borderId="0" fillId="8" fontId="10" numFmtId="169" xfId="0" applyAlignment="1" applyFont="1" applyNumberFormat="1">
      <alignment horizontal="center" shrinkToFit="0" vertical="center" wrapText="1"/>
    </xf>
    <xf borderId="0" fillId="4" fontId="30" numFmtId="0" xfId="0" applyAlignment="1" applyFont="1">
      <alignment readingOrder="0"/>
    </xf>
    <xf borderId="0" fillId="4" fontId="4" numFmtId="0" xfId="0" applyAlignment="1" applyFont="1">
      <alignment shrinkToFit="0" wrapText="1"/>
    </xf>
    <xf borderId="0" fillId="4" fontId="30" numFmtId="0" xfId="0" applyAlignment="1" applyFont="1">
      <alignment horizontal="center" readingOrder="0"/>
    </xf>
    <xf borderId="4" fillId="0" fontId="27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167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2" fillId="0" fontId="27" numFmtId="0" xfId="0" applyBorder="1" applyFont="1"/>
    <xf borderId="2" fillId="0" fontId="4" numFmtId="0" xfId="0" applyAlignment="1" applyBorder="1" applyFont="1">
      <alignment shrinkToFit="0" wrapText="1"/>
    </xf>
    <xf borderId="0" fillId="4" fontId="31" numFmtId="0" xfId="0" applyAlignment="1" applyFont="1">
      <alignment horizontal="left" readingOrder="0"/>
    </xf>
    <xf borderId="0" fillId="4" fontId="32" numFmtId="0" xfId="0" applyAlignment="1" applyFont="1">
      <alignment horizontal="left" readingOrder="0" shrinkToFit="0" wrapText="1"/>
    </xf>
    <xf borderId="0" fillId="4" fontId="32" numFmtId="0" xfId="0" applyAlignment="1" applyFont="1">
      <alignment horizontal="left" readingOrder="0"/>
    </xf>
    <xf borderId="0" fillId="4" fontId="33" numFmtId="0" xfId="0" applyFont="1"/>
    <xf borderId="0" fillId="0" fontId="34" numFmtId="0" xfId="0" applyFont="1"/>
    <xf borderId="0" fillId="8" fontId="10" numFmtId="0" xfId="0" applyAlignment="1" applyFont="1">
      <alignment horizontal="center" shrinkToFit="0" textRotation="90" vertical="center" wrapText="1"/>
    </xf>
    <xf borderId="0" fillId="8" fontId="10" numFmtId="0" xfId="0" applyAlignment="1" applyFont="1">
      <alignment horizontal="center" readingOrder="0" shrinkToFit="0" vertical="center" wrapText="1"/>
    </xf>
    <xf borderId="0" fillId="8" fontId="10" numFmtId="0" xfId="0" applyAlignment="1" applyFont="1">
      <alignment horizontal="center" readingOrder="0" textRotation="90" vertical="center"/>
    </xf>
    <xf borderId="0" fillId="8" fontId="10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vertical="center"/>
    </xf>
    <xf borderId="0" fillId="8" fontId="12" numFmtId="0" xfId="0" applyAlignment="1" applyFont="1">
      <alignment horizontal="center" readingOrder="0" shrinkToFit="0" textRotation="0" vertical="center" wrapText="1"/>
    </xf>
    <xf borderId="0" fillId="8" fontId="18" numFmtId="0" xfId="0" applyFont="1"/>
    <xf borderId="0" fillId="0" fontId="18" numFmtId="0" xfId="0" applyFont="1"/>
    <xf borderId="0" fillId="8" fontId="10" numFmtId="0" xfId="0" applyAlignment="1" applyFont="1">
      <alignment horizontal="center" readingOrder="0" shrinkToFit="0" textRotation="90" vertical="center" wrapText="1"/>
    </xf>
    <xf borderId="0" fillId="8" fontId="12" numFmtId="0" xfId="0" applyAlignment="1" applyFont="1">
      <alignment horizontal="center" readingOrder="0" shrinkToFit="0" textRotation="90" vertical="center" wrapText="1"/>
    </xf>
    <xf borderId="0" fillId="15" fontId="10" numFmtId="0" xfId="0" applyAlignment="1" applyFill="1" applyFont="1">
      <alignment horizontal="center" readingOrder="0" shrinkToFit="0" textRotation="90" vertical="center" wrapText="1"/>
    </xf>
    <xf borderId="12" fillId="8" fontId="12" numFmtId="0" xfId="0" applyAlignment="1" applyBorder="1" applyFont="1">
      <alignment horizontal="center" shrinkToFit="0" vertical="center" wrapText="1"/>
    </xf>
    <xf borderId="12" fillId="8" fontId="12" numFmtId="0" xfId="0" applyAlignment="1" applyBorder="1" applyFont="1">
      <alignment horizontal="center" readingOrder="0" vertical="center"/>
    </xf>
    <xf borderId="12" fillId="8" fontId="12" numFmtId="0" xfId="0" applyAlignment="1" applyBorder="1" applyFont="1">
      <alignment horizontal="center" vertical="center"/>
    </xf>
    <xf borderId="12" fillId="8" fontId="12" numFmtId="164" xfId="0" applyAlignment="1" applyBorder="1" applyFont="1" applyNumberFormat="1">
      <alignment horizontal="center" shrinkToFit="0" vertical="center" wrapText="1"/>
    </xf>
    <xf borderId="12" fillId="8" fontId="12" numFmtId="4" xfId="0" applyAlignment="1" applyBorder="1" applyFont="1" applyNumberFormat="1">
      <alignment horizontal="center" shrinkToFit="0" vertical="center" wrapText="1"/>
    </xf>
    <xf borderId="12" fillId="8" fontId="12" numFmtId="0" xfId="0" applyAlignment="1" applyBorder="1" applyFont="1">
      <alignment horizontal="center" readingOrder="0" shrinkToFit="0" vertical="center" wrapText="1"/>
    </xf>
    <xf borderId="13" fillId="8" fontId="12" numFmtId="0" xfId="0" applyAlignment="1" applyBorder="1" applyFont="1">
      <alignment horizontal="center" readingOrder="0" shrinkToFit="0" vertical="center" wrapText="1"/>
    </xf>
    <xf borderId="13" fillId="7" fontId="35" numFmtId="0" xfId="0" applyAlignment="1" applyBorder="1" applyFont="1">
      <alignment horizontal="center" readingOrder="0" shrinkToFit="0" vertical="center" wrapText="1"/>
    </xf>
    <xf borderId="13" fillId="7" fontId="11" numFmtId="0" xfId="0" applyAlignment="1" applyBorder="1" applyFont="1">
      <alignment horizontal="center" readingOrder="0" shrinkToFit="0" vertical="center" wrapText="1"/>
    </xf>
    <xf borderId="12" fillId="7" fontId="12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horizontal="center" readingOrder="0" textRotation="0" vertical="center"/>
    </xf>
    <xf borderId="13" fillId="7" fontId="10" numFmtId="0" xfId="0" applyAlignment="1" applyBorder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shrinkToFit="0" vertical="center" wrapText="1"/>
    </xf>
    <xf borderId="13" fillId="7" fontId="36" numFmtId="0" xfId="0" applyAlignment="1" applyBorder="1" applyFont="1">
      <alignment horizontal="center" shrinkToFit="0" vertical="center" wrapText="1"/>
    </xf>
    <xf borderId="13" fillId="7" fontId="37" numFmtId="0" xfId="0" applyAlignment="1" applyBorder="1" applyFont="1">
      <alignment horizontal="center" readingOrder="0" shrinkToFit="0" vertical="center" wrapText="1"/>
    </xf>
    <xf borderId="13" fillId="7" fontId="10" numFmtId="164" xfId="0" applyAlignment="1" applyBorder="1" applyFont="1" applyNumberFormat="1">
      <alignment horizontal="center" shrinkToFit="0" vertical="center" wrapText="1"/>
    </xf>
    <xf borderId="14" fillId="7" fontId="10" numFmtId="165" xfId="0" applyAlignment="1" applyBorder="1" applyFont="1" applyNumberFormat="1">
      <alignment horizontal="center" readingOrder="0" shrinkToFit="0" vertical="center" wrapText="1"/>
    </xf>
    <xf borderId="14" fillId="7" fontId="10" numFmtId="166" xfId="0" applyAlignment="1" applyBorder="1" applyFont="1" applyNumberFormat="1">
      <alignment horizontal="center" readingOrder="0" shrinkToFit="0" vertical="center" wrapText="1"/>
    </xf>
    <xf borderId="13" fillId="8" fontId="10" numFmtId="0" xfId="0" applyAlignment="1" applyBorder="1" applyFont="1">
      <alignment horizontal="left" readingOrder="0" shrinkToFit="0" vertical="center" wrapText="1"/>
    </xf>
    <xf borderId="13" fillId="7" fontId="10" numFmtId="170" xfId="0" applyAlignment="1" applyBorder="1" applyFont="1" applyNumberFormat="1">
      <alignment horizontal="center" vertical="center"/>
    </xf>
    <xf borderId="15" fillId="8" fontId="10" numFmtId="0" xfId="0" applyBorder="1" applyFont="1"/>
    <xf borderId="15" fillId="7" fontId="10" numFmtId="0" xfId="0" applyBorder="1" applyFont="1"/>
    <xf borderId="13" fillId="7" fontId="12" numFmtId="0" xfId="0" applyAlignment="1" applyBorder="1" applyFont="1">
      <alignment horizontal="center" readingOrder="0" shrinkToFit="0" vertical="center" wrapText="1"/>
    </xf>
    <xf borderId="13" fillId="7" fontId="38" numFmtId="0" xfId="0" applyAlignment="1" applyBorder="1" applyFont="1">
      <alignment horizontal="center" vertical="center"/>
    </xf>
    <xf borderId="13" fillId="7" fontId="39" numFmtId="0" xfId="0" applyAlignment="1" applyBorder="1" applyFont="1">
      <alignment horizontal="center" readingOrder="0" shrinkToFit="0" vertical="center" wrapText="1"/>
    </xf>
    <xf borderId="13" fillId="7" fontId="10" numFmtId="170" xfId="0" applyAlignment="1" applyBorder="1" applyFont="1" applyNumberFormat="1">
      <alignment horizontal="center" readingOrder="0" vertical="center"/>
    </xf>
    <xf borderId="14" fillId="7" fontId="10" numFmtId="165" xfId="0" applyAlignment="1" applyBorder="1" applyFont="1" applyNumberFormat="1">
      <alignment horizontal="center" shrinkToFit="0" vertical="center" wrapText="1"/>
    </xf>
    <xf borderId="12" fillId="7" fontId="12" numFmtId="0" xfId="0" applyAlignment="1" applyBorder="1" applyFont="1">
      <alignment horizontal="center" vertical="center"/>
    </xf>
    <xf borderId="13" fillId="7" fontId="40" numFmtId="0" xfId="0" applyAlignment="1" applyBorder="1" applyFont="1">
      <alignment horizontal="center" readingOrder="0" vertical="center"/>
    </xf>
    <xf borderId="14" fillId="7" fontId="10" numFmtId="166" xfId="0" applyAlignment="1" applyBorder="1" applyFont="1" applyNumberFormat="1">
      <alignment horizontal="center" shrinkToFit="0" vertical="center" wrapText="1"/>
    </xf>
    <xf borderId="13" fillId="7" fontId="41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14" fillId="0" fontId="42" numFmtId="0" xfId="0" applyAlignment="1" applyBorder="1" applyFont="1">
      <alignment horizontal="center" readingOrder="0" shrinkToFit="0" vertical="center" wrapText="1"/>
    </xf>
    <xf borderId="14" fillId="0" fontId="10" numFmtId="164" xfId="0" applyAlignment="1" applyBorder="1" applyFont="1" applyNumberFormat="1">
      <alignment horizontal="center" shrinkToFit="0" vertical="center" wrapText="1"/>
    </xf>
    <xf borderId="14" fillId="0" fontId="10" numFmtId="165" xfId="0" applyAlignment="1" applyBorder="1" applyFont="1" applyNumberFormat="1">
      <alignment horizontal="center" shrinkToFit="0" vertical="center" wrapText="1"/>
    </xf>
    <xf borderId="14" fillId="0" fontId="10" numFmtId="166" xfId="0" applyAlignment="1" applyBorder="1" applyFont="1" applyNumberFormat="1">
      <alignment horizontal="center" shrinkToFit="0" vertical="center" wrapText="1"/>
    </xf>
    <xf borderId="14" fillId="8" fontId="10" numFmtId="0" xfId="0" applyAlignment="1" applyBorder="1" applyFont="1">
      <alignment horizontal="left" readingOrder="0" shrinkToFit="0" vertical="center" wrapText="1"/>
    </xf>
    <xf borderId="14" fillId="0" fontId="10" numFmtId="170" xfId="0" applyAlignment="1" applyBorder="1" applyFont="1" applyNumberFormat="1">
      <alignment horizontal="center" vertical="center"/>
    </xf>
    <xf borderId="13" fillId="7" fontId="43" numFmtId="0" xfId="0" applyAlignment="1" applyBorder="1" applyFont="1">
      <alignment horizontal="center" readingOrder="0" shrinkToFit="0" vertical="center" wrapText="1"/>
    </xf>
    <xf borderId="13" fillId="8" fontId="39" numFmtId="0" xfId="0" applyAlignment="1" applyBorder="1" applyFont="1">
      <alignment horizontal="left" readingOrder="0" shrinkToFit="0" vertical="center" wrapText="1"/>
    </xf>
    <xf borderId="14" fillId="8" fontId="39" numFmtId="0" xfId="0" applyAlignment="1" applyBorder="1" applyFont="1">
      <alignment horizontal="left" readingOrder="0" shrinkToFit="0" wrapText="1"/>
    </xf>
    <xf borderId="14" fillId="0" fontId="11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12" fillId="0" fontId="44" numFmtId="0" xfId="0" applyAlignment="1" applyBorder="1" applyFont="1">
      <alignment horizontal="center" vertical="center"/>
    </xf>
    <xf borderId="14" fillId="0" fontId="10" numFmtId="166" xfId="0" applyAlignment="1" applyBorder="1" applyFont="1" applyNumberForma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vertical="center"/>
    </xf>
    <xf borderId="12" fillId="0" fontId="45" numFmtId="0" xfId="0" applyAlignment="1" applyBorder="1" applyFont="1">
      <alignment horizontal="center" readingOrder="0" shrinkToFit="0" vertical="center" wrapText="1"/>
    </xf>
    <xf borderId="12" fillId="0" fontId="46" numFmtId="0" xfId="0" applyAlignment="1" applyBorder="1" applyFont="1">
      <alignment horizontal="center" readingOrder="0" shrinkToFit="0" vertical="center" wrapText="1"/>
    </xf>
    <xf borderId="14" fillId="0" fontId="10" numFmtId="165" xfId="0" applyAlignment="1" applyBorder="1" applyFont="1" applyNumberFormat="1">
      <alignment horizontal="center" readingOrder="0" shrinkToFit="0" vertical="center" wrapText="1"/>
    </xf>
    <xf borderId="14" fillId="0" fontId="10" numFmtId="170" xfId="0" applyAlignment="1" applyBorder="1" applyFont="1" applyNumberFormat="1">
      <alignment horizontal="center" readingOrder="0" vertical="center"/>
    </xf>
    <xf borderId="12" fillId="7" fontId="47" numFmtId="0" xfId="0" applyAlignment="1" applyBorder="1" applyFont="1">
      <alignment horizontal="center" readingOrder="0" vertical="center"/>
    </xf>
    <xf borderId="12" fillId="7" fontId="39" numFmtId="0" xfId="0" applyAlignment="1" applyBorder="1" applyFont="1">
      <alignment horizontal="center" readingOrder="0" shrinkToFit="0" vertical="center" wrapText="1"/>
    </xf>
    <xf borderId="13" fillId="16" fontId="10" numFmtId="0" xfId="0" applyAlignment="1" applyBorder="1" applyFill="1" applyFont="1">
      <alignment horizontal="left" readingOrder="0" shrinkToFit="0" vertical="center" wrapText="1"/>
    </xf>
    <xf borderId="14" fillId="7" fontId="47" numFmtId="0" xfId="0" applyAlignment="1" applyBorder="1" applyFont="1">
      <alignment horizontal="center" readingOrder="0" vertical="center"/>
    </xf>
    <xf borderId="14" fillId="7" fontId="48" numFmtId="0" xfId="0" applyAlignment="1" applyBorder="1" applyFont="1">
      <alignment horizontal="center" vertical="center"/>
    </xf>
    <xf borderId="13" fillId="8" fontId="49" numFmtId="0" xfId="0" applyAlignment="1" applyBorder="1" applyFont="1">
      <alignment horizontal="center" readingOrder="0" shrinkToFit="0" vertical="center" wrapText="1"/>
    </xf>
    <xf borderId="13" fillId="7" fontId="50" numFmtId="0" xfId="0" applyAlignment="1" applyBorder="1" applyFont="1">
      <alignment horizontal="center" readingOrder="0" shrinkToFit="0" vertical="center" wrapText="1"/>
    </xf>
    <xf borderId="12" fillId="7" fontId="49" numFmtId="0" xfId="0" applyAlignment="1" applyBorder="1" applyFont="1">
      <alignment horizontal="center" readingOrder="0" vertical="center"/>
    </xf>
    <xf borderId="12" fillId="0" fontId="50" numFmtId="0" xfId="0" applyAlignment="1" applyBorder="1" applyFont="1">
      <alignment horizontal="center" readingOrder="0" textRotation="0" vertical="center"/>
    </xf>
    <xf borderId="13" fillId="7" fontId="49" numFmtId="0" xfId="0" applyAlignment="1" applyBorder="1" applyFont="1">
      <alignment horizontal="center" readingOrder="0" shrinkToFit="0" vertical="center" wrapText="1"/>
    </xf>
    <xf borderId="13" fillId="7" fontId="50" numFmtId="0" xfId="0" applyAlignment="1" applyBorder="1" applyFont="1">
      <alignment horizontal="center" shrinkToFit="0" vertical="center" wrapText="1"/>
    </xf>
    <xf borderId="13" fillId="7" fontId="50" numFmtId="0" xfId="0" applyAlignment="1" applyBorder="1" applyFont="1">
      <alignment horizontal="center" readingOrder="0" vertical="center"/>
    </xf>
    <xf borderId="13" fillId="7" fontId="51" numFmtId="0" xfId="0" applyAlignment="1" applyBorder="1" applyFont="1">
      <alignment horizontal="center" vertical="center"/>
    </xf>
    <xf borderId="13" fillId="7" fontId="50" numFmtId="164" xfId="0" applyAlignment="1" applyBorder="1" applyFont="1" applyNumberFormat="1">
      <alignment horizontal="center" readingOrder="0" shrinkToFit="0" vertical="center" wrapText="1"/>
    </xf>
    <xf borderId="12" fillId="7" fontId="10" numFmtId="0" xfId="0" applyAlignment="1" applyBorder="1" applyFont="1">
      <alignment horizontal="center" shrinkToFit="0" vertical="center" wrapText="1"/>
    </xf>
    <xf borderId="12" fillId="0" fontId="52" numFmtId="0" xfId="0" applyAlignment="1" applyBorder="1" applyFont="1">
      <alignment horizontal="center" readingOrder="0" shrinkToFit="0" vertical="center" wrapText="1"/>
    </xf>
    <xf borderId="12" fillId="7" fontId="53" numFmtId="0" xfId="0" applyAlignment="1" applyBorder="1" applyFont="1">
      <alignment horizontal="center" readingOrder="0" shrinkToFit="0" vertical="center" wrapText="1"/>
    </xf>
    <xf borderId="12" fillId="7" fontId="54" numFmtId="0" xfId="0" applyAlignment="1" applyBorder="1" applyFont="1">
      <alignment horizontal="center" vertical="center"/>
    </xf>
    <xf borderId="14" fillId="7" fontId="10" numFmtId="0" xfId="0" applyAlignment="1" applyBorder="1" applyFont="1">
      <alignment horizontal="center" shrinkToFit="0" vertical="center" wrapText="1"/>
    </xf>
    <xf borderId="13" fillId="8" fontId="10" numFmtId="0" xfId="0" applyAlignment="1" applyBorder="1" applyFont="1">
      <alignment horizontal="left" shrinkToFit="0" vertical="center" wrapText="1"/>
    </xf>
    <xf borderId="13" fillId="7" fontId="55" numFmtId="0" xfId="0" applyAlignment="1" applyBorder="1" applyFont="1">
      <alignment horizontal="center" readingOrder="0" vertical="center"/>
    </xf>
    <xf borderId="14" fillId="0" fontId="49" numFmtId="0" xfId="0" applyAlignment="1" applyBorder="1" applyFont="1">
      <alignment horizontal="center" readingOrder="0" shrinkToFit="0" vertical="center" wrapText="1"/>
    </xf>
    <xf borderId="14" fillId="0" fontId="56" numFmtId="0" xfId="0" applyAlignment="1" applyBorder="1" applyFont="1">
      <alignment horizontal="center" vertical="center"/>
    </xf>
    <xf borderId="13" fillId="7" fontId="10" numFmtId="164" xfId="0" applyAlignment="1" applyBorder="1" applyFont="1" applyNumberFormat="1">
      <alignment horizontal="center" readingOrder="0" shrinkToFit="0" vertical="center" wrapText="1"/>
    </xf>
    <xf borderId="13" fillId="7" fontId="57" numFmtId="0" xfId="0" applyAlignment="1" applyBorder="1" applyFont="1">
      <alignment horizontal="center" readingOrder="0" vertical="center"/>
    </xf>
    <xf borderId="13" fillId="8" fontId="10" numFmtId="164" xfId="0" applyAlignment="1" applyBorder="1" applyFont="1" applyNumberFormat="1">
      <alignment horizontal="center" shrinkToFit="0" vertical="center" wrapText="1"/>
    </xf>
    <xf borderId="14" fillId="8" fontId="10" numFmtId="165" xfId="0" applyAlignment="1" applyBorder="1" applyFont="1" applyNumberFormat="1">
      <alignment horizontal="center" shrinkToFit="0" vertical="center" wrapText="1"/>
    </xf>
    <xf borderId="14" fillId="8" fontId="10" numFmtId="166" xfId="0" applyAlignment="1" applyBorder="1" applyFont="1" applyNumberFormat="1">
      <alignment horizontal="center" shrinkToFit="0" vertical="center" wrapText="1"/>
    </xf>
    <xf borderId="12" fillId="8" fontId="10" numFmtId="0" xfId="0" applyAlignment="1" applyBorder="1" applyFont="1">
      <alignment horizontal="center" shrinkToFit="0" textRotation="0" vertical="center" wrapText="1"/>
    </xf>
    <xf borderId="13" fillId="7" fontId="47" numFmtId="0" xfId="0" applyAlignment="1" applyBorder="1" applyFont="1">
      <alignment horizontal="center" readingOrder="0" vertical="center"/>
    </xf>
    <xf borderId="13" fillId="7" fontId="58" numFmtId="0" xfId="0" applyAlignment="1" applyBorder="1" applyFont="1">
      <alignment horizontal="center" readingOrder="0" vertical="center"/>
    </xf>
    <xf borderId="13" fillId="7" fontId="47" numFmtId="0" xfId="0" applyAlignment="1" applyBorder="1" applyFont="1">
      <alignment horizontal="center" readingOrder="0" shrinkToFit="0" vertical="center" wrapText="1"/>
    </xf>
    <xf borderId="12" fillId="8" fontId="10" numFmtId="0" xfId="0" applyAlignment="1" applyBorder="1" applyFont="1">
      <alignment horizontal="center" readingOrder="0" shrinkToFit="0" textRotation="0" vertical="center" wrapText="1"/>
    </xf>
    <xf borderId="12" fillId="7" fontId="12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12" fillId="7" fontId="10" numFmtId="0" xfId="0" applyAlignment="1" applyBorder="1" applyFont="1">
      <alignment horizontal="center" readingOrder="0" shrinkToFit="0" vertical="center" wrapText="1"/>
    </xf>
    <xf borderId="12" fillId="7" fontId="59" numFmtId="0" xfId="0" applyAlignment="1" applyBorder="1" applyFont="1">
      <alignment horizontal="center" readingOrder="0" shrinkToFit="0" vertical="center" wrapText="1"/>
    </xf>
    <xf borderId="13" fillId="7" fontId="49" numFmtId="164" xfId="0" applyAlignment="1" applyBorder="1" applyFont="1" applyNumberFormat="1">
      <alignment horizontal="center" readingOrder="0" shrinkToFit="0" vertical="center" wrapText="1"/>
    </xf>
    <xf borderId="14" fillId="7" fontId="10" numFmtId="0" xfId="0" applyAlignment="1" applyBorder="1" applyFont="1">
      <alignment horizontal="center" readingOrder="0" shrinkToFit="0" vertical="center" wrapText="1"/>
    </xf>
    <xf borderId="12" fillId="7" fontId="10" numFmtId="0" xfId="0" applyAlignment="1" applyBorder="1" applyFont="1">
      <alignment horizontal="center" readingOrder="0" shrinkToFit="0" vertical="center" wrapText="1"/>
    </xf>
    <xf borderId="0" fillId="8" fontId="60" numFmtId="0" xfId="0" applyAlignment="1" applyFont="1">
      <alignment horizontal="center" readingOrder="0" shrinkToFit="0" vertical="center" wrapText="1"/>
    </xf>
    <xf borderId="12" fillId="8" fontId="61" numFmtId="0" xfId="0" applyAlignment="1" applyBorder="1" applyFont="1">
      <alignment readingOrder="0" shrinkToFit="0" vertical="center" wrapText="1"/>
    </xf>
    <xf borderId="12" fillId="7" fontId="62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horizontal="center" shrinkToFit="0" vertical="center" wrapText="1"/>
    </xf>
    <xf borderId="12" fillId="8" fontId="14" numFmtId="0" xfId="0" applyAlignment="1" applyBorder="1" applyFont="1">
      <alignment horizontal="center" vertical="center"/>
    </xf>
    <xf borderId="14" fillId="7" fontId="63" numFmtId="0" xfId="0" applyAlignment="1" applyBorder="1" applyFont="1">
      <alignment horizontal="center" readingOrder="0" shrinkToFit="0" vertical="center" wrapText="1"/>
    </xf>
    <xf borderId="13" fillId="7" fontId="64" numFmtId="0" xfId="0" applyAlignment="1" applyBorder="1" applyFont="1">
      <alignment horizontal="center" readingOrder="0" vertical="center"/>
    </xf>
    <xf borderId="13" fillId="8" fontId="65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5" fillId="8" fontId="10" numFmtId="0" xfId="0" applyAlignment="1" applyBorder="1" applyFont="1">
      <alignment horizontal="center" vertical="center"/>
    </xf>
    <xf borderId="4" fillId="17" fontId="66" numFmtId="0" xfId="0" applyAlignment="1" applyBorder="1" applyFill="1" applyFont="1">
      <alignment horizontal="left" readingOrder="0" vertical="center"/>
    </xf>
    <xf borderId="4" fillId="17" fontId="66" numFmtId="0" xfId="0" applyAlignment="1" applyBorder="1" applyFont="1">
      <alignment horizontal="center" readingOrder="0" vertical="center"/>
    </xf>
    <xf borderId="9" fillId="17" fontId="66" numFmtId="0" xfId="0" applyAlignment="1" applyBorder="1" applyFont="1">
      <alignment horizontal="left" readingOrder="0" vertical="center"/>
    </xf>
    <xf borderId="10" fillId="17" fontId="66" numFmtId="0" xfId="0" applyAlignment="1" applyBorder="1" applyFont="1">
      <alignment horizontal="center" readingOrder="0" vertical="center"/>
    </xf>
    <xf borderId="16" fillId="17" fontId="67" numFmtId="0" xfId="0" applyBorder="1" applyFont="1"/>
    <xf borderId="15" fillId="17" fontId="67" numFmtId="0" xfId="0" applyBorder="1" applyFont="1"/>
    <xf borderId="0" fillId="0" fontId="18" numFmtId="0" xfId="0" applyAlignment="1" applyFont="1">
      <alignment shrinkToFit="0" wrapText="1"/>
    </xf>
    <xf borderId="0" fillId="0" fontId="18" numFmtId="0" xfId="0" applyAlignment="1" applyFont="1">
      <alignment readingOrder="0"/>
    </xf>
    <xf borderId="0" fillId="0" fontId="4" numFmtId="0" xfId="0" applyFont="1"/>
    <xf borderId="12" fillId="18" fontId="68" numFmtId="0" xfId="0" applyAlignment="1" applyBorder="1" applyFill="1" applyFont="1">
      <alignment horizontal="left" vertical="bottom"/>
    </xf>
    <xf borderId="10" fillId="18" fontId="68" numFmtId="0" xfId="0" applyAlignment="1" applyBorder="1" applyFont="1">
      <alignment horizontal="center" vertical="bottom"/>
    </xf>
    <xf borderId="10" fillId="18" fontId="69" numFmtId="0" xfId="0" applyAlignment="1" applyBorder="1" applyFont="1">
      <alignment horizontal="center" vertical="bottom"/>
    </xf>
    <xf borderId="10" fillId="19" fontId="13" numFmtId="0" xfId="0" applyAlignment="1" applyBorder="1" applyFill="1" applyFont="1">
      <alignment horizontal="left" vertical="bottom"/>
    </xf>
    <xf borderId="10" fillId="19" fontId="13" numFmtId="0" xfId="0" applyAlignment="1" applyBorder="1" applyFont="1">
      <alignment horizontal="center" vertical="bottom"/>
    </xf>
    <xf borderId="0" fillId="0" fontId="70" numFmtId="0" xfId="0" applyAlignment="1" applyFont="1">
      <alignment vertical="bottom"/>
    </xf>
    <xf borderId="14" fillId="8" fontId="14" numFmtId="0" xfId="0" applyAlignment="1" applyBorder="1" applyFont="1">
      <alignment horizontal="left" vertical="bottom"/>
    </xf>
    <xf borderId="5" fillId="8" fontId="14" numFmtId="0" xfId="0" applyAlignment="1" applyBorder="1" applyFont="1">
      <alignment horizontal="center" vertical="bottom"/>
    </xf>
    <xf borderId="5" fillId="20" fontId="71" numFmtId="0" xfId="0" applyAlignment="1" applyBorder="1" applyFill="1" applyFont="1">
      <alignment horizontal="center" vertical="bottom"/>
    </xf>
    <xf borderId="5" fillId="20" fontId="69" numFmtId="0" xfId="0" applyAlignment="1" applyBorder="1" applyFont="1">
      <alignment horizontal="center" vertical="bottom"/>
    </xf>
    <xf borderId="5" fillId="20" fontId="14" numFmtId="0" xfId="0" applyAlignment="1" applyBorder="1" applyFont="1">
      <alignment horizontal="center" vertical="bottom"/>
    </xf>
    <xf borderId="5" fillId="19" fontId="14" numFmtId="0" xfId="0" applyAlignment="1" applyBorder="1" applyFont="1">
      <alignment horizontal="center" vertical="bottom"/>
    </xf>
    <xf borderId="6" fillId="8" fontId="14" numFmtId="0" xfId="0" applyAlignment="1" applyBorder="1" applyFont="1">
      <alignment horizontal="center" vertical="bottom"/>
    </xf>
    <xf borderId="5" fillId="0" fontId="70" numFmtId="0" xfId="0" applyAlignment="1" applyBorder="1" applyFont="1">
      <alignment vertical="bottom"/>
    </xf>
    <xf borderId="5" fillId="21" fontId="14" numFmtId="0" xfId="0" applyAlignment="1" applyBorder="1" applyFill="1" applyFont="1">
      <alignment horizontal="center" vertical="bottom"/>
    </xf>
    <xf borderId="6" fillId="0" fontId="70" numFmtId="0" xfId="0" applyAlignment="1" applyBorder="1" applyFont="1">
      <alignment vertical="bottom"/>
    </xf>
    <xf borderId="5" fillId="22" fontId="14" numFmtId="0" xfId="0" applyAlignment="1" applyBorder="1" applyFill="1" applyFont="1">
      <alignment horizontal="center" vertical="bottom"/>
    </xf>
    <xf borderId="5" fillId="23" fontId="14" numFmtId="0" xfId="0" applyAlignment="1" applyBorder="1" applyFill="1" applyFont="1">
      <alignment horizontal="center" vertical="bottom"/>
    </xf>
    <xf borderId="5" fillId="24" fontId="14" numFmtId="0" xfId="0" applyAlignment="1" applyBorder="1" applyFill="1" applyFont="1">
      <alignment horizontal="center" vertical="bottom"/>
    </xf>
    <xf borderId="6" fillId="0" fontId="14" numFmtId="0" xfId="0" applyAlignment="1" applyBorder="1" applyFont="1">
      <alignment vertical="bottom"/>
    </xf>
    <xf borderId="5" fillId="25" fontId="72" numFmtId="0" xfId="0" applyAlignment="1" applyBorder="1" applyFill="1" applyFont="1">
      <alignment horizontal="center" vertical="bottom"/>
    </xf>
    <xf borderId="5" fillId="26" fontId="14" numFmtId="0" xfId="0" applyAlignment="1" applyBorder="1" applyFill="1" applyFont="1">
      <alignment horizontal="center" vertical="bottom"/>
    </xf>
    <xf borderId="5" fillId="8" fontId="70" numFmtId="0" xfId="0" applyAlignment="1" applyBorder="1" applyFont="1">
      <alignment vertical="bottom"/>
    </xf>
    <xf borderId="6" fillId="20" fontId="69" numFmtId="0" xfId="0" applyAlignment="1" applyBorder="1" applyFont="1">
      <alignment horizontal="center" vertical="bottom"/>
    </xf>
    <xf borderId="6" fillId="20" fontId="70" numFmtId="0" xfId="0" applyAlignment="1" applyBorder="1" applyFont="1">
      <alignment vertical="bottom"/>
    </xf>
    <xf borderId="5" fillId="27" fontId="14" numFmtId="0" xfId="0" applyAlignment="1" applyBorder="1" applyFill="1" applyFont="1">
      <alignment horizontal="center" vertical="bottom"/>
    </xf>
    <xf borderId="5" fillId="28" fontId="14" numFmtId="0" xfId="0" applyAlignment="1" applyBorder="1" applyFill="1" applyFont="1">
      <alignment horizontal="center" vertical="bottom"/>
    </xf>
    <xf borderId="5" fillId="20" fontId="71" numFmtId="3" xfId="0" applyAlignment="1" applyBorder="1" applyFont="1" applyNumberFormat="1">
      <alignment horizontal="center" vertical="bottom"/>
    </xf>
    <xf borderId="6" fillId="19" fontId="14" numFmtId="0" xfId="0" applyAlignment="1" applyBorder="1" applyFont="1">
      <alignment horizontal="center" vertical="bottom"/>
    </xf>
    <xf borderId="5" fillId="10" fontId="14" numFmtId="0" xfId="0" applyAlignment="1" applyBorder="1" applyFont="1">
      <alignment horizontal="center" vertical="bottom"/>
    </xf>
    <xf borderId="6" fillId="8" fontId="73" numFmtId="0" xfId="0" applyAlignment="1" applyBorder="1" applyFont="1">
      <alignment horizontal="center" vertical="bottom"/>
    </xf>
    <xf borderId="5" fillId="29" fontId="14" numFmtId="0" xfId="0" applyAlignment="1" applyBorder="1" applyFill="1" applyFont="1">
      <alignment horizontal="center" vertical="bottom"/>
    </xf>
    <xf borderId="6" fillId="0" fontId="14" numFmtId="0" xfId="0" applyAlignment="1" applyBorder="1" applyFont="1">
      <alignment horizontal="center" vertical="bottom"/>
    </xf>
    <xf borderId="5" fillId="30" fontId="14" numFmtId="0" xfId="0" applyAlignment="1" applyBorder="1" applyFill="1" applyFont="1">
      <alignment horizontal="center" vertical="bottom"/>
    </xf>
    <xf borderId="5" fillId="13" fontId="14" numFmtId="0" xfId="0" applyAlignment="1" applyBorder="1" applyFont="1">
      <alignment horizontal="center" vertical="bottom"/>
    </xf>
    <xf borderId="5" fillId="8" fontId="74" numFmtId="0" xfId="0" applyAlignment="1" applyBorder="1" applyFont="1">
      <alignment horizontal="center" vertical="bottom"/>
    </xf>
    <xf borderId="6" fillId="8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31" fontId="14" numFmtId="0" xfId="0" applyAlignment="1" applyBorder="1" applyFill="1" applyFont="1">
      <alignment horizontal="center" vertical="bottom"/>
    </xf>
    <xf borderId="5" fillId="32" fontId="14" numFmtId="0" xfId="0" applyAlignment="1" applyBorder="1" applyFill="1" applyFont="1">
      <alignment horizontal="center" vertical="bottom"/>
    </xf>
    <xf borderId="5" fillId="2" fontId="14" numFmtId="0" xfId="0" applyAlignment="1" applyBorder="1" applyFont="1">
      <alignment horizontal="center" vertical="bottom"/>
    </xf>
    <xf borderId="5" fillId="25" fontId="14" numFmtId="0" xfId="0" applyAlignment="1" applyBorder="1" applyFont="1">
      <alignment horizontal="center" vertical="bottom"/>
    </xf>
    <xf borderId="5" fillId="33" fontId="14" numFmtId="0" xfId="0" applyAlignment="1" applyBorder="1" applyFill="1" applyFont="1">
      <alignment horizontal="center" vertical="bottom"/>
    </xf>
    <xf borderId="6" fillId="2" fontId="72" numFmtId="0" xfId="0" applyAlignment="1" applyBorder="1" applyFont="1">
      <alignment horizontal="center" vertical="bottom"/>
    </xf>
    <xf borderId="5" fillId="2" fontId="72" numFmtId="0" xfId="0" applyAlignment="1" applyBorder="1" applyFont="1">
      <alignment horizontal="center" vertical="bottom"/>
    </xf>
    <xf borderId="12" fillId="34" fontId="70" numFmtId="0" xfId="0" applyAlignment="1" applyBorder="1" applyFill="1" applyFont="1">
      <alignment shrinkToFit="0" wrapText="1"/>
    </xf>
    <xf borderId="8" fillId="0" fontId="14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right" vertical="bottom"/>
    </xf>
    <xf borderId="5" fillId="6" fontId="14" numFmtId="0" xfId="0" applyAlignment="1" applyBorder="1" applyFont="1">
      <alignment horizontal="center" vertical="bottom"/>
    </xf>
    <xf borderId="5" fillId="35" fontId="14" numFmtId="0" xfId="0" applyAlignment="1" applyBorder="1" applyFill="1" applyFont="1">
      <alignment horizontal="center" vertical="bottom"/>
    </xf>
    <xf borderId="0" fillId="0" fontId="70" numFmtId="0" xfId="0" applyAlignment="1" applyFont="1">
      <alignment horizontal="center" vertical="bottom"/>
    </xf>
    <xf borderId="5" fillId="36" fontId="14" numFmtId="0" xfId="0" applyAlignment="1" applyBorder="1" applyFill="1" applyFont="1">
      <alignment horizontal="center" vertical="bottom"/>
    </xf>
    <xf borderId="5" fillId="16" fontId="14" numFmtId="0" xfId="0" applyAlignment="1" applyBorder="1" applyFont="1">
      <alignment horizontal="center" vertical="bottom"/>
    </xf>
    <xf borderId="5" fillId="37" fontId="14" numFmtId="0" xfId="0" applyAlignment="1" applyBorder="1" applyFill="1" applyFont="1">
      <alignment horizontal="center" vertical="bottom"/>
    </xf>
    <xf borderId="5" fillId="0" fontId="75" numFmtId="0" xfId="0" applyAlignment="1" applyBorder="1" applyFont="1">
      <alignment horizontal="center" vertical="bottom"/>
    </xf>
    <xf borderId="6" fillId="38" fontId="72" numFmtId="0" xfId="0" applyAlignment="1" applyBorder="1" applyFill="1" applyFont="1">
      <alignment horizontal="center" vertical="bottom"/>
    </xf>
    <xf borderId="5" fillId="11" fontId="14" numFmtId="0" xfId="0" applyAlignment="1" applyBorder="1" applyFont="1">
      <alignment horizontal="center" vertical="bottom"/>
    </xf>
    <xf borderId="5" fillId="39" fontId="14" numFmtId="0" xfId="0" applyAlignment="1" applyBorder="1" applyFill="1" applyFont="1">
      <alignment horizontal="center" vertical="bottom"/>
    </xf>
    <xf borderId="8" fillId="8" fontId="14" numFmtId="0" xfId="0" applyAlignment="1" applyBorder="1" applyFont="1">
      <alignment horizontal="center" vertical="bottom"/>
    </xf>
    <xf borderId="0" fillId="0" fontId="70" numFmtId="0" xfId="0" applyAlignment="1" applyFont="1">
      <alignment horizontal="right" vertical="bottom"/>
    </xf>
    <xf borderId="0" fillId="8" fontId="76" numFmtId="0" xfId="0" applyAlignment="1" applyFont="1">
      <alignment vertical="bottom"/>
    </xf>
    <xf borderId="5" fillId="8" fontId="77" numFmtId="0" xfId="0" applyAlignment="1" applyBorder="1" applyFont="1">
      <alignment horizontal="center" vertical="bottom"/>
    </xf>
    <xf borderId="5" fillId="20" fontId="14" numFmtId="11" xfId="0" applyAlignment="1" applyBorder="1" applyFont="1" applyNumberFormat="1">
      <alignment horizontal="center" vertical="bottom"/>
    </xf>
    <xf borderId="5" fillId="34" fontId="14" numFmtId="0" xfId="0" applyAlignment="1" applyBorder="1" applyFont="1">
      <alignment horizontal="center" vertical="bottom"/>
    </xf>
    <xf borderId="5" fillId="20" fontId="13" numFmtId="0" xfId="0" applyAlignment="1" applyBorder="1" applyFont="1">
      <alignment horizontal="left" vertical="bottom"/>
    </xf>
    <xf borderId="5" fillId="20" fontId="70" numFmtId="0" xfId="0" applyAlignment="1" applyBorder="1" applyFont="1">
      <alignment vertical="bottom"/>
    </xf>
    <xf borderId="5" fillId="40" fontId="14" numFmtId="0" xfId="0" applyAlignment="1" applyBorder="1" applyFill="1" applyFont="1">
      <alignment horizontal="center" vertical="bottom"/>
    </xf>
    <xf borderId="17" fillId="8" fontId="70" numFmtId="0" xfId="0" applyAlignment="1" applyBorder="1" applyFont="1">
      <alignment horizontal="left" vertical="bottom"/>
    </xf>
    <xf borderId="0" fillId="0" fontId="70" numFmtId="0" xfId="0" applyAlignment="1" applyFont="1">
      <alignment horizontal="left" vertical="bottom"/>
    </xf>
    <xf borderId="0" fillId="0" fontId="78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229813664596273"/>
          <c:y val="0.04519230769230769"/>
          <c:w val="0.9354037267080747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7C9CD6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DD7EE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4C7E7"/>
              </a:solidFill>
            </c:spPr>
          </c:dPt>
          <c:dPt>
            <c:idx val="17"/>
            <c:spPr>
              <a:solidFill>
                <a:srgbClr val="C6DEB5"/>
              </a:solidFill>
            </c:spPr>
          </c:dPt>
          <c:dPt>
            <c:idx val="18"/>
            <c:spPr>
              <a:solidFill>
                <a:srgbClr val="EFF5FB"/>
              </a:solidFill>
            </c:spPr>
          </c:dPt>
          <c:dPt>
            <c:idx val="19"/>
            <c:spPr>
              <a:solidFill>
                <a:srgbClr val="FDF2EA"/>
              </a:solidFill>
            </c:spPr>
          </c:dPt>
          <c:dPt>
            <c:idx val="20"/>
            <c:spPr>
              <a:solidFill>
                <a:srgbClr val="F6F6F6"/>
              </a:solidFill>
            </c:spPr>
          </c:dPt>
          <c:dPt>
            <c:idx val="21"/>
            <c:spPr>
              <a:solidFill>
                <a:srgbClr val="FFF9E6"/>
              </a:solidFill>
            </c:spPr>
          </c:dPt>
          <c:dPt>
            <c:idx val="22"/>
            <c:spPr>
              <a:solidFill>
                <a:srgbClr val="ECF1F9"/>
              </a:solidFill>
            </c:spPr>
          </c:dPt>
          <c:dPt>
            <c:idx val="23"/>
            <c:spPr>
              <a:solidFill>
                <a:srgbClr val="F1F7ED"/>
              </a:solidFill>
            </c:spPr>
          </c:dPt>
          <c:dPt>
            <c:idx val="24"/>
            <c:spPr>
              <a:solidFill>
                <a:srgbClr val="201307"/>
              </a:solidFill>
            </c:spPr>
          </c:dPt>
          <c:dPt>
            <c:idx val="25"/>
            <c:spPr>
              <a:solidFill>
                <a:srgbClr val="031928"/>
              </a:solidFill>
            </c:spPr>
          </c:dPt>
          <c:dPt>
            <c:idx val="26"/>
            <c:spPr>
              <a:solidFill>
                <a:srgbClr val="111111"/>
              </a:solidFill>
            </c:spPr>
          </c:dPt>
          <c:dPt>
            <c:idx val="27"/>
            <c:spPr>
              <a:solidFill>
                <a:srgbClr val="FF0C32"/>
              </a:solidFill>
            </c:spPr>
          </c:dPt>
          <c:dPt>
            <c:idx val="28"/>
            <c:spPr>
              <a:solidFill>
                <a:srgbClr val="241B0B"/>
              </a:solidFill>
            </c:spPr>
          </c:dPt>
          <c:dPt>
            <c:idx val="29"/>
            <c:spPr>
              <a:solidFill>
                <a:srgbClr val="1C0F24"/>
              </a:solidFill>
            </c:spPr>
          </c:dPt>
          <c:dPt>
            <c:idx val="30"/>
            <c:spPr>
              <a:solidFill>
                <a:srgbClr val="513114"/>
              </a:solidFill>
            </c:spPr>
          </c:dPt>
          <c:dPt>
            <c:idx val="31"/>
            <c:spPr>
              <a:solidFill>
                <a:srgbClr val="084066"/>
              </a:solidFill>
            </c:spPr>
          </c:dPt>
          <c:dPt>
            <c:idx val="32"/>
            <c:spPr>
              <a:solidFill>
                <a:srgbClr val="2C2C2C"/>
              </a:solidFill>
            </c:spPr>
          </c:dPt>
          <c:dPt>
            <c:idx val="33"/>
            <c:spPr>
              <a:solidFill>
                <a:srgbClr val="FF1F7F"/>
              </a:solidFill>
            </c:spPr>
          </c:dPt>
          <c:dPt>
            <c:idx val="34"/>
            <c:spPr>
              <a:solidFill>
                <a:srgbClr val="5D461D"/>
              </a:solidFill>
            </c:spPr>
          </c:dPt>
          <c:dPt>
            <c:idx val="35"/>
            <c:spPr>
              <a:solidFill>
                <a:srgbClr val="47285B"/>
              </a:solidFill>
            </c:spPr>
          </c:dPt>
          <c:dPt>
            <c:idx val="36"/>
            <c:spPr>
              <a:solidFill>
                <a:srgbClr val="824F21"/>
              </a:solidFill>
            </c:spPr>
          </c:dPt>
          <c:dPt>
            <c:idx val="37"/>
            <c:spPr>
              <a:solidFill>
                <a:srgbClr val="0D67A4"/>
              </a:solidFill>
            </c:spPr>
          </c:dPt>
          <c:dPt>
            <c:idx val="38"/>
            <c:spPr>
              <a:solidFill>
                <a:srgbClr val="474747"/>
              </a:solidFill>
            </c:spPr>
          </c:dPt>
          <c:dPt>
            <c:idx val="39"/>
            <c:spPr>
              <a:solidFill>
                <a:srgbClr val="FF31CB"/>
              </a:solidFill>
            </c:spPr>
          </c:dPt>
          <c:dPt>
            <c:idx val="40"/>
            <c:spPr>
              <a:solidFill>
                <a:srgbClr val="95702E"/>
              </a:solidFill>
            </c:spPr>
          </c:dPt>
          <c:dPt>
            <c:idx val="41"/>
            <c:spPr>
              <a:solidFill>
                <a:srgbClr val="714192"/>
              </a:solidFill>
            </c:spPr>
          </c:dPt>
          <c:dPt>
            <c:idx val="42"/>
            <c:spPr>
              <a:solidFill>
                <a:srgbClr val="B36D2D"/>
              </a:solidFill>
            </c:spPr>
          </c:dPt>
          <c:dPt>
            <c:idx val="43"/>
            <c:spPr>
              <a:solidFill>
                <a:srgbClr val="138EE2"/>
              </a:solidFill>
            </c:spPr>
          </c:dPt>
          <c:dPt>
            <c:idx val="44"/>
            <c:spPr>
              <a:solidFill>
                <a:srgbClr val="626262"/>
              </a:solidFill>
            </c:spPr>
          </c:dPt>
          <c:dPt>
            <c:idx val="45"/>
            <c:spPr>
              <a:solidFill>
                <a:srgbClr val="FF4418"/>
              </a:solidFill>
            </c:spPr>
          </c:dPt>
          <c:dPt>
            <c:idx val="46"/>
            <c:spPr>
              <a:solidFill>
                <a:srgbClr val="CD9A40"/>
              </a:solidFill>
            </c:spPr>
          </c:dPt>
          <c:dPt>
            <c:idx val="47"/>
            <c:spPr>
              <a:solidFill>
                <a:srgbClr val="9C59C9"/>
              </a:solidFill>
            </c:spPr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'Base TOTAL'!$A$6:$A$57</c:f>
            </c:strRef>
          </c:cat>
          <c:val>
            <c:numRef>
              <c:f>'Base TOTAL'!$J$6:$J$57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A61C00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Resumen!$A$26:$A$29</c:f>
            </c:strRef>
          </c:cat>
          <c:val>
            <c:numRef>
              <c:f>Resumen!$B$26:$B$29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0563C1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Resumen!$A$38:$A$43</c:f>
            </c:strRef>
          </c:cat>
          <c:val>
            <c:numRef>
              <c:f>Resumen!$B$38:$B$43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0563C1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Resumen!$A$50:$A$56</c:f>
            </c:strRef>
          </c:cat>
          <c:val>
            <c:numRef>
              <c:f>Resumen!$B$50:$B$56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</xdr:row>
      <xdr:rowOff>171450</xdr:rowOff>
    </xdr:from>
    <xdr:ext cx="6134100" cy="3962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57150</xdr:colOff>
      <xdr:row>25</xdr:row>
      <xdr:rowOff>28575</xdr:rowOff>
    </xdr:from>
    <xdr:ext cx="4686300" cy="1733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57150</xdr:colOff>
      <xdr:row>37</xdr:row>
      <xdr:rowOff>9525</xdr:rowOff>
    </xdr:from>
    <xdr:ext cx="4686300" cy="1733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57150</xdr:colOff>
      <xdr:row>48</xdr:row>
      <xdr:rowOff>180975</xdr:rowOff>
    </xdr:from>
    <xdr:ext cx="4686300" cy="17335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Danielpicco66@hotmail.com" TargetMode="External"/><Relationship Id="rId3" Type="http://schemas.openxmlformats.org/officeDocument/2006/relationships/hyperlink" Target="mailto:Carla.villanova480@gmail.com" TargetMode="External"/><Relationship Id="rId4" Type="http://schemas.openxmlformats.org/officeDocument/2006/relationships/hyperlink" Target="mailto:garciam.s078@gmail.com" TargetMode="External"/><Relationship Id="rId11" Type="http://schemas.openxmlformats.org/officeDocument/2006/relationships/vmlDrawing" Target="../drawings/vmlDrawing5.vml"/><Relationship Id="rId10" Type="http://schemas.openxmlformats.org/officeDocument/2006/relationships/drawing" Target="../drawings/drawing8.xml"/><Relationship Id="rId9" Type="http://schemas.openxmlformats.org/officeDocument/2006/relationships/hyperlink" Target="mailto:rossettomaxi@gmail.com" TargetMode="External"/><Relationship Id="rId5" Type="http://schemas.openxmlformats.org/officeDocument/2006/relationships/hyperlink" Target="mailto:Danielagodoy79@gmail.com" TargetMode="External"/><Relationship Id="rId6" Type="http://schemas.openxmlformats.org/officeDocument/2006/relationships/hyperlink" Target="mailto:Hectormaximilianopereyra@gmail.com" TargetMode="External"/><Relationship Id="rId7" Type="http://schemas.openxmlformats.org/officeDocument/2006/relationships/hyperlink" Target="mailto:mvhuidobro@gmail.com" TargetMode="External"/><Relationship Id="rId8" Type="http://schemas.openxmlformats.org/officeDocument/2006/relationships/hyperlink" Target="mailto:arqmariasolcastelli2024@gmail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0.xml"/><Relationship Id="rId11" Type="http://schemas.openxmlformats.org/officeDocument/2006/relationships/hyperlink" Target="mailto:tevezstefani@yahoo.com.ar" TargetMode="External"/><Relationship Id="rId10" Type="http://schemas.openxmlformats.org/officeDocument/2006/relationships/hyperlink" Target="mailto:oviedorobertocsyds@gmail.com" TargetMode="External"/><Relationship Id="rId13" Type="http://schemas.openxmlformats.org/officeDocument/2006/relationships/hyperlink" Target="mailto:CAROBASUALDOT@GMAIL.COM" TargetMode="External"/><Relationship Id="rId12" Type="http://schemas.openxmlformats.org/officeDocument/2006/relationships/hyperlink" Target="mailto:CAROBASUALDOT@GMAIL.COM" TargetMode="External"/><Relationship Id="rId1" Type="http://schemas.openxmlformats.org/officeDocument/2006/relationships/hyperlink" Target="mailto:josefacundorufeil@gmail.com" TargetMode="External"/><Relationship Id="rId2" Type="http://schemas.openxmlformats.org/officeDocument/2006/relationships/hyperlink" Target="mailto:javitoriberi@hotmail.com" TargetMode="External"/><Relationship Id="rId3" Type="http://schemas.openxmlformats.org/officeDocument/2006/relationships/hyperlink" Target="mailto:comunapasodeldurazno@hotmail.com" TargetMode="External"/><Relationship Id="rId4" Type="http://schemas.openxmlformats.org/officeDocument/2006/relationships/hyperlink" Target="mailto:coloniabarge1@gmail.com" TargetMode="External"/><Relationship Id="rId9" Type="http://schemas.openxmlformats.org/officeDocument/2006/relationships/hyperlink" Target="mailto:MUNICIPALIDADSEBASTIANELCANO@HOTMAIL.COM" TargetMode="External"/><Relationship Id="rId15" Type="http://schemas.openxmlformats.org/officeDocument/2006/relationships/hyperlink" Target="mailto:martinezgerardoariel19@gmail.com" TargetMode="External"/><Relationship Id="rId14" Type="http://schemas.openxmlformats.org/officeDocument/2006/relationships/hyperlink" Target="mailto:comlarancheritaylascascadas@gmail.com" TargetMode="External"/><Relationship Id="rId17" Type="http://schemas.openxmlformats.org/officeDocument/2006/relationships/hyperlink" Target="mailto:marialuisalafuente4@gmail.com" TargetMode="External"/><Relationship Id="rId16" Type="http://schemas.openxmlformats.org/officeDocument/2006/relationships/hyperlink" Target="mailto:francogomezrg@gmail.com" TargetMode="External"/><Relationship Id="rId5" Type="http://schemas.openxmlformats.org/officeDocument/2006/relationships/hyperlink" Target="mailto:gabrielmussocosquin@gmail.com" TargetMode="External"/><Relationship Id="rId19" Type="http://schemas.openxmlformats.org/officeDocument/2006/relationships/hyperlink" Target="mailto:pabloguevara72@hotmail.com" TargetMode="External"/><Relationship Id="rId6" Type="http://schemas.openxmlformats.org/officeDocument/2006/relationships/hyperlink" Target="mailto:nicolascba2002@gmail.com" TargetMode="External"/><Relationship Id="rId18" Type="http://schemas.openxmlformats.org/officeDocument/2006/relationships/hyperlink" Target="mailto:pabloguevara72@hotmail.com" TargetMode="External"/><Relationship Id="rId7" Type="http://schemas.openxmlformats.org/officeDocument/2006/relationships/hyperlink" Target="mailto:CINTIA.JANET@LIVE.COM" TargetMode="External"/><Relationship Id="rId8" Type="http://schemas.openxmlformats.org/officeDocument/2006/relationships/hyperlink" Target="mailto:comunademaquinistagallini@hotmail.com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3" t="s">
        <v>1</v>
      </c>
    </row>
    <row r="3">
      <c r="A3" s="4"/>
      <c r="B3" s="4"/>
      <c r="C3" s="5" t="s">
        <v>2</v>
      </c>
      <c r="D3" s="6" t="s">
        <v>3</v>
      </c>
      <c r="E3" s="7" t="s">
        <v>4</v>
      </c>
    </row>
    <row r="4">
      <c r="A4" s="4"/>
      <c r="B4" s="4"/>
      <c r="C4" s="5" t="s">
        <v>5</v>
      </c>
      <c r="D4" s="8" t="str">
        <f>IFERROR(VLOOKUP($D$3,'Base TOTAL'!A:AJ,2,0), "Sin dato")</f>
        <v>Juárez Celman</v>
      </c>
    </row>
    <row r="5">
      <c r="A5" s="9"/>
      <c r="B5" s="10"/>
      <c r="C5" s="11" t="s">
        <v>6</v>
      </c>
      <c r="D5" s="11" t="s">
        <v>7</v>
      </c>
    </row>
    <row r="6">
      <c r="A6" s="12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outlineLevel="1">
      <c r="A7" s="14"/>
      <c r="B7" s="15" t="s">
        <v>9</v>
      </c>
      <c r="C7" s="16" t="str">
        <f>LET(res, IFERROR(VLOOKUP($D$3,'Base TOTAL'!A:AJ,3,0),""), IF(res="", "Sin datos", res))</f>
        <v>0423-080117/2026</v>
      </c>
      <c r="D7" s="17"/>
    </row>
    <row r="8" outlineLevel="1">
      <c r="A8" s="14"/>
      <c r="B8" s="18" t="s">
        <v>10</v>
      </c>
      <c r="C8" s="19">
        <f>LET(res, IFERROR(VLOOKUP($D$3,'Base TOTAL'!A:AJ,4,0),""), IF(res="", "Sin datos", res))</f>
        <v>42</v>
      </c>
      <c r="D8" s="20"/>
    </row>
    <row r="9" outlineLevel="1">
      <c r="A9" s="14"/>
      <c r="B9" s="21" t="s">
        <v>11</v>
      </c>
      <c r="C9" s="22" t="str">
        <f>LET(res, IFERROR(VLOOKUP($D$3,'Base TOTAL'!A:AJ,5,0),""), IF(res="", "Sin datos", res))</f>
        <v>M</v>
      </c>
      <c r="D9" s="23"/>
    </row>
    <row r="10" outlineLevel="1">
      <c r="A10" s="14"/>
      <c r="B10" s="21" t="s">
        <v>12</v>
      </c>
      <c r="C10" s="24" t="str">
        <f>LET(res, IFERROR(VLOOKUP($D$3,'Base TOTAL'!A:AJ,6,0),""), IF(res="", "Sin datos", res))</f>
        <v>Gaston Bravo</v>
      </c>
      <c r="D10" s="25"/>
    </row>
    <row r="11" outlineLevel="1">
      <c r="A11" s="14"/>
      <c r="B11" s="15" t="s">
        <v>13</v>
      </c>
      <c r="C11" s="26">
        <f>LET(res, IFERROR(VLOOKUP($D$3,'Base TOTAL'!A:AJ,7,0),""), IF(res="", "Sin datos", res))</f>
        <v>3586543232</v>
      </c>
      <c r="D11" s="27"/>
    </row>
    <row r="12" outlineLevel="1">
      <c r="A12" s="14"/>
      <c r="B12" s="21" t="s">
        <v>14</v>
      </c>
      <c r="C12" s="28" t="str">
        <f>LET(res, IFERROR(VLOOKUP($D$3,'Base TOTAL'!A:AJ,8,0),""), IF(res="", "Sin datos", res))</f>
        <v>arquitecturaolaeta@gmail.com</v>
      </c>
      <c r="D12" s="7"/>
    </row>
    <row r="13" outlineLevel="1">
      <c r="A13" s="14"/>
      <c r="B13" s="15" t="s">
        <v>15</v>
      </c>
      <c r="C13" s="29" t="str">
        <f>LET(res, IFERROR(VLOOKUP($D$3,'Base TOTAL'!A:AJ,9,0),""), IF(res="", "Sin datos", res))</f>
        <v>arquitecturaolaeta@gmail.com</v>
      </c>
      <c r="D13" s="30"/>
    </row>
    <row r="14" outlineLevel="1">
      <c r="A14" s="31" t="s">
        <v>16</v>
      </c>
      <c r="B14" s="32" t="s">
        <v>17</v>
      </c>
      <c r="C14" s="33">
        <f>LET(res, IFERROR(VLOOKUP($D$3,'Base TOTAL'!A:AJ,10,0),""), IF(res="", "Sin datos", res))</f>
        <v>180000000</v>
      </c>
      <c r="D14" s="34"/>
    </row>
    <row r="15" outlineLevel="1">
      <c r="B15" s="32" t="s">
        <v>18</v>
      </c>
      <c r="C15" s="35">
        <f>LET(res, IFERROR(VLOOKUP($D$3,'Base TOTAL'!A:AJ,11,0),""), IF(res="", "Sin datos", res))</f>
        <v>496</v>
      </c>
      <c r="D15" s="36"/>
    </row>
    <row r="16" outlineLevel="1">
      <c r="A16" s="37"/>
      <c r="B16" s="32" t="s">
        <v>19</v>
      </c>
      <c r="C16" s="38">
        <f>LET(res, IFERROR(VLOOKUP($D$3,'Base TOTAL'!A:AJ,12,0),""), IF(res="", "Sin datos", res))</f>
        <v>3200</v>
      </c>
      <c r="D16" s="39"/>
    </row>
    <row r="17" outlineLevel="1">
      <c r="A17" s="40" t="s">
        <v>20</v>
      </c>
      <c r="B17" s="41">
        <v>1.0</v>
      </c>
      <c r="C17" s="42" t="str">
        <f>LET(res, IFERROR(VLOOKUP($D$3,'Base TOTAL'!A:AJ,13,0),""), IF(res="", "Sin datos", res))</f>
        <v>A corregir por M/C</v>
      </c>
      <c r="D17" s="43"/>
    </row>
    <row r="18" outlineLevel="1">
      <c r="B18" s="41">
        <v>2.0</v>
      </c>
      <c r="C18" s="42" t="str">
        <f>LET(res, IFERROR(VLOOKUP($D$3,'Base TOTAL'!A:AJ,14,0),""), IF(res="", "Sin datos", res))</f>
        <v>Completo OK</v>
      </c>
      <c r="D18" s="43"/>
    </row>
    <row r="19" outlineLevel="1">
      <c r="B19" s="41">
        <v>3.0</v>
      </c>
      <c r="C19" s="42" t="str">
        <f>LET(res, IFERROR(VLOOKUP($D$3,'Base TOTAL'!A:AJ,15,0),""), IF(res="", "Sin datos", res))</f>
        <v>Completo OK</v>
      </c>
      <c r="D19" s="43"/>
    </row>
    <row r="20" outlineLevel="1">
      <c r="B20" s="41">
        <v>4.0</v>
      </c>
      <c r="C20" s="42" t="str">
        <f>LET(res, IFERROR(VLOOKUP($D$3,'Base TOTAL'!A:AJ,16,0),""), IF(res="", "Sin datos", res))</f>
        <v>A corregir por M/C</v>
      </c>
      <c r="D20" s="43"/>
    </row>
    <row r="21" outlineLevel="1">
      <c r="B21" s="44" t="s">
        <v>21</v>
      </c>
      <c r="C21" s="42" t="str">
        <f>LET(res, IFERROR(VLOOKUP($D$3,'Base TOTAL'!A:AJ,17,0),""), IF(res="", "Sin datos", res))</f>
        <v>A corregir por M/C</v>
      </c>
      <c r="D21" s="43"/>
    </row>
    <row r="22" outlineLevel="1">
      <c r="B22" s="44" t="s">
        <v>22</v>
      </c>
      <c r="C22" s="42" t="str">
        <f>LET(res, IFERROR(VLOOKUP($D$3,'Base TOTAL'!A:AJ,18,0),""), IF(res="", "Sin datos", res))</f>
        <v>A corregir por M/C</v>
      </c>
      <c r="D22" s="43"/>
    </row>
    <row r="23" outlineLevel="1">
      <c r="B23" s="44" t="s">
        <v>23</v>
      </c>
      <c r="C23" s="42" t="str">
        <f>LET(res, IFERROR(VLOOKUP($D$3,'Base TOTAL'!A:AJ,19,0),""), IF(res="", "Sin datos", res))</f>
        <v>Completo OK</v>
      </c>
      <c r="D23" s="43"/>
    </row>
    <row r="24" outlineLevel="1">
      <c r="B24" s="44" t="s">
        <v>24</v>
      </c>
      <c r="C24" s="42" t="str">
        <f>LET(res, IFERROR(VLOOKUP($D$3,'Base TOTAL'!A:AJ,20,0),""), IF(res="", "Sin datos", res))</f>
        <v>Completo OK</v>
      </c>
      <c r="D24" s="43"/>
    </row>
    <row r="25" outlineLevel="1">
      <c r="B25" s="44" t="s">
        <v>25</v>
      </c>
      <c r="C25" s="42" t="str">
        <f>LET(res, IFERROR(VLOOKUP($D$3,'Base TOTAL'!A:AJ,21,0),""), IF(res="", "Sin datos", res))</f>
        <v>Completo OK</v>
      </c>
      <c r="D25" s="43"/>
    </row>
    <row r="26" outlineLevel="1">
      <c r="B26" s="44" t="s">
        <v>26</v>
      </c>
      <c r="C26" s="42" t="str">
        <f>LET(res, IFERROR(VLOOKUP($D$3,'Base TOTAL'!A:AJ,22,0),""), IF(res="", "Sin datos", res))</f>
        <v>Completo OK</v>
      </c>
      <c r="D26" s="43"/>
    </row>
    <row r="27" outlineLevel="1">
      <c r="B27" s="44" t="s">
        <v>27</v>
      </c>
      <c r="C27" s="42" t="str">
        <f>LET(res, IFERROR(VLOOKUP($D$3,'Base TOTAL'!A:AJ,23,0),""), IF(res="", "Sin datos", res))</f>
        <v>A corregir por M/C</v>
      </c>
      <c r="D27" s="43"/>
    </row>
    <row r="28" outlineLevel="1">
      <c r="B28" s="44" t="s">
        <v>28</v>
      </c>
      <c r="C28" s="42" t="str">
        <f>LET(res, IFERROR(VLOOKUP($D$3,'Base TOTAL'!A:AJ,24,0),""), IF(res="", "Sin datos", res))</f>
        <v>Completo OK</v>
      </c>
      <c r="D28" s="43"/>
    </row>
    <row r="29" outlineLevel="1">
      <c r="B29" s="44" t="s">
        <v>29</v>
      </c>
      <c r="C29" s="42" t="str">
        <f>LET(res, IFERROR(VLOOKUP($D$3,'Base TOTAL'!A:AJ,25,0),""), IF(res="", "Sin datos", res))</f>
        <v>Completo OK</v>
      </c>
      <c r="D29" s="43"/>
    </row>
    <row r="30" outlineLevel="1">
      <c r="B30" s="44" t="s">
        <v>30</v>
      </c>
      <c r="C30" s="42" t="str">
        <f>LET(res, IFERROR(VLOOKUP($D$3,'Base TOTAL'!A:AJ,26,0),""), IF(res="", "Sin datos", res))</f>
        <v>Completo OK</v>
      </c>
      <c r="D30" s="43"/>
    </row>
    <row r="31" outlineLevel="1">
      <c r="B31" s="41">
        <v>5.0</v>
      </c>
      <c r="C31" s="42" t="str">
        <f>LET(res, IFERROR(VLOOKUP($D$3,'Base TOTAL'!A:AJ,27,0),""), IF(res="", "Sin datos", res))</f>
        <v>A corregir por M/C</v>
      </c>
      <c r="D31" s="43"/>
    </row>
    <row r="32" outlineLevel="1">
      <c r="B32" s="41">
        <v>6.0</v>
      </c>
      <c r="C32" s="42" t="str">
        <f>LET(res, IFERROR(VLOOKUP($D$3,'Base TOTAL'!A:AJ,28,0),""), IF(res="", "Sin datos", res))</f>
        <v>Completo OK</v>
      </c>
      <c r="D32" s="43"/>
    </row>
    <row r="33" outlineLevel="1">
      <c r="B33" s="41">
        <v>7.0</v>
      </c>
      <c r="C33" s="42" t="str">
        <f>LET(res, IFERROR(VLOOKUP($D$3,'Base TOTAL'!A:AJ,29,0),""), IF(res="", "Sin datos", res))</f>
        <v>Completo OK</v>
      </c>
      <c r="D33" s="43"/>
    </row>
    <row r="34" outlineLevel="1">
      <c r="B34" s="41">
        <v>8.0</v>
      </c>
      <c r="C34" s="42" t="str">
        <f>LET(res, IFERROR(VLOOKUP($D$3,'Base TOTAL'!A:AJ,30,0),""), IF(res="", "Sin datos", res))</f>
        <v>Completo OK</v>
      </c>
      <c r="D34" s="43"/>
    </row>
    <row r="35" outlineLevel="1">
      <c r="A35" s="37"/>
      <c r="B35" s="45">
        <v>9.0</v>
      </c>
      <c r="C35" s="42" t="str">
        <f>LET(res, IFERROR(VLOOKUP($D$3,'Base TOTAL'!A:AJ,31,0),""), IF(res="", "Sin datos", res))</f>
        <v>A corregir por M/C</v>
      </c>
      <c r="D35" s="43"/>
    </row>
    <row r="36" outlineLevel="1">
      <c r="A36" s="44"/>
      <c r="B36" s="46" t="s">
        <v>31</v>
      </c>
      <c r="C36" s="47" t="str">
        <f>LET(res, IFERROR(VLOOKUP($D$3,'Base TOTAL'!A:AJ,32,0),""), IF(res="", "Sin datos", res))</f>
        <v>En CURSO en DGV</v>
      </c>
      <c r="D36" s="48"/>
    </row>
    <row r="37" ht="45.0" customHeight="1" outlineLevel="1">
      <c r="A37" s="46" t="s">
        <v>32</v>
      </c>
      <c r="B37" s="2"/>
      <c r="C37" s="49" t="str">
        <f>LET(res, IFERROR(VLOOKUP($D$3,'Base TOTAL'!A:AJ,33,0),""), IF(res="", "Sin datos", res))</f>
        <v>13/7/2026: Comunicaciòn con la arq. a cargo. Se hacen observaciones sobre doc. tècnica a corregir. 
08/7/2026: Se envìa al municipio (por Email) las correcciones que deben realizar.
03/7/2026: Presentan documentaciòn en Evaluaciòn.
19/6/26: El municipio presenta documentación a corregir y completar. Se envía INSTRUCTIVO de la documentación legar y técnica requerida. 5/6/26: Ingresa Nota Ministerio Gobierno autorizando financiamiento.</v>
      </c>
      <c r="D37" s="50"/>
    </row>
    <row r="38" ht="37.5" customHeight="1" outlineLevel="1">
      <c r="A38" s="51" t="s">
        <v>33</v>
      </c>
      <c r="B38" s="46" t="s">
        <v>34</v>
      </c>
      <c r="C38" s="52">
        <f>LET(res, IFERROR(VLOOKUP($D$3,'Base TOTAL'!A:AJ,34,0),""), IF(res="", "Sin datos", res))</f>
        <v>46192</v>
      </c>
      <c r="D38" s="53"/>
    </row>
    <row r="39" ht="37.5" customHeight="1" outlineLevel="1">
      <c r="A39" s="37"/>
      <c r="B39" s="54" t="s">
        <v>35</v>
      </c>
      <c r="C39" s="55" t="str">
        <f>LET(res, IFERROR(VLOOKUP($D$3,'Base TOTAL'!A:AJ,35,0),""), IF(res="", "Sin datos", res))</f>
        <v>Técnica DGV</v>
      </c>
      <c r="D39" s="56"/>
    </row>
    <row r="40">
      <c r="A40" s="12" t="s">
        <v>36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4"/>
      <c r="B41" s="57" t="s">
        <v>9</v>
      </c>
      <c r="C41" s="58"/>
    </row>
    <row r="42">
      <c r="A42" s="4"/>
      <c r="B42" s="59" t="s">
        <v>10</v>
      </c>
      <c r="C42" s="4"/>
    </row>
    <row r="43">
      <c r="A43" s="4"/>
      <c r="B43" s="60" t="s">
        <v>11</v>
      </c>
      <c r="C43" s="4"/>
    </row>
    <row r="44">
      <c r="A44" s="4"/>
      <c r="B44" s="60" t="s">
        <v>12</v>
      </c>
      <c r="C44" s="4"/>
    </row>
    <row r="45">
      <c r="A45" s="4"/>
      <c r="B45" s="57" t="s">
        <v>13</v>
      </c>
      <c r="C45" s="4"/>
    </row>
    <row r="46">
      <c r="A46" s="4"/>
      <c r="B46" s="60" t="s">
        <v>14</v>
      </c>
      <c r="C46" s="4"/>
    </row>
    <row r="47">
      <c r="A47" s="4"/>
      <c r="B47" s="57" t="s">
        <v>15</v>
      </c>
      <c r="C47" s="4"/>
    </row>
    <row r="48">
      <c r="A48" s="61" t="s">
        <v>16</v>
      </c>
      <c r="B48" s="62" t="s">
        <v>17</v>
      </c>
      <c r="C48" s="4"/>
    </row>
    <row r="49">
      <c r="B49" s="62" t="s">
        <v>37</v>
      </c>
      <c r="C49" s="4"/>
    </row>
    <row r="50">
      <c r="B50" s="62"/>
      <c r="C50" s="4"/>
    </row>
  </sheetData>
  <mergeCells count="9">
    <mergeCell ref="A38:A39"/>
    <mergeCell ref="A48:A50"/>
    <mergeCell ref="A1:D1"/>
    <mergeCell ref="A2:D2"/>
    <mergeCell ref="A6:D6"/>
    <mergeCell ref="A14:A16"/>
    <mergeCell ref="A17:A35"/>
    <mergeCell ref="A37:B37"/>
    <mergeCell ref="A40:D40"/>
  </mergeCells>
  <dataValidations>
    <dataValidation type="list" allowBlank="1" showErrorMessage="1" sqref="C36:D36">
      <formula1>"A  INICIAR en DGV,En CURSO en DGV,COMPLETO en DGV,APROBADO por TC"</formula1>
    </dataValidation>
    <dataValidation type="list" allowBlank="1" showErrorMessage="1" sqref="D3">
      <formula1>'Base TOTAL'!$A$6:$A$318</formula1>
    </dataValidation>
    <dataValidation type="list" allowBlank="1" showDropDown="1" showErrorMessage="1" sqref="C9:D9">
      <formula1>"M,C"</formula1>
    </dataValidation>
    <dataValidation type="list" allowBlank="1" showDropDown="1" showInputMessage="1" showErrorMessage="1" prompt="Haz clic e introduce un valor de la lista de elementos" sqref="C39:D39">
      <formula1>"Técnica DGV,Jurídico DGV,Económico DGV,Privada DGV,Tribunal de Cuentas,Aprobado TC"</formula1>
    </dataValidation>
    <dataValidation type="list" allowBlank="1" showErrorMessage="1" sqref="C17:D20 C21:C30 C31:D35">
      <formula1>"Sin Presentar ,En Evaluaciòn Tècnica,A corregir por M/C,En Evaluaciòn Jurìdico,Completo OK"</formula1>
    </dataValidation>
    <dataValidation type="list" allowBlank="1" showErrorMessage="1" sqref="D21:D30">
      <formula1>"Sin Presentar ,En Evaluaciòn Tècnica,A corregir por M/C,Completo OK"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63" t="s">
        <v>1</v>
      </c>
    </row>
    <row r="3">
      <c r="A3" s="4"/>
      <c r="B3" s="4"/>
      <c r="C3" s="5" t="s">
        <v>2</v>
      </c>
      <c r="D3" s="6" t="s">
        <v>38</v>
      </c>
      <c r="E3" s="7" t="s">
        <v>4</v>
      </c>
    </row>
    <row r="4">
      <c r="A4" s="4"/>
      <c r="B4" s="4"/>
      <c r="C4" s="5" t="s">
        <v>5</v>
      </c>
      <c r="D4" s="8" t="str">
        <f>IFERROR(VLOOKUP($D$3,'Base TOTAL'!A:AJ,2,0), "Sin dato")</f>
        <v>Cruz del Eje</v>
      </c>
    </row>
    <row r="5">
      <c r="A5" s="9"/>
      <c r="B5" s="10"/>
      <c r="C5" s="11" t="s">
        <v>6</v>
      </c>
      <c r="D5" s="11" t="s">
        <v>7</v>
      </c>
    </row>
    <row r="6">
      <c r="A6" s="12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outlineLevel="1">
      <c r="A7" s="14"/>
      <c r="B7" s="15" t="s">
        <v>9</v>
      </c>
      <c r="C7" s="16" t="str">
        <f>LET(res, IFERROR(VLOOKUP($D$3,'Base TOTAL'!A:AJ,3,0),""), IF(res="", "Sin datos", res))</f>
        <v>0423-079112/2026</v>
      </c>
      <c r="D7" s="17"/>
    </row>
    <row r="8" outlineLevel="1">
      <c r="A8" s="14"/>
      <c r="B8" s="18" t="s">
        <v>10</v>
      </c>
      <c r="C8" s="19">
        <f>LET(res, IFERROR(VLOOKUP($D$3,'Base TOTAL'!A:AJ,4,0),""), IF(res="", "Sin datos", res))</f>
        <v>8</v>
      </c>
      <c r="D8" s="20"/>
    </row>
    <row r="9" outlineLevel="1">
      <c r="A9" s="14"/>
      <c r="B9" s="21" t="s">
        <v>11</v>
      </c>
      <c r="C9" s="22" t="str">
        <f>LET(res, IFERROR(VLOOKUP($D$3,'Base TOTAL'!A:AJ,5,0),""), IF(res="", "Sin datos", res))</f>
        <v>C</v>
      </c>
      <c r="D9" s="23"/>
    </row>
    <row r="10" outlineLevel="1">
      <c r="A10" s="14"/>
      <c r="B10" s="21" t="s">
        <v>12</v>
      </c>
      <c r="C10" s="24" t="str">
        <f>LET(res, IFERROR(VLOOKUP($D$3,'Base TOTAL'!A:AJ,6,0),""), IF(res="", "Sin datos", res))</f>
        <v>MARÍA DANIELA GODOY</v>
      </c>
      <c r="D10" s="64"/>
    </row>
    <row r="11" outlineLevel="1">
      <c r="A11" s="14"/>
      <c r="B11" s="15" t="s">
        <v>13</v>
      </c>
      <c r="C11" s="26" t="str">
        <f>LET(res, IFERROR(VLOOKUP($D$3,'Base TOTAL'!A:AJ,7,0),""), IF(res="", "Sin datos", res))</f>
        <v>(3549) 46-8032</v>
      </c>
      <c r="D11" s="65"/>
    </row>
    <row r="12" outlineLevel="1">
      <c r="A12" s="14"/>
      <c r="B12" s="21" t="s">
        <v>14</v>
      </c>
      <c r="C12" s="66" t="str">
        <f>LET(res, IFERROR(VLOOKUP($D$3,'Base TOTAL'!A:AJ,8,0),""), IF(res="", "Sin datos", res))</f>
        <v>Danielagodoy79@gmail.com</v>
      </c>
      <c r="D12" s="67"/>
    </row>
    <row r="13" outlineLevel="1">
      <c r="A13" s="14"/>
      <c r="B13" s="15" t="s">
        <v>15</v>
      </c>
      <c r="C13" s="29" t="str">
        <f>LET(res, IFERROR(VLOOKUP($D$3,'Base TOTAL'!A:AJ,9,0),""), IF(res="", "Sin datos", res))</f>
        <v>Ing. Bracamonte 3521401659 ---ingbracamontegustavo@gmail.com</v>
      </c>
      <c r="D13" s="68"/>
    </row>
    <row r="14" outlineLevel="1">
      <c r="A14" s="31" t="s">
        <v>16</v>
      </c>
      <c r="B14" s="32" t="s">
        <v>17</v>
      </c>
      <c r="C14" s="33">
        <f>LET(res, IFERROR(VLOOKUP($D$3,'Base TOTAL'!A:AJ,10,0),""), IF(res="", "Sin datos", res))</f>
        <v>200000000</v>
      </c>
      <c r="D14" s="34"/>
    </row>
    <row r="15" outlineLevel="1">
      <c r="B15" s="32" t="s">
        <v>18</v>
      </c>
      <c r="C15" s="35" t="str">
        <f>LET(res, IFERROR(VLOOKUP($D$3,'Base TOTAL'!A:AJ,11,0),""), IF(res="", "Sin datos", res))</f>
        <v>Sin datos</v>
      </c>
      <c r="D15" s="36"/>
    </row>
    <row r="16" outlineLevel="1">
      <c r="A16" s="37"/>
      <c r="B16" s="32" t="s">
        <v>19</v>
      </c>
      <c r="C16" s="38">
        <f>LET(res, IFERROR(VLOOKUP($D$3,'Base TOTAL'!A:AJ,12,0),""), IF(res="", "Sin datos", res))</f>
        <v>3922.22</v>
      </c>
      <c r="D16" s="39"/>
    </row>
    <row r="17" outlineLevel="1">
      <c r="A17" s="40" t="s">
        <v>20</v>
      </c>
      <c r="B17" s="41">
        <v>1.0</v>
      </c>
      <c r="C17" s="42" t="str">
        <f>LET(res, IFERROR(VLOOKUP($D$3,'Base TOTAL'!A:AJ,13,0),""), IF(res="", "Sin datos", res))</f>
        <v>A corregir por M/C</v>
      </c>
      <c r="D17" s="43"/>
    </row>
    <row r="18" outlineLevel="1">
      <c r="B18" s="41">
        <v>2.0</v>
      </c>
      <c r="C18" s="42" t="str">
        <f>LET(res, IFERROR(VLOOKUP($D$3,'Base TOTAL'!A:AJ,14,0),""), IF(res="", "Sin datos", res))</f>
        <v>Completo OK</v>
      </c>
      <c r="D18" s="43"/>
    </row>
    <row r="19" outlineLevel="1">
      <c r="B19" s="41">
        <v>3.0</v>
      </c>
      <c r="C19" s="42" t="str">
        <f>LET(res, IFERROR(VLOOKUP($D$3,'Base TOTAL'!A:AJ,15,0),""), IF(res="", "Sin datos", res))</f>
        <v>Completo OK</v>
      </c>
      <c r="D19" s="43"/>
    </row>
    <row r="20" outlineLevel="1">
      <c r="B20" s="41">
        <v>4.0</v>
      </c>
      <c r="C20" s="42" t="str">
        <f>LET(res, IFERROR(VLOOKUP($D$3,'Base TOTAL'!A:AJ,16,0),""), IF(res="", "Sin datos", res))</f>
        <v>A corregir por M/C</v>
      </c>
      <c r="D20" s="43"/>
    </row>
    <row r="21" outlineLevel="1">
      <c r="B21" s="44" t="s">
        <v>21</v>
      </c>
      <c r="C21" s="42" t="str">
        <f>LET(res, IFERROR(VLOOKUP($D$3,'Base TOTAL'!A:AJ,17,0),""), IF(res="", "Sin datos", res))</f>
        <v>A corregir por M/C</v>
      </c>
      <c r="D21" s="43"/>
    </row>
    <row r="22" outlineLevel="1">
      <c r="B22" s="44" t="s">
        <v>22</v>
      </c>
      <c r="C22" s="42" t="str">
        <f>LET(res, IFERROR(VLOOKUP($D$3,'Base TOTAL'!A:AJ,18,0),""), IF(res="", "Sin datos", res))</f>
        <v>A corregir por M/C</v>
      </c>
      <c r="D22" s="43"/>
    </row>
    <row r="23" outlineLevel="1">
      <c r="B23" s="44" t="s">
        <v>23</v>
      </c>
      <c r="C23" s="42" t="str">
        <f>LET(res, IFERROR(VLOOKUP($D$3,'Base TOTAL'!A:AJ,19,0),""), IF(res="", "Sin datos", res))</f>
        <v>A corregir por M/C</v>
      </c>
      <c r="D23" s="43"/>
    </row>
    <row r="24" outlineLevel="1">
      <c r="B24" s="44" t="s">
        <v>24</v>
      </c>
      <c r="C24" s="42" t="str">
        <f>LET(res, IFERROR(VLOOKUP($D$3,'Base TOTAL'!A:AJ,20,0),""), IF(res="", "Sin datos", res))</f>
        <v>A corregir por M/C</v>
      </c>
      <c r="D24" s="43"/>
    </row>
    <row r="25" outlineLevel="1">
      <c r="B25" s="44" t="s">
        <v>25</v>
      </c>
      <c r="C25" s="42" t="str">
        <f>LET(res, IFERROR(VLOOKUP($D$3,'Base TOTAL'!A:AJ,21,0),""), IF(res="", "Sin datos", res))</f>
        <v>Sin Presentar </v>
      </c>
      <c r="D25" s="43"/>
    </row>
    <row r="26" outlineLevel="1">
      <c r="B26" s="44" t="s">
        <v>26</v>
      </c>
      <c r="C26" s="42" t="str">
        <f>LET(res, IFERROR(VLOOKUP($D$3,'Base TOTAL'!A:AJ,22,0),""), IF(res="", "Sin datos", res))</f>
        <v>A corregir por M/C</v>
      </c>
      <c r="D26" s="43"/>
    </row>
    <row r="27" outlineLevel="1">
      <c r="B27" s="44" t="s">
        <v>27</v>
      </c>
      <c r="C27" s="42" t="str">
        <f>LET(res, IFERROR(VLOOKUP($D$3,'Base TOTAL'!A:AJ,23,0),""), IF(res="", "Sin datos", res))</f>
        <v>A corregir por M/C</v>
      </c>
      <c r="D27" s="43"/>
    </row>
    <row r="28" outlineLevel="1">
      <c r="B28" s="44" t="s">
        <v>28</v>
      </c>
      <c r="C28" s="42" t="str">
        <f>LET(res, IFERROR(VLOOKUP($D$3,'Base TOTAL'!A:AJ,24,0),""), IF(res="", "Sin datos", res))</f>
        <v>Sin Presentar </v>
      </c>
      <c r="D28" s="43"/>
    </row>
    <row r="29" outlineLevel="1">
      <c r="B29" s="44" t="s">
        <v>29</v>
      </c>
      <c r="C29" s="42" t="str">
        <f>LET(res, IFERROR(VLOOKUP($D$3,'Base TOTAL'!A:AJ,25,0),""), IF(res="", "Sin datos", res))</f>
        <v>Sin Presentar </v>
      </c>
      <c r="D29" s="43"/>
    </row>
    <row r="30" outlineLevel="1">
      <c r="B30" s="44" t="s">
        <v>30</v>
      </c>
      <c r="C30" s="42" t="str">
        <f>LET(res, IFERROR(VLOOKUP($D$3,'Base TOTAL'!A:AJ,26,0),""), IF(res="", "Sin datos", res))</f>
        <v>A corregir por M/C</v>
      </c>
      <c r="D30" s="43"/>
    </row>
    <row r="31" outlineLevel="1">
      <c r="B31" s="41">
        <v>5.0</v>
      </c>
      <c r="C31" s="42" t="str">
        <f>LET(res, IFERROR(VLOOKUP($D$3,'Base TOTAL'!A:AJ,27,0),""), IF(res="", "Sin datos", res))</f>
        <v>Completo OK</v>
      </c>
      <c r="D31" s="43"/>
    </row>
    <row r="32" outlineLevel="1">
      <c r="B32" s="41">
        <v>6.0</v>
      </c>
      <c r="C32" s="42" t="str">
        <f>LET(res, IFERROR(VLOOKUP($D$3,'Base TOTAL'!A:AJ,28,0),""), IF(res="", "Sin datos", res))</f>
        <v>Completo OK</v>
      </c>
      <c r="D32" s="43"/>
    </row>
    <row r="33" outlineLevel="1">
      <c r="B33" s="41">
        <v>7.0</v>
      </c>
      <c r="C33" s="42" t="str">
        <f>LET(res, IFERROR(VLOOKUP($D$3,'Base TOTAL'!A:AJ,29,0),""), IF(res="", "Sin datos", res))</f>
        <v>Completo OK</v>
      </c>
      <c r="D33" s="43"/>
    </row>
    <row r="34" outlineLevel="1">
      <c r="B34" s="41">
        <v>8.0</v>
      </c>
      <c r="C34" s="42" t="str">
        <f>LET(res, IFERROR(VLOOKUP($D$3,'Base TOTAL'!A:AJ,30,0),""), IF(res="", "Sin datos", res))</f>
        <v>Completo OK</v>
      </c>
      <c r="D34" s="43"/>
    </row>
    <row r="35" outlineLevel="1">
      <c r="A35" s="37"/>
      <c r="B35" s="45">
        <v>9.0</v>
      </c>
      <c r="C35" s="42" t="str">
        <f>LET(res, IFERROR(VLOOKUP($D$3,'Base TOTAL'!A:AJ,31,0),""), IF(res="", "Sin datos", res))</f>
        <v>Completo OK</v>
      </c>
      <c r="D35" s="43"/>
    </row>
    <row r="36" outlineLevel="1">
      <c r="A36" s="44"/>
      <c r="B36" s="46" t="s">
        <v>31</v>
      </c>
      <c r="C36" s="47" t="str">
        <f>LET(res, IFERROR(VLOOKUP($D$3,'Base TOTAL'!A:AJ,32,0),""), IF(res="", "Sin datos", res))</f>
        <v>En CURSO en DGV</v>
      </c>
      <c r="D36" s="48"/>
    </row>
    <row r="37" ht="45.0" customHeight="1" outlineLevel="1">
      <c r="A37" s="46" t="s">
        <v>32</v>
      </c>
      <c r="B37" s="2"/>
      <c r="C37" s="49" t="str">
        <f>LET(res, IFERROR(VLOOKUP($D$3,'Base TOTAL'!A:AJ,33,0),""), IF(res="", "Sin datos", res))</f>
        <v>13-7-2026: Se recibe  de la intend. doc. por whast y se solicita que se envie en base a instructivo y por E mail.                                                                                                         13-7-2026: Se llamo al ing. quien avisa que el viernes enviò la doc. a la municip y mañana la envian firmada                                                                                                13/7/2026: Se solicita informen còmo van con la documentaciòn a presentar.
29/6/2026: Se enviaron por Email las observaciones A corregir por la comuna 
26/6/26: Se envían las observaciones a corregir por el ing. Se aguardan las observaciones del area Legales........22/6/26: El ing. se comunica con el àrea tècnica: Se le envìa el Instructivo de la documentaciòn legal y tècnica a presentar. 19/6/26: Sin respuesta del ing. a cargo, se envìa nuevamente el instructivo a la Pres. comunal. 11/6/26: Se solicita corregir documentación presentada.  SE LE ENVIÓ LOS 9 REQUISITOS PARA PARTICIPAR EN EL PROGRAMA</v>
      </c>
      <c r="D37" s="50"/>
    </row>
    <row r="38" ht="37.5" customHeight="1" outlineLevel="1">
      <c r="A38" s="51" t="s">
        <v>33</v>
      </c>
      <c r="B38" s="46" t="s">
        <v>34</v>
      </c>
      <c r="C38" s="52">
        <f>LET(res, IFERROR(VLOOKUP($D$3,'Base TOTAL'!A:AJ,34,0),""), IF(res="", "Sin datos", res))</f>
        <v>46139</v>
      </c>
      <c r="D38" s="69"/>
    </row>
    <row r="39" ht="37.5" customHeight="1" outlineLevel="1">
      <c r="A39" s="37"/>
      <c r="B39" s="54" t="s">
        <v>35</v>
      </c>
      <c r="C39" s="55" t="str">
        <f>LET(res, IFERROR(VLOOKUP($D$3,'Base TOTAL'!A:AJ,35,0),""), IF(res="", "Sin datos", res))</f>
        <v>Técnica DGV</v>
      </c>
      <c r="D39" s="56"/>
    </row>
    <row r="40">
      <c r="A40" s="12" t="s">
        <v>36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4"/>
      <c r="B41" s="57" t="s">
        <v>9</v>
      </c>
      <c r="C41" s="58"/>
    </row>
    <row r="42">
      <c r="A42" s="4"/>
      <c r="B42" s="59" t="s">
        <v>10</v>
      </c>
      <c r="C42" s="4"/>
    </row>
    <row r="43">
      <c r="A43" s="4"/>
      <c r="B43" s="60" t="s">
        <v>11</v>
      </c>
      <c r="C43" s="4"/>
    </row>
    <row r="44">
      <c r="A44" s="4"/>
      <c r="B44" s="60" t="s">
        <v>12</v>
      </c>
      <c r="C44" s="4"/>
    </row>
    <row r="45">
      <c r="A45" s="4"/>
      <c r="B45" s="57" t="s">
        <v>13</v>
      </c>
      <c r="C45" s="4"/>
    </row>
    <row r="46">
      <c r="A46" s="4"/>
      <c r="B46" s="60" t="s">
        <v>14</v>
      </c>
      <c r="C46" s="4"/>
    </row>
    <row r="47">
      <c r="A47" s="4"/>
      <c r="B47" s="57" t="s">
        <v>15</v>
      </c>
      <c r="C47" s="4"/>
    </row>
    <row r="48">
      <c r="A48" s="61" t="s">
        <v>16</v>
      </c>
      <c r="B48" s="62" t="s">
        <v>17</v>
      </c>
      <c r="C48" s="4"/>
    </row>
    <row r="49">
      <c r="B49" s="62" t="s">
        <v>37</v>
      </c>
      <c r="C49" s="4"/>
    </row>
    <row r="50">
      <c r="B50" s="62"/>
      <c r="C50" s="4"/>
    </row>
  </sheetData>
  <mergeCells count="9">
    <mergeCell ref="A38:A39"/>
    <mergeCell ref="A48:A50"/>
    <mergeCell ref="A1:D1"/>
    <mergeCell ref="A2:D2"/>
    <mergeCell ref="A6:D6"/>
    <mergeCell ref="A14:A16"/>
    <mergeCell ref="A17:A35"/>
    <mergeCell ref="A37:B37"/>
    <mergeCell ref="A40:D40"/>
  </mergeCells>
  <dataValidations>
    <dataValidation type="list" allowBlank="1" showErrorMessage="1" sqref="C36:D36">
      <formula1>"A  INICIAR en DGV,En CURSO en DGV,COMPLETO en DGV,APROBADO por TC"</formula1>
    </dataValidation>
    <dataValidation type="list" allowBlank="1" showErrorMessage="1" sqref="D3">
      <formula1>'Base TOTAL'!$A$6:$A$318</formula1>
    </dataValidation>
    <dataValidation type="list" allowBlank="1" showDropDown="1" showErrorMessage="1" sqref="C9:D9">
      <formula1>"M,C"</formula1>
    </dataValidation>
    <dataValidation type="list" allowBlank="1" showDropDown="1" showInputMessage="1" showErrorMessage="1" prompt="Haz clic e introduce un valor de la lista de elementos" sqref="C39:D39">
      <formula1>"Técnica DGV,Jurídico DGV,Económico DGV,Privada DGV,Tribunal de Cuentas,Aprobado TC"</formula1>
    </dataValidation>
    <dataValidation type="list" allowBlank="1" showErrorMessage="1" sqref="C17:D20 C21:C30 C31:D35">
      <formula1>"Sin Presentar ,En Evaluaciòn Tècnica,A corregir por M/C,En Evaluaciòn Jurìdico,Completo OK"</formula1>
    </dataValidation>
    <dataValidation type="list" allowBlank="1" showErrorMessage="1" sqref="D21:D30">
      <formula1>"Sin Presentar ,En Evaluaciòn Tècnica,A corregir por M/C,Completo OK"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70" t="s">
        <v>1</v>
      </c>
    </row>
    <row r="3">
      <c r="A3" s="4"/>
      <c r="B3" s="4"/>
      <c r="C3" s="5" t="s">
        <v>2</v>
      </c>
      <c r="D3" s="6" t="s">
        <v>39</v>
      </c>
      <c r="E3" s="7" t="s">
        <v>4</v>
      </c>
    </row>
    <row r="4">
      <c r="A4" s="4"/>
      <c r="B4" s="4"/>
      <c r="C4" s="5" t="s">
        <v>5</v>
      </c>
      <c r="D4" s="8" t="str">
        <f>IFERROR(VLOOKUP($D$3,'Base TOTAL'!A:AJ,2,0), "Sin dato")</f>
        <v>General Roca</v>
      </c>
    </row>
    <row r="5">
      <c r="A5" s="9"/>
      <c r="B5" s="10"/>
      <c r="C5" s="11" t="s">
        <v>6</v>
      </c>
      <c r="D5" s="11" t="s">
        <v>7</v>
      </c>
    </row>
    <row r="6">
      <c r="A6" s="12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outlineLevel="1">
      <c r="A7" s="14"/>
      <c r="B7" s="15" t="s">
        <v>9</v>
      </c>
      <c r="C7" s="16" t="str">
        <f>LET(res, IFERROR(VLOOKUP($D$3,'Base TOTAL'!A:AJ,3,0),""), IF(res="", "Sin datos", res))</f>
        <v>0423-079096/2026</v>
      </c>
      <c r="D7" s="17"/>
    </row>
    <row r="8" outlineLevel="1">
      <c r="A8" s="14"/>
      <c r="B8" s="18" t="s">
        <v>10</v>
      </c>
      <c r="C8" s="19">
        <f>LET(res, IFERROR(VLOOKUP($D$3,'Base TOTAL'!A:AJ,4,0),""), IF(res="", "Sin datos", res))</f>
        <v>14</v>
      </c>
      <c r="D8" s="20"/>
    </row>
    <row r="9" outlineLevel="1">
      <c r="A9" s="14"/>
      <c r="B9" s="21" t="s">
        <v>11</v>
      </c>
      <c r="C9" s="22" t="str">
        <f>LET(res, IFERROR(VLOOKUP($D$3,'Base TOTAL'!A:AJ,5,0),""), IF(res="", "Sin datos", res))</f>
        <v>C</v>
      </c>
      <c r="D9" s="23"/>
    </row>
    <row r="10" outlineLevel="1">
      <c r="A10" s="14"/>
      <c r="B10" s="21" t="s">
        <v>12</v>
      </c>
      <c r="C10" s="24" t="str">
        <f>LET(res, IFERROR(VLOOKUP($D$3,'Base TOTAL'!A:AJ,6,0),""), IF(res="", "Sin datos", res))</f>
        <v>OSVALDO ESTRADA</v>
      </c>
      <c r="D10" s="64"/>
    </row>
    <row r="11" outlineLevel="1">
      <c r="A11" s="14"/>
      <c r="B11" s="15" t="s">
        <v>13</v>
      </c>
      <c r="C11" s="26" t="str">
        <f>LET(res, IFERROR(VLOOKUP($D$3,'Base TOTAL'!A:AJ,7,0),""), IF(res="", "Sin datos", res))</f>
        <v>(3583) 43-0074</v>
      </c>
      <c r="D11" s="65"/>
    </row>
    <row r="12" outlineLevel="1">
      <c r="A12" s="14"/>
      <c r="B12" s="21" t="s">
        <v>14</v>
      </c>
      <c r="C12" s="28" t="str">
        <f>LET(res, IFERROR(VLOOKUP($D$3,'Base TOTAL'!A:AJ,8,0),""), IF(res="", "Sin datos", res))</f>
        <v>_</v>
      </c>
      <c r="D12" s="67"/>
    </row>
    <row r="13" outlineLevel="1">
      <c r="A13" s="14"/>
      <c r="B13" s="15" t="s">
        <v>15</v>
      </c>
      <c r="C13" s="29" t="str">
        <f>LET(res, IFERROR(VLOOKUP($D$3,'Base TOTAL'!A:AJ,9,0),""), IF(res="", "Sin datos", res))</f>
        <v>rojobufa@gmail.com</v>
      </c>
      <c r="D13" s="68"/>
    </row>
    <row r="14" outlineLevel="1">
      <c r="A14" s="31" t="s">
        <v>16</v>
      </c>
      <c r="B14" s="32" t="s">
        <v>17</v>
      </c>
      <c r="C14" s="33">
        <f>LET(res, IFERROR(VLOOKUP($D$3,'Base TOTAL'!A:AJ,10,0),""), IF(res="", "Sin datos", res))</f>
        <v>210000000</v>
      </c>
      <c r="D14" s="34"/>
    </row>
    <row r="15" outlineLevel="1">
      <c r="B15" s="32" t="s">
        <v>18</v>
      </c>
      <c r="C15" s="35">
        <f>LET(res, IFERROR(VLOOKUP($D$3,'Base TOTAL'!A:AJ,11,0),""), IF(res="", "Sin datos", res))</f>
        <v>1530</v>
      </c>
      <c r="D15" s="36"/>
    </row>
    <row r="16" outlineLevel="1">
      <c r="A16" s="37"/>
      <c r="B16" s="32" t="s">
        <v>19</v>
      </c>
      <c r="C16" s="38">
        <f>LET(res, IFERROR(VLOOKUP($D$3,'Base TOTAL'!A:AJ,12,0),""), IF(res="", "Sin datos", res))</f>
        <v>1575</v>
      </c>
      <c r="D16" s="39"/>
    </row>
    <row r="17" outlineLevel="1">
      <c r="A17" s="40" t="s">
        <v>20</v>
      </c>
      <c r="B17" s="41">
        <v>1.0</v>
      </c>
      <c r="C17" s="42" t="str">
        <f>LET(res, IFERROR(VLOOKUP($D$3,'Base TOTAL'!A:AJ,13,0),""), IF(res="", "Sin datos", res))</f>
        <v>Completo OK</v>
      </c>
      <c r="D17" s="43"/>
    </row>
    <row r="18" outlineLevel="1">
      <c r="B18" s="41">
        <v>2.0</v>
      </c>
      <c r="C18" s="42" t="str">
        <f>LET(res, IFERROR(VLOOKUP($D$3,'Base TOTAL'!A:AJ,14,0),""), IF(res="", "Sin datos", res))</f>
        <v>Completo OK</v>
      </c>
      <c r="D18" s="43"/>
    </row>
    <row r="19" outlineLevel="1">
      <c r="B19" s="41">
        <v>3.0</v>
      </c>
      <c r="C19" s="42" t="str">
        <f>LET(res, IFERROR(VLOOKUP($D$3,'Base TOTAL'!A:AJ,15,0),""), IF(res="", "Sin datos", res))</f>
        <v>A corregir por M/C</v>
      </c>
      <c r="D19" s="43"/>
    </row>
    <row r="20" outlineLevel="1">
      <c r="B20" s="41">
        <v>4.0</v>
      </c>
      <c r="C20" s="42" t="str">
        <f>LET(res, IFERROR(VLOOKUP($D$3,'Base TOTAL'!A:AJ,16,0),""), IF(res="", "Sin datos", res))</f>
        <v>A corregir por M/C</v>
      </c>
      <c r="D20" s="43"/>
    </row>
    <row r="21" outlineLevel="1">
      <c r="B21" s="44" t="s">
        <v>21</v>
      </c>
      <c r="C21" s="42" t="str">
        <f>LET(res, IFERROR(VLOOKUP($D$3,'Base TOTAL'!A:AJ,17,0),""), IF(res="", "Sin datos", res))</f>
        <v>Completo OK</v>
      </c>
      <c r="D21" s="43"/>
    </row>
    <row r="22" outlineLevel="1">
      <c r="B22" s="44" t="s">
        <v>22</v>
      </c>
      <c r="C22" s="42" t="str">
        <f>LET(res, IFERROR(VLOOKUP($D$3,'Base TOTAL'!A:AJ,18,0),""), IF(res="", "Sin datos", res))</f>
        <v>Completo OK</v>
      </c>
      <c r="D22" s="43"/>
    </row>
    <row r="23" outlineLevel="1">
      <c r="B23" s="44" t="s">
        <v>23</v>
      </c>
      <c r="C23" s="42" t="str">
        <f>LET(res, IFERROR(VLOOKUP($D$3,'Base TOTAL'!A:AJ,19,0),""), IF(res="", "Sin datos", res))</f>
        <v>Sin Presentar </v>
      </c>
      <c r="D23" s="43"/>
    </row>
    <row r="24" outlineLevel="1">
      <c r="B24" s="44" t="s">
        <v>24</v>
      </c>
      <c r="C24" s="42" t="str">
        <f>LET(res, IFERROR(VLOOKUP($D$3,'Base TOTAL'!A:AJ,20,0),""), IF(res="", "Sin datos", res))</f>
        <v>Completo OK</v>
      </c>
      <c r="D24" s="43"/>
    </row>
    <row r="25" outlineLevel="1">
      <c r="B25" s="44" t="s">
        <v>25</v>
      </c>
      <c r="C25" s="42" t="str">
        <f>LET(res, IFERROR(VLOOKUP($D$3,'Base TOTAL'!A:AJ,21,0),""), IF(res="", "Sin datos", res))</f>
        <v>Completo OK</v>
      </c>
      <c r="D25" s="43"/>
    </row>
    <row r="26" outlineLevel="1">
      <c r="B26" s="44" t="s">
        <v>26</v>
      </c>
      <c r="C26" s="42" t="str">
        <f>LET(res, IFERROR(VLOOKUP($D$3,'Base TOTAL'!A:AJ,22,0),""), IF(res="", "Sin datos", res))</f>
        <v>A corregir por M/C</v>
      </c>
      <c r="D26" s="43"/>
    </row>
    <row r="27" outlineLevel="1">
      <c r="B27" s="44" t="s">
        <v>27</v>
      </c>
      <c r="C27" s="42" t="str">
        <f>LET(res, IFERROR(VLOOKUP($D$3,'Base TOTAL'!A:AJ,23,0),""), IF(res="", "Sin datos", res))</f>
        <v>Sin Presentar </v>
      </c>
      <c r="D27" s="43"/>
    </row>
    <row r="28" outlineLevel="1">
      <c r="B28" s="44" t="s">
        <v>28</v>
      </c>
      <c r="C28" s="42" t="str">
        <f>LET(res, IFERROR(VLOOKUP($D$3,'Base TOTAL'!A:AJ,24,0),""), IF(res="", "Sin datos", res))</f>
        <v>Completo OK</v>
      </c>
      <c r="D28" s="43"/>
    </row>
    <row r="29" outlineLevel="1">
      <c r="B29" s="44" t="s">
        <v>29</v>
      </c>
      <c r="C29" s="42" t="str">
        <f>LET(res, IFERROR(VLOOKUP($D$3,'Base TOTAL'!A:AJ,25,0),""), IF(res="", "Sin datos", res))</f>
        <v>Completo OK</v>
      </c>
      <c r="D29" s="43"/>
    </row>
    <row r="30" outlineLevel="1">
      <c r="B30" s="44" t="s">
        <v>30</v>
      </c>
      <c r="C30" s="42" t="str">
        <f>LET(res, IFERROR(VLOOKUP($D$3,'Base TOTAL'!A:AJ,26,0),""), IF(res="", "Sin datos", res))</f>
        <v>Completo OK</v>
      </c>
      <c r="D30" s="43"/>
    </row>
    <row r="31" outlineLevel="1">
      <c r="B31" s="41">
        <v>5.0</v>
      </c>
      <c r="C31" s="42" t="str">
        <f>LET(res, IFERROR(VLOOKUP($D$3,'Base TOTAL'!A:AJ,27,0),""), IF(res="", "Sin datos", res))</f>
        <v>Completo OK</v>
      </c>
      <c r="D31" s="43"/>
    </row>
    <row r="32" outlineLevel="1">
      <c r="B32" s="41">
        <v>6.0</v>
      </c>
      <c r="C32" s="42" t="str">
        <f>LET(res, IFERROR(VLOOKUP($D$3,'Base TOTAL'!A:AJ,28,0),""), IF(res="", "Sin datos", res))</f>
        <v>Completo OK</v>
      </c>
      <c r="D32" s="43"/>
    </row>
    <row r="33" outlineLevel="1">
      <c r="B33" s="41">
        <v>7.0</v>
      </c>
      <c r="C33" s="42" t="str">
        <f>LET(res, IFERROR(VLOOKUP($D$3,'Base TOTAL'!A:AJ,29,0),""), IF(res="", "Sin datos", res))</f>
        <v>Completo OK</v>
      </c>
      <c r="D33" s="43"/>
    </row>
    <row r="34" outlineLevel="1">
      <c r="B34" s="41">
        <v>8.0</v>
      </c>
      <c r="C34" s="42" t="str">
        <f>LET(res, IFERROR(VLOOKUP($D$3,'Base TOTAL'!A:AJ,30,0),""), IF(res="", "Sin datos", res))</f>
        <v>Completo OK</v>
      </c>
      <c r="D34" s="43"/>
    </row>
    <row r="35" outlineLevel="1">
      <c r="A35" s="37"/>
      <c r="B35" s="45">
        <v>9.0</v>
      </c>
      <c r="C35" s="42" t="str">
        <f>LET(res, IFERROR(VLOOKUP($D$3,'Base TOTAL'!A:AJ,31,0),""), IF(res="", "Sin datos", res))</f>
        <v>Completo OK</v>
      </c>
      <c r="D35" s="43"/>
    </row>
    <row r="36" outlineLevel="1">
      <c r="A36" s="44"/>
      <c r="B36" s="46" t="s">
        <v>31</v>
      </c>
      <c r="C36" s="47" t="str">
        <f>LET(res, IFERROR(VLOOKUP($D$3,'Base TOTAL'!A:AJ,32,0),""), IF(res="", "Sin datos", res))</f>
        <v>En CURSO en DGV</v>
      </c>
      <c r="D36" s="48"/>
    </row>
    <row r="37" ht="45.0" customHeight="1" outlineLevel="1">
      <c r="A37" s="46" t="s">
        <v>32</v>
      </c>
      <c r="B37" s="2"/>
      <c r="C37" s="49" t="str">
        <f>LET(res, IFERROR(VLOOKUP($D$3,'Base TOTAL'!A:AJ,33,0),""), IF(res="", "Sin datos", res))</f>
        <v>03-07-2026  Completar:                                                                                                                              - Pto. 3  en Declarac. Jurada y....                                                                                                                                                      Se deberà colocar las Geo Referenc. en los domicilios que figuren como (calle Publica sin Numero y tambien en los de Zona Rural)                                                                                                                                                                                                                              - En la Memoria pto. 3 colocar PLAZO de OBRA (Ver instruct.)                                                                                                                              -En ambas PLANIM. Generales colocar (Geo Referenc. y  Medidas generales Largo y ancho de las calles del proyecto).                                                                                                - Presentar DETALLE  Perfil Transversal de Calzada) Ver instructivo.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30/6/2026: Se solicito por email envien imagen de DNI y CBU con mas definicion. el resto de la documentación esta completa.
19-06-2026-  Se solicita al arq. Buffa ( 1CBU Y2 DNI borrosos + 3Sobre las Planim. Gral coloque las Geo Refer de los 3 sectores de obra + 4 faltan Perfil transv de calzada )                                                                                12-06-2026 Se pidio al arq. R.Buffa estos faltantes + Georef. en pl. gral. --RTA.:                                         11-06-2026  de esta correc. solo faltan en TECNICA (agregar cortes transv. de calz. + detalle de paquete estr. de calz + detalles de cordones cun y badenes lo demas correcto) + en LEG ( en Nota contad pto 5 cambiar el plazo a 180 dias)                                                                                   -22-06-2026                                                                                                                                       - 04-06-2026 -   Deben completar (Pto 4- graficos  Detalles de Perfiles transv. de calzada + detalle graf. de cordon cuneta + secc transv. de de vaden + Pto. Nª 9 Acta de proclamac cantidad de votos?..Preguntar a Natalia)                                                                                                            Ya ajustó los montos… Pasó $236.529.986,60 y debe ser de $210.000.000 - Debe cambiar Nota Inicial, dice plazo obra 365 días y debe decir 180 días
El 29/05/26 ingresa nva. Nota digi 0697832111-126 (La parte técnica ya está ok - Pero falta cambiar: Plazo de Obra, en Nota inicial) YA LO CAMBIÓ Y ENVIÓ 29/5/26 
El 26/05/26 se recibe nueva documentación. ¡Se excede del monto estipulado! Debe calcular 
ENVIÓ DOCUMENTACIÓN PARA SER ANALIZADA. El 12/5/26 se envía correcciones técnicas y documentación gráfica y planillas modelo, para realizar nueva presentación. </v>
      </c>
      <c r="D37" s="50"/>
    </row>
    <row r="38" ht="37.5" customHeight="1" outlineLevel="1">
      <c r="A38" s="51" t="s">
        <v>33</v>
      </c>
      <c r="B38" s="46" t="s">
        <v>34</v>
      </c>
      <c r="C38" s="52">
        <f>LET(res, IFERROR(VLOOKUP($D$3,'Base TOTAL'!A:AJ,34,0),""), IF(res="", "Sin datos", res))</f>
        <v>46139</v>
      </c>
      <c r="D38" s="69"/>
    </row>
    <row r="39" ht="37.5" customHeight="1" outlineLevel="1">
      <c r="A39" s="37"/>
      <c r="B39" s="54" t="s">
        <v>35</v>
      </c>
      <c r="C39" s="55" t="str">
        <f>LET(res, IFERROR(VLOOKUP($D$3,'Base TOTAL'!A:AJ,35,0),""), IF(res="", "Sin datos", res))</f>
        <v>Técnica DGV</v>
      </c>
      <c r="D39" s="56"/>
    </row>
    <row r="40">
      <c r="A40" s="12" t="s">
        <v>36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4"/>
      <c r="B41" s="57" t="s">
        <v>9</v>
      </c>
      <c r="C41" s="58"/>
    </row>
    <row r="42">
      <c r="A42" s="4"/>
      <c r="B42" s="59" t="s">
        <v>10</v>
      </c>
      <c r="C42" s="4"/>
    </row>
    <row r="43">
      <c r="A43" s="4"/>
      <c r="B43" s="60" t="s">
        <v>11</v>
      </c>
      <c r="C43" s="4"/>
    </row>
    <row r="44">
      <c r="A44" s="4"/>
      <c r="B44" s="60" t="s">
        <v>12</v>
      </c>
      <c r="C44" s="4"/>
    </row>
    <row r="45">
      <c r="A45" s="4"/>
      <c r="B45" s="57" t="s">
        <v>13</v>
      </c>
      <c r="C45" s="4"/>
    </row>
    <row r="46">
      <c r="A46" s="4"/>
      <c r="B46" s="60" t="s">
        <v>14</v>
      </c>
      <c r="C46" s="4"/>
    </row>
    <row r="47">
      <c r="A47" s="4"/>
      <c r="B47" s="57" t="s">
        <v>15</v>
      </c>
      <c r="C47" s="4"/>
    </row>
    <row r="48">
      <c r="A48" s="61" t="s">
        <v>16</v>
      </c>
      <c r="B48" s="62" t="s">
        <v>17</v>
      </c>
      <c r="C48" s="4"/>
    </row>
    <row r="49">
      <c r="B49" s="62" t="s">
        <v>37</v>
      </c>
      <c r="C49" s="4"/>
    </row>
    <row r="50">
      <c r="B50" s="62"/>
      <c r="C50" s="4"/>
    </row>
  </sheetData>
  <mergeCells count="9">
    <mergeCell ref="A38:A39"/>
    <mergeCell ref="A48:A50"/>
    <mergeCell ref="A1:D1"/>
    <mergeCell ref="A2:D2"/>
    <mergeCell ref="A6:D6"/>
    <mergeCell ref="A14:A16"/>
    <mergeCell ref="A17:A35"/>
    <mergeCell ref="A37:B37"/>
    <mergeCell ref="A40:D40"/>
  </mergeCells>
  <dataValidations>
    <dataValidation type="list" allowBlank="1" showErrorMessage="1" sqref="C36:D36">
      <formula1>"A  INICIAR en DGV,En CURSO en DGV,COMPLETO en DGV,APROBADO por TC"</formula1>
    </dataValidation>
    <dataValidation type="list" allowBlank="1" showErrorMessage="1" sqref="D3">
      <formula1>'Base TOTAL'!$A$6:$A$318</formula1>
    </dataValidation>
    <dataValidation type="list" allowBlank="1" showDropDown="1" showErrorMessage="1" sqref="C9:D9">
      <formula1>"M,C"</formula1>
    </dataValidation>
    <dataValidation type="list" allowBlank="1" showDropDown="1" showInputMessage="1" showErrorMessage="1" prompt="Haz clic e introduce un valor de la lista de elementos" sqref="C39:D39">
      <formula1>"Técnica DGV,Jurídico DGV,Económico DGV,Privada DGV,Tribunal de Cuentas,Aprobado TC"</formula1>
    </dataValidation>
    <dataValidation type="list" allowBlank="1" showErrorMessage="1" sqref="C17:D20 C21:C30 C31:D35">
      <formula1>"Sin Presentar ,En Evaluaciòn Tècnica,A corregir por M/C,En Evaluaciòn Jurìdico,Completo OK"</formula1>
    </dataValidation>
    <dataValidation type="list" allowBlank="1" showErrorMessage="1" sqref="D21:D30">
      <formula1>"Sin Presentar ,En Evaluaciòn Tècnica,A corregir por M/C,Completo OK"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71" t="s">
        <v>1</v>
      </c>
    </row>
    <row r="3">
      <c r="A3" s="4"/>
      <c r="B3" s="4"/>
      <c r="C3" s="5" t="s">
        <v>2</v>
      </c>
      <c r="D3" s="6" t="s">
        <v>40</v>
      </c>
      <c r="E3" s="7" t="s">
        <v>4</v>
      </c>
    </row>
    <row r="4">
      <c r="A4" s="4"/>
      <c r="B4" s="4"/>
      <c r="C4" s="5" t="s">
        <v>5</v>
      </c>
      <c r="D4" s="8" t="str">
        <f>IFERROR(VLOOKUP($D$3,'Base TOTAL'!A:AJ,2,0), "Sin dato")</f>
        <v>Calamuchita</v>
      </c>
    </row>
    <row r="5">
      <c r="A5" s="9"/>
      <c r="B5" s="10"/>
      <c r="C5" s="11" t="s">
        <v>6</v>
      </c>
      <c r="D5" s="11" t="s">
        <v>7</v>
      </c>
    </row>
    <row r="6">
      <c r="A6" s="12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outlineLevel="1">
      <c r="A7" s="14"/>
      <c r="B7" s="15" t="s">
        <v>9</v>
      </c>
      <c r="C7" s="16" t="str">
        <f>LET(res, IFERROR(VLOOKUP($D$3,'Base TOTAL'!A:AJ,3,0),""), IF(res="", "Sin datos", res))</f>
        <v>0423-080115/2026</v>
      </c>
      <c r="D7" s="17"/>
    </row>
    <row r="8" outlineLevel="1">
      <c r="A8" s="14"/>
      <c r="B8" s="18" t="s">
        <v>10</v>
      </c>
      <c r="C8" s="19">
        <f>LET(res, IFERROR(VLOOKUP($D$3,'Base TOTAL'!A:AJ,4,0),""), IF(res="", "Sin datos", res))</f>
        <v>39</v>
      </c>
      <c r="D8" s="20"/>
    </row>
    <row r="9" outlineLevel="1">
      <c r="A9" s="14"/>
      <c r="B9" s="21" t="s">
        <v>11</v>
      </c>
      <c r="C9" s="22" t="str">
        <f>LET(res, IFERROR(VLOOKUP($D$3,'Base TOTAL'!A:AJ,5,0),""), IF(res="", "Sin datos", res))</f>
        <v>Sin datos</v>
      </c>
      <c r="D9" s="23"/>
    </row>
    <row r="10" outlineLevel="1">
      <c r="A10" s="14"/>
      <c r="B10" s="21" t="s">
        <v>12</v>
      </c>
      <c r="C10" s="24" t="str">
        <f>LET(res, IFERROR(VLOOKUP($D$3,'Base TOTAL'!A:AJ,6,0),""), IF(res="", "Sin datos", res))</f>
        <v>Sin datos</v>
      </c>
      <c r="D10" s="64"/>
    </row>
    <row r="11" outlineLevel="1">
      <c r="A11" s="14"/>
      <c r="B11" s="15" t="s">
        <v>13</v>
      </c>
      <c r="C11" s="26" t="str">
        <f>LET(res, IFERROR(VLOOKUP($D$3,'Base TOTAL'!A:AJ,7,0),""), IF(res="", "Sin datos", res))</f>
        <v>Sin datos</v>
      </c>
      <c r="D11" s="65"/>
    </row>
    <row r="12" outlineLevel="1">
      <c r="A12" s="14"/>
      <c r="B12" s="21" t="s">
        <v>14</v>
      </c>
      <c r="C12" s="28" t="str">
        <f>LET(res, IFERROR(VLOOKUP($D$3,'Base TOTAL'!A:AJ,8,0),""), IF(res="", "Sin datos", res))</f>
        <v>inesramello@losreartes.gob.ar </v>
      </c>
      <c r="D12" s="67"/>
    </row>
    <row r="13" outlineLevel="1">
      <c r="A13" s="14"/>
      <c r="B13" s="15" t="s">
        <v>15</v>
      </c>
      <c r="C13" s="29" t="str">
        <f>LET(res, IFERROR(VLOOKUP($D$3,'Base TOTAL'!A:AJ,9,0),""), IF(res="", "Sin datos", res))</f>
        <v>Ing. Martin Gallo 351-6645348     Mail: martingallo2012@gmail.com</v>
      </c>
      <c r="D13" s="68"/>
    </row>
    <row r="14" outlineLevel="1">
      <c r="A14" s="31" t="s">
        <v>16</v>
      </c>
      <c r="B14" s="32" t="s">
        <v>17</v>
      </c>
      <c r="C14" s="33">
        <f>LET(res, IFERROR(VLOOKUP($D$3,'Base TOTAL'!A:AJ,10,0),""), IF(res="", "Sin datos", res))</f>
        <v>100000000</v>
      </c>
      <c r="D14" s="34"/>
    </row>
    <row r="15" outlineLevel="1">
      <c r="B15" s="32" t="s">
        <v>18</v>
      </c>
      <c r="C15" s="35">
        <f>LET(res, IFERROR(VLOOKUP($D$3,'Base TOTAL'!A:AJ,11,0),""), IF(res="", "Sin datos", res))</f>
        <v>418</v>
      </c>
      <c r="D15" s="36"/>
    </row>
    <row r="16" outlineLevel="1">
      <c r="A16" s="37"/>
      <c r="B16" s="32" t="s">
        <v>19</v>
      </c>
      <c r="C16" s="38">
        <f>LET(res, IFERROR(VLOOKUP($D$3,'Base TOTAL'!A:AJ,12,0),""), IF(res="", "Sin datos", res))</f>
        <v>1379</v>
      </c>
      <c r="D16" s="39"/>
    </row>
    <row r="17" outlineLevel="1">
      <c r="A17" s="40" t="s">
        <v>20</v>
      </c>
      <c r="B17" s="41">
        <v>1.0</v>
      </c>
      <c r="C17" s="42" t="str">
        <f>LET(res, IFERROR(VLOOKUP($D$3,'Base TOTAL'!A:AJ,13,0),""), IF(res="", "Sin datos", res))</f>
        <v>En Evaluaciòn Jurìdico</v>
      </c>
      <c r="D17" s="43"/>
    </row>
    <row r="18" outlineLevel="1">
      <c r="B18" s="41">
        <v>2.0</v>
      </c>
      <c r="C18" s="42" t="str">
        <f>LET(res, IFERROR(VLOOKUP($D$3,'Base TOTAL'!A:AJ,14,0),""), IF(res="", "Sin datos", res))</f>
        <v>En Evaluaciòn Jurìdico</v>
      </c>
      <c r="D18" s="43"/>
    </row>
    <row r="19" outlineLevel="1">
      <c r="B19" s="41">
        <v>3.0</v>
      </c>
      <c r="C19" s="42" t="str">
        <f>LET(res, IFERROR(VLOOKUP($D$3,'Base TOTAL'!A:AJ,15,0),""), IF(res="", "Sin datos", res))</f>
        <v>En Evaluaciòn Jurìdico</v>
      </c>
      <c r="D19" s="43"/>
    </row>
    <row r="20" outlineLevel="1">
      <c r="B20" s="41">
        <v>4.0</v>
      </c>
      <c r="C20" s="42" t="str">
        <f>LET(res, IFERROR(VLOOKUP($D$3,'Base TOTAL'!A:AJ,16,0),""), IF(res="", "Sin datos", res))</f>
        <v>A corregir por M/C</v>
      </c>
      <c r="D20" s="43"/>
    </row>
    <row r="21" outlineLevel="1">
      <c r="B21" s="44" t="s">
        <v>21</v>
      </c>
      <c r="C21" s="42" t="str">
        <f>LET(res, IFERROR(VLOOKUP($D$3,'Base TOTAL'!A:AJ,17,0),""), IF(res="", "Sin datos", res))</f>
        <v>A corregir por M/C</v>
      </c>
      <c r="D21" s="43"/>
    </row>
    <row r="22" outlineLevel="1">
      <c r="B22" s="44" t="s">
        <v>22</v>
      </c>
      <c r="C22" s="42" t="str">
        <f>LET(res, IFERROR(VLOOKUP($D$3,'Base TOTAL'!A:AJ,18,0),""), IF(res="", "Sin datos", res))</f>
        <v>A corregir por M/C</v>
      </c>
      <c r="D22" s="43"/>
    </row>
    <row r="23" outlineLevel="1">
      <c r="B23" s="44" t="s">
        <v>23</v>
      </c>
      <c r="C23" s="42" t="str">
        <f>LET(res, IFERROR(VLOOKUP($D$3,'Base TOTAL'!A:AJ,19,0),""), IF(res="", "Sin datos", res))</f>
        <v>A corregir por M/C</v>
      </c>
      <c r="D23" s="43"/>
    </row>
    <row r="24" outlineLevel="1">
      <c r="B24" s="44" t="s">
        <v>24</v>
      </c>
      <c r="C24" s="42" t="str">
        <f>LET(res, IFERROR(VLOOKUP($D$3,'Base TOTAL'!A:AJ,20,0),""), IF(res="", "Sin datos", res))</f>
        <v>A corregir por M/C</v>
      </c>
      <c r="D24" s="43"/>
    </row>
    <row r="25" outlineLevel="1">
      <c r="B25" s="44" t="s">
        <v>25</v>
      </c>
      <c r="C25" s="42" t="str">
        <f>LET(res, IFERROR(VLOOKUP($D$3,'Base TOTAL'!A:AJ,21,0),""), IF(res="", "Sin datos", res))</f>
        <v>A corregir por M/C</v>
      </c>
      <c r="D25" s="43"/>
    </row>
    <row r="26" outlineLevel="1">
      <c r="B26" s="44" t="s">
        <v>26</v>
      </c>
      <c r="C26" s="42" t="str">
        <f>LET(res, IFERROR(VLOOKUP($D$3,'Base TOTAL'!A:AJ,22,0),""), IF(res="", "Sin datos", res))</f>
        <v>A corregir por M/C</v>
      </c>
      <c r="D26" s="43"/>
    </row>
    <row r="27" outlineLevel="1">
      <c r="B27" s="44" t="s">
        <v>27</v>
      </c>
      <c r="C27" s="42" t="str">
        <f>LET(res, IFERROR(VLOOKUP($D$3,'Base TOTAL'!A:AJ,23,0),""), IF(res="", "Sin datos", res))</f>
        <v>A corregir por M/C</v>
      </c>
      <c r="D27" s="43"/>
    </row>
    <row r="28" outlineLevel="1">
      <c r="B28" s="44" t="s">
        <v>28</v>
      </c>
      <c r="C28" s="42" t="str">
        <f>LET(res, IFERROR(VLOOKUP($D$3,'Base TOTAL'!A:AJ,24,0),""), IF(res="", "Sin datos", res))</f>
        <v>A corregir por M/C</v>
      </c>
      <c r="D28" s="43"/>
    </row>
    <row r="29" outlineLevel="1">
      <c r="B29" s="44" t="s">
        <v>29</v>
      </c>
      <c r="C29" s="42" t="str">
        <f>LET(res, IFERROR(VLOOKUP($D$3,'Base TOTAL'!A:AJ,25,0),""), IF(res="", "Sin datos", res))</f>
        <v>A corregir por M/C</v>
      </c>
      <c r="D29" s="43"/>
    </row>
    <row r="30" outlineLevel="1">
      <c r="B30" s="44" t="s">
        <v>30</v>
      </c>
      <c r="C30" s="42" t="str">
        <f>LET(res, IFERROR(VLOOKUP($D$3,'Base TOTAL'!A:AJ,26,0),""), IF(res="", "Sin datos", res))</f>
        <v>A corregir por M/C</v>
      </c>
      <c r="D30" s="43"/>
    </row>
    <row r="31" outlineLevel="1">
      <c r="B31" s="41">
        <v>5.0</v>
      </c>
      <c r="C31" s="42" t="str">
        <f>LET(res, IFERROR(VLOOKUP($D$3,'Base TOTAL'!A:AJ,27,0),""), IF(res="", "Sin datos", res))</f>
        <v>En Evaluaciòn Jurìdico</v>
      </c>
      <c r="D31" s="43"/>
    </row>
    <row r="32" outlineLevel="1">
      <c r="B32" s="41">
        <v>6.0</v>
      </c>
      <c r="C32" s="42" t="str">
        <f>LET(res, IFERROR(VLOOKUP($D$3,'Base TOTAL'!A:AJ,28,0),""), IF(res="", "Sin datos", res))</f>
        <v>En Evaluaciòn Jurìdico</v>
      </c>
      <c r="D32" s="43"/>
    </row>
    <row r="33" outlineLevel="1">
      <c r="B33" s="41">
        <v>7.0</v>
      </c>
      <c r="C33" s="42" t="str">
        <f>LET(res, IFERROR(VLOOKUP($D$3,'Base TOTAL'!A:AJ,29,0),""), IF(res="", "Sin datos", res))</f>
        <v>En Evaluaciòn Jurìdico</v>
      </c>
      <c r="D33" s="43"/>
    </row>
    <row r="34" outlineLevel="1">
      <c r="B34" s="41">
        <v>8.0</v>
      </c>
      <c r="C34" s="42" t="str">
        <f>LET(res, IFERROR(VLOOKUP($D$3,'Base TOTAL'!A:AJ,30,0),""), IF(res="", "Sin datos", res))</f>
        <v>En Evaluaciòn Jurìdico</v>
      </c>
      <c r="D34" s="43"/>
    </row>
    <row r="35" outlineLevel="1">
      <c r="A35" s="37"/>
      <c r="B35" s="45">
        <v>9.0</v>
      </c>
      <c r="C35" s="42" t="str">
        <f>LET(res, IFERROR(VLOOKUP($D$3,'Base TOTAL'!A:AJ,31,0),""), IF(res="", "Sin datos", res))</f>
        <v>En Evaluaciòn Jurìdico</v>
      </c>
      <c r="D35" s="43"/>
    </row>
    <row r="36" outlineLevel="1">
      <c r="A36" s="44"/>
      <c r="B36" s="46" t="s">
        <v>31</v>
      </c>
      <c r="C36" s="47" t="str">
        <f>LET(res, IFERROR(VLOOKUP($D$3,'Base TOTAL'!A:AJ,32,0),""), IF(res="", "Sin datos", res))</f>
        <v>En CURSO en DGV</v>
      </c>
      <c r="D36" s="48"/>
    </row>
    <row r="37" ht="45.0" customHeight="1" outlineLevel="1">
      <c r="A37" s="46" t="s">
        <v>32</v>
      </c>
      <c r="B37" s="2"/>
      <c r="C37" s="49" t="str">
        <f>LET(res, IFERROR(VLOOKUP($D$3,'Base TOTAL'!A:AJ,33,0),""), IF(res="", "Sin datos", res))</f>
        <v>03/7/2026: Presentan documentación en evaluaciòn.
22/6/26:Comunicaciòn con la pres. comunal. Se envìa Instructivo de la documentaciòn legal y tècnica  requerida al munic. y al profesional. . 5/6/26: Ingresa Nota Ministerio Gobierno autorizando financiamiento.</v>
      </c>
      <c r="D37" s="50"/>
    </row>
    <row r="38" ht="37.5" customHeight="1" outlineLevel="1">
      <c r="A38" s="51" t="s">
        <v>33</v>
      </c>
      <c r="B38" s="46" t="s">
        <v>34</v>
      </c>
      <c r="C38" s="52" t="str">
        <f>LET(res, IFERROR(VLOOKUP($D$3,'Base TOTAL'!A:AJ,34,0),""), IF(res="", "Sin datos", res))</f>
        <v>Sin datos</v>
      </c>
      <c r="D38" s="72"/>
    </row>
    <row r="39" ht="37.5" customHeight="1" outlineLevel="1">
      <c r="A39" s="37"/>
      <c r="B39" s="54" t="s">
        <v>35</v>
      </c>
      <c r="C39" s="55" t="str">
        <f>LET(res, IFERROR(VLOOKUP($D$3,'Base TOTAL'!A:AJ,35,0),""), IF(res="", "Sin datos", res))</f>
        <v>Sin datos</v>
      </c>
      <c r="D39" s="56"/>
    </row>
    <row r="40">
      <c r="A40" s="12" t="s">
        <v>36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4"/>
      <c r="B41" s="57" t="s">
        <v>9</v>
      </c>
      <c r="C41" s="58"/>
    </row>
    <row r="42">
      <c r="A42" s="4"/>
      <c r="B42" s="59" t="s">
        <v>10</v>
      </c>
      <c r="C42" s="4"/>
    </row>
    <row r="43">
      <c r="A43" s="4"/>
      <c r="B43" s="60" t="s">
        <v>11</v>
      </c>
      <c r="C43" s="4"/>
    </row>
    <row r="44">
      <c r="A44" s="4"/>
      <c r="B44" s="60" t="s">
        <v>12</v>
      </c>
      <c r="C44" s="4"/>
    </row>
    <row r="45">
      <c r="A45" s="4"/>
      <c r="B45" s="57" t="s">
        <v>13</v>
      </c>
      <c r="C45" s="4"/>
      <c r="E45" s="7" t="s">
        <v>41</v>
      </c>
    </row>
    <row r="46">
      <c r="A46" s="4"/>
      <c r="B46" s="60" t="s">
        <v>14</v>
      </c>
      <c r="C46" s="4"/>
    </row>
    <row r="47">
      <c r="A47" s="4"/>
      <c r="B47" s="57" t="s">
        <v>15</v>
      </c>
      <c r="C47" s="4"/>
    </row>
    <row r="48">
      <c r="A48" s="61" t="s">
        <v>16</v>
      </c>
      <c r="B48" s="62" t="s">
        <v>17</v>
      </c>
      <c r="C48" s="4"/>
    </row>
    <row r="49">
      <c r="B49" s="62" t="s">
        <v>37</v>
      </c>
      <c r="C49" s="4"/>
    </row>
    <row r="50">
      <c r="B50" s="62"/>
      <c r="C50" s="4"/>
    </row>
  </sheetData>
  <mergeCells count="9">
    <mergeCell ref="A38:A39"/>
    <mergeCell ref="A48:A50"/>
    <mergeCell ref="A1:D1"/>
    <mergeCell ref="A2:D2"/>
    <mergeCell ref="A6:D6"/>
    <mergeCell ref="A14:A16"/>
    <mergeCell ref="A17:A35"/>
    <mergeCell ref="A37:B37"/>
    <mergeCell ref="A40:D40"/>
  </mergeCells>
  <dataValidations>
    <dataValidation type="list" allowBlank="1" showErrorMessage="1" sqref="C36:D36">
      <formula1>"A  INICIAR en DGV,En CURSO en DGV,COMPLETO en DGV,APROBADO por TC"</formula1>
    </dataValidation>
    <dataValidation type="list" allowBlank="1" showErrorMessage="1" sqref="D3">
      <formula1>'Base TOTAL'!$A$6:$A$318</formula1>
    </dataValidation>
    <dataValidation type="list" allowBlank="1" showDropDown="1" showErrorMessage="1" sqref="C9:D9">
      <formula1>"M,C"</formula1>
    </dataValidation>
    <dataValidation type="list" allowBlank="1" showDropDown="1" showInputMessage="1" showErrorMessage="1" prompt="Haz clic e introduce un valor de la lista de elementos" sqref="C39:D39">
      <formula1>"Técnica DGV,Jurídico DGV,Económico DGV,Privada DGV,Tribunal de Cuentas,Aprobado TC"</formula1>
    </dataValidation>
    <dataValidation type="list" allowBlank="1" showErrorMessage="1" sqref="C17:D20 C21:C30 C31:D35">
      <formula1>"Sin Presentar ,En Evaluaciòn Tècnica,A corregir por M/C,En Evaluaciòn Jurìdico,Completo OK"</formula1>
    </dataValidation>
    <dataValidation type="list" allowBlank="1" showErrorMessage="1" sqref="D21:D30">
      <formula1>"Sin Presentar ,En Evaluaciòn Tècnica,A corregir por M/C,Completo OK"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47.29"/>
    <col customWidth="1" min="3" max="3" width="30.0"/>
  </cols>
  <sheetData>
    <row r="1">
      <c r="A1" s="73" t="s">
        <v>42</v>
      </c>
      <c r="B1" s="74"/>
    </row>
    <row r="2">
      <c r="A2" s="75" t="s">
        <v>43</v>
      </c>
      <c r="B2" s="76"/>
    </row>
    <row r="3">
      <c r="A3" s="77" t="s">
        <v>44</v>
      </c>
      <c r="B3" s="78">
        <f>TODAY()</f>
        <v>46216</v>
      </c>
    </row>
    <row r="4">
      <c r="A4" s="79" t="s">
        <v>5</v>
      </c>
      <c r="B4" s="80" t="s">
        <v>45</v>
      </c>
    </row>
    <row r="5">
      <c r="A5" s="79" t="s">
        <v>46</v>
      </c>
      <c r="B5" s="81">
        <f>COUNTIF('Base TOTAL'!B:B, $B$4)</f>
        <v>10</v>
      </c>
    </row>
    <row r="6">
      <c r="A6" s="82" t="s">
        <v>47</v>
      </c>
      <c r="B6" s="83"/>
    </row>
    <row r="7">
      <c r="A7" s="84" t="s">
        <v>48</v>
      </c>
      <c r="B7" s="85">
        <f>SUMIF('Base TOTAL'!B:B, $B$4, 'Base TOTAL'!J:J)</f>
        <v>1420000000</v>
      </c>
    </row>
    <row r="8">
      <c r="A8" s="84" t="str">
        <f>'Base TOTAL'!K3</f>
        <v>Cordón Cuneta (ml)  </v>
      </c>
      <c r="B8" s="86">
        <f>SUMIF('Base TOTAL'!B:B, $B$4, 'Base TOTAL'!K:K)</f>
        <v>889</v>
      </c>
    </row>
    <row r="9">
      <c r="A9" s="84" t="str">
        <f>'Base TOTAL'!L3</f>
        <v>Adoquinado (m2)</v>
      </c>
      <c r="B9" s="87">
        <f>SUMIF('Base TOTAL'!B:B, $B$4, 'Base TOTAL'!L:L)</f>
        <v>4520.9</v>
      </c>
    </row>
    <row r="10">
      <c r="A10" s="88" t="str">
        <f>'Base TOTAL'!AF3</f>
        <v>ESTADO DEL EXPEDIENTE DE LA LOCALIDAD</v>
      </c>
      <c r="B10" s="89"/>
    </row>
    <row r="11">
      <c r="A11" s="90" t="str">
        <f>IFERROR(__xludf.DUMMYFUNCTION("SORT(FILTER('Base TOTAL'!A:A, 'Base TOTAL'!B:B = B4))"),"Arias")</f>
        <v>Arias</v>
      </c>
      <c r="B11" s="91" t="str">
        <f>IFERROR(VLOOKUP($A11,'Base TOTAL'!A:AJ,32,0), "-")</f>
        <v>En CURSO en DGV</v>
      </c>
    </row>
    <row r="12">
      <c r="A12" s="90" t="str">
        <f>IFERROR(__xludf.DUMMYFUNCTION("""COMPUTED_VALUE"""),"Camilo Aldao")</f>
        <v>Camilo Aldao</v>
      </c>
      <c r="B12" s="91" t="str">
        <f>IFERROR(VLOOKUP($A12,'Base TOTAL'!A:AJ,32,0), "-")</f>
        <v>COMPLETO en DGV</v>
      </c>
    </row>
    <row r="13">
      <c r="A13" s="90" t="str">
        <f>IFERROR(__xludf.DUMMYFUNCTION("""COMPUTED_VALUE"""),"Capitán General Bernardo O'Higgins")</f>
        <v>Capitán General Bernardo O'Higgins</v>
      </c>
      <c r="B13" s="91" t="str">
        <f>IFERROR(VLOOKUP($A13,'Base TOTAL'!A:AJ,32,0), "-")</f>
        <v>En CURSO en DGV</v>
      </c>
    </row>
    <row r="14">
      <c r="A14" s="90" t="str">
        <f>IFERROR(__xludf.DUMMYFUNCTION("""COMPUTED_VALUE"""),"Cavanagh")</f>
        <v>Cavanagh</v>
      </c>
      <c r="B14" s="91" t="str">
        <f>IFERROR(VLOOKUP($A14,'Base TOTAL'!A:AJ,32,0), "-")</f>
        <v>En CURSO en DGV</v>
      </c>
    </row>
    <row r="15">
      <c r="A15" s="90" t="str">
        <f>IFERROR(__xludf.DUMMYFUNCTION("""COMPUTED_VALUE"""),"Colonia Barge")</f>
        <v>Colonia Barge</v>
      </c>
      <c r="B15" s="91" t="str">
        <f>IFERROR(VLOOKUP($A15,'Base TOTAL'!A:AJ,32,0), "-")</f>
        <v>A  INICIAR en DGV</v>
      </c>
    </row>
    <row r="16">
      <c r="A16" s="90" t="str">
        <f>IFERROR(__xludf.DUMMYFUNCTION("""COMPUTED_VALUE"""),"Colonia Italiana")</f>
        <v>Colonia Italiana</v>
      </c>
      <c r="B16" s="91" t="str">
        <f>IFERROR(VLOOKUP($A16,'Base TOTAL'!A:AJ,32,0), "-")</f>
        <v>COMPLETO en DGV</v>
      </c>
    </row>
    <row r="17">
      <c r="A17" s="92" t="str">
        <f>IFERROR(__xludf.DUMMYFUNCTION("""COMPUTED_VALUE"""),"Cruz Alta")</f>
        <v>Cruz Alta</v>
      </c>
      <c r="B17" s="91" t="str">
        <f>IFERROR(VLOOKUP($A17,'Base TOTAL'!A:AJ,32,0), "-")</f>
        <v>A  INICIAR en DGV</v>
      </c>
    </row>
    <row r="18">
      <c r="A18" s="92" t="str">
        <f>IFERROR(__xludf.DUMMYFUNCTION("""COMPUTED_VALUE"""),"General Baldissera")</f>
        <v>General Baldissera</v>
      </c>
      <c r="B18" s="91" t="str">
        <f>IFERROR(VLOOKUP($A18,'Base TOTAL'!A:AJ,32,0), "-")</f>
        <v>A  INICIAR en DGV</v>
      </c>
    </row>
    <row r="19">
      <c r="A19" s="92" t="str">
        <f>IFERROR(__xludf.DUMMYFUNCTION("""COMPUTED_VALUE"""),"General Roca")</f>
        <v>General Roca</v>
      </c>
      <c r="B19" s="91" t="str">
        <f>IFERROR(VLOOKUP($A19,'Base TOTAL'!A:AJ,32,0), "-")</f>
        <v>COMPLETO en DGV</v>
      </c>
    </row>
    <row r="20">
      <c r="A20" s="92" t="str">
        <f>IFERROR(__xludf.DUMMYFUNCTION("""COMPUTED_VALUE"""),"Saira")</f>
        <v>Saira</v>
      </c>
      <c r="B20" s="91" t="str">
        <f>IFERROR(VLOOKUP($A20,'Base TOTAL'!A:AJ,32,0), "-")</f>
        <v>A  INICIAR en DGV</v>
      </c>
    </row>
    <row r="21">
      <c r="A21" s="92"/>
      <c r="B21" s="91" t="str">
        <f>IFERROR(VLOOKUP($A21,'Base TOTAL'!A:AJ,32,0), "-")</f>
        <v>-</v>
      </c>
    </row>
    <row r="22">
      <c r="A22" s="92"/>
      <c r="B22" s="91" t="str">
        <f>IFERROR(VLOOKUP($A22,'Base TOTAL'!A:AJ,32,0), "-")</f>
        <v>-</v>
      </c>
    </row>
    <row r="23">
      <c r="A23" s="92"/>
      <c r="B23" s="91" t="str">
        <f>IFERROR(VLOOKUP($A23,'Base TOTAL'!A:AJ,32,0), "-")</f>
        <v>-</v>
      </c>
    </row>
    <row r="24">
      <c r="A24" s="92"/>
      <c r="B24" s="91" t="str">
        <f>IFERROR(VLOOKUP($A24,'Base TOTAL'!A:AJ,32,0), "-")</f>
        <v>-</v>
      </c>
    </row>
    <row r="25">
      <c r="A25" s="92"/>
      <c r="B25" s="91" t="str">
        <f>IFERROR(VLOOKUP($A25,'Base TOTAL'!A:AJ,32,0), "-")</f>
        <v>-</v>
      </c>
    </row>
    <row r="26">
      <c r="A26" s="92"/>
      <c r="B26" s="91" t="str">
        <f>IFERROR(VLOOKUP($A26,'Base TOTAL'!A:AJ,32,0), "-")</f>
        <v>-</v>
      </c>
    </row>
    <row r="27">
      <c r="A27" s="92"/>
      <c r="B27" s="91" t="str">
        <f>IFERROR(VLOOKUP($A27,'Base TOTAL'!A:AJ,32,0), "-")</f>
        <v>-</v>
      </c>
    </row>
    <row r="28">
      <c r="A28" s="92"/>
      <c r="B28" s="91" t="str">
        <f>IFERROR(VLOOKUP($A28,'Base TOTAL'!A:AJ,32,0), "-")</f>
        <v>-</v>
      </c>
    </row>
    <row r="29">
      <c r="A29" s="92"/>
      <c r="B29" s="91" t="str">
        <f>IFERROR(VLOOKUP($A29,'Base TOTAL'!A:AJ,32,0), "-")</f>
        <v>-</v>
      </c>
    </row>
    <row r="30">
      <c r="A30" s="92"/>
      <c r="B30" s="91" t="str">
        <f>IFERROR(VLOOKUP($A30,'Base TOTAL'!A:AJ,32,0), "-")</f>
        <v>-</v>
      </c>
    </row>
    <row r="31">
      <c r="A31" s="92"/>
      <c r="B31" s="91" t="str">
        <f>IFERROR(VLOOKUP($A31,'Base TOTAL'!A:AJ,32,0), "-")</f>
        <v>-</v>
      </c>
    </row>
    <row r="32">
      <c r="A32" s="92"/>
      <c r="B32" s="91" t="str">
        <f>IFERROR(VLOOKUP($A32,'Base TOTAL'!A:AJ,32,0), "-")</f>
        <v>-</v>
      </c>
    </row>
    <row r="33">
      <c r="A33" s="92"/>
      <c r="B33" s="91" t="str">
        <f>IFERROR(VLOOKUP($A33,'Base TOTAL'!A:AJ,32,0), "-")</f>
        <v>-</v>
      </c>
    </row>
    <row r="34">
      <c r="A34" s="92"/>
      <c r="B34" s="91" t="str">
        <f>IFERROR(VLOOKUP($A34,'Base TOTAL'!A:AJ,32,0), "-")</f>
        <v>-</v>
      </c>
    </row>
    <row r="35">
      <c r="A35" s="92"/>
      <c r="B35" s="91" t="str">
        <f>IFERROR(VLOOKUP($A35,'Base TOTAL'!A:AJ,32,0), "-")</f>
        <v>-</v>
      </c>
    </row>
    <row r="36">
      <c r="A36" s="92"/>
      <c r="B36" s="91" t="str">
        <f>IFERROR(VLOOKUP($A36,'Base TOTAL'!A:AJ,32,0), "-")</f>
        <v>-</v>
      </c>
    </row>
    <row r="37">
      <c r="A37" s="92"/>
      <c r="B37" s="91" t="str">
        <f>IFERROR(VLOOKUP($A37,'Base TOTAL'!A:AJ,32,0), "-")</f>
        <v>-</v>
      </c>
    </row>
    <row r="38">
      <c r="A38" s="92"/>
      <c r="B38" s="91" t="str">
        <f>IFERROR(VLOOKUP($A38,'Base TOTAL'!A:AJ,32,0), "-")</f>
        <v>-</v>
      </c>
    </row>
    <row r="39">
      <c r="A39" s="92"/>
      <c r="B39" s="91" t="str">
        <f>IFERROR(VLOOKUP($A39,'Base TOTAL'!A:AJ,32,0), "-")</f>
        <v>-</v>
      </c>
    </row>
    <row r="40">
      <c r="A40" s="92"/>
      <c r="B40" s="91" t="str">
        <f>IFERROR(VLOOKUP($A40,'Base TOTAL'!A:AJ,32,0), "-")</f>
        <v>-</v>
      </c>
    </row>
    <row r="41">
      <c r="A41" s="92"/>
      <c r="B41" s="91" t="str">
        <f>IFERROR(VLOOKUP($A41,'Base TOTAL'!A:AJ,32,0), "-")</f>
        <v>-</v>
      </c>
    </row>
    <row r="42">
      <c r="A42" s="92"/>
      <c r="B42" s="91" t="str">
        <f>IFERROR(VLOOKUP($A42,'Base TOTAL'!A:AJ,32,0), "-")</f>
        <v>-</v>
      </c>
    </row>
    <row r="43">
      <c r="A43" s="92"/>
      <c r="B43" s="91" t="str">
        <f>IFERROR(VLOOKUP($A43,'Base TOTAL'!A:AJ,32,0), "-")</f>
        <v>-</v>
      </c>
    </row>
    <row r="44">
      <c r="A44" s="92"/>
      <c r="B44" s="91" t="str">
        <f>IFERROR(VLOOKUP($A44,'Base TOTAL'!A:AJ,32,0), "-")</f>
        <v>-</v>
      </c>
    </row>
    <row r="45">
      <c r="A45" s="92"/>
      <c r="B45" s="91" t="str">
        <f>IFERROR(VLOOKUP($A45,'Base TOTAL'!A:AJ,32,0), "-")</f>
        <v>-</v>
      </c>
    </row>
    <row r="46">
      <c r="A46" s="92"/>
      <c r="B46" s="91" t="str">
        <f>IFERROR(VLOOKUP($A46,'Base TOTAL'!A:AJ,32,0), "-")</f>
        <v>-</v>
      </c>
    </row>
    <row r="47">
      <c r="A47" s="92"/>
      <c r="B47" s="91" t="str">
        <f>IFERROR(VLOOKUP($A47,'Base TOTAL'!A:AJ,32,0), "-")</f>
        <v>-</v>
      </c>
    </row>
    <row r="48">
      <c r="A48" s="92"/>
      <c r="B48" s="91" t="str">
        <f>IFERROR(VLOOKUP($A48,'Base TOTAL'!A:AJ,32,0), "-")</f>
        <v>-</v>
      </c>
    </row>
    <row r="49">
      <c r="A49" s="92"/>
      <c r="B49" s="91" t="str">
        <f>IFERROR(VLOOKUP($A49,'Base TOTAL'!A:AJ,32,0), "-")</f>
        <v>-</v>
      </c>
    </row>
    <row r="50">
      <c r="A50" s="92"/>
      <c r="B50" s="91" t="str">
        <f>IFERROR(VLOOKUP($A50,'Base TOTAL'!A:AJ,32,0), "-")</f>
        <v>-</v>
      </c>
    </row>
    <row r="51">
      <c r="A51" s="93" t="s">
        <v>49</v>
      </c>
      <c r="B51" s="94"/>
    </row>
  </sheetData>
  <dataValidations>
    <dataValidation type="list" allowBlank="1" showErrorMessage="1" sqref="B4">
      <formula1>'Base TOTAL'!$B$6:$B$318</formula1>
    </dataValidation>
  </dataValidations>
  <printOptions horizontalCentered="1"/>
  <pageMargins bottom="0.5118110236220472" footer="0.0" header="0.0" left="0.35433070866141736" right="0.5511811023622047" top="0.5118110236220472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47.29"/>
    <col customWidth="1" min="3" max="3" width="30.0"/>
  </cols>
  <sheetData>
    <row r="1">
      <c r="A1" s="95" t="s">
        <v>42</v>
      </c>
      <c r="B1" s="96"/>
    </row>
    <row r="2">
      <c r="A2" s="97" t="s">
        <v>43</v>
      </c>
      <c r="B2" s="98"/>
    </row>
    <row r="3">
      <c r="A3" s="77" t="s">
        <v>50</v>
      </c>
      <c r="B3" s="78">
        <f>TODAY()</f>
        <v>46216</v>
      </c>
    </row>
    <row r="4">
      <c r="A4" s="79" t="s">
        <v>2</v>
      </c>
      <c r="B4" s="80" t="s">
        <v>51</v>
      </c>
    </row>
    <row r="5">
      <c r="A5" s="79" t="s">
        <v>5</v>
      </c>
      <c r="B5" s="99" t="str">
        <f>IFERROR(VLOOKUP($B$4,'Base TOTAL'!A:AJ,2,0), "Sin dato")</f>
        <v>Cruz del Eje</v>
      </c>
    </row>
    <row r="6">
      <c r="A6" s="100" t="s">
        <v>47</v>
      </c>
      <c r="B6" s="101"/>
    </row>
    <row r="7">
      <c r="A7" s="84" t="s">
        <v>52</v>
      </c>
      <c r="B7" s="89" t="str">
        <f>IFERROR(VLOOKUP($B$4,'Base TOTAL'!A:AJ,3,0), "Sin dato")</f>
        <v>0423-079111/2026</v>
      </c>
    </row>
    <row r="8">
      <c r="A8" s="84" t="s">
        <v>48</v>
      </c>
      <c r="B8" s="102">
        <f>IFERROR(VLOOKUP($B$4,'Base TOTAL'!A:AJ,10,0), "Sin dato")</f>
        <v>50000000</v>
      </c>
    </row>
    <row r="9">
      <c r="A9" s="84" t="str">
        <f>'Base TOTAL'!K3</f>
        <v>Cordón Cuneta (ml)  </v>
      </c>
      <c r="B9" s="103">
        <v>440.0</v>
      </c>
    </row>
    <row r="10">
      <c r="A10" s="84" t="str">
        <f>'Base TOTAL'!L3</f>
        <v>Adoquinado (m2)</v>
      </c>
      <c r="B10" s="104" t="str">
        <f>IFERROR(VLOOKUP($B$4,'Base TOTAL'!A:AJ,12,0), "Sin dato")</f>
        <v/>
      </c>
    </row>
    <row r="11">
      <c r="A11" s="88" t="s">
        <v>53</v>
      </c>
      <c r="B11" s="103"/>
    </row>
    <row r="12">
      <c r="A12" s="90" t="s">
        <v>54</v>
      </c>
      <c r="B12" s="91" t="str">
        <f>IFERROR(VLOOKUP($B$4,'Base TOTAL'!A:AJ,13,0), "Sin dato")</f>
        <v>Sin Presentar</v>
      </c>
    </row>
    <row r="13">
      <c r="A13" s="90" t="s">
        <v>55</v>
      </c>
      <c r="B13" s="91" t="str">
        <f>IFERROR(VLOOKUP($B$4,'Base TOTAL'!A:AJ,14,0), "Sin dato")</f>
        <v>Sin Presentar</v>
      </c>
    </row>
    <row r="14">
      <c r="A14" s="90" t="s">
        <v>56</v>
      </c>
      <c r="B14" s="91" t="str">
        <f>IFERROR(VLOOKUP($B$4,'Base TOTAL'!A:AJ,15,0), "Sin dato")</f>
        <v>Sin Presentar</v>
      </c>
    </row>
    <row r="15">
      <c r="A15" s="90" t="s">
        <v>57</v>
      </c>
      <c r="B15" s="105" t="str">
        <f>IFERROR(VLOOKUP($B$4,'Base TOTAL'!A:AJ,16,0), "Sin dato")</f>
        <v>A corregir por M/C</v>
      </c>
    </row>
    <row r="16">
      <c r="A16" s="106" t="s">
        <v>21</v>
      </c>
      <c r="B16" s="107" t="str">
        <f>IFERROR(VLOOKUP($B$4,'Base TOTAL'!A:AJ,17,0), "Sin dato")</f>
        <v>A corregir por M/C</v>
      </c>
    </row>
    <row r="17">
      <c r="A17" s="106" t="s">
        <v>22</v>
      </c>
      <c r="B17" s="4" t="str">
        <f>IFERROR(VLOOKUP($B$4,'Base TOTAL'!A:AJ,18,0), "Sin dato")</f>
        <v>A corregir por M/C</v>
      </c>
    </row>
    <row r="18">
      <c r="A18" s="106" t="s">
        <v>23</v>
      </c>
      <c r="B18" s="4" t="str">
        <f>IFERROR(VLOOKUP($B$4,'Base TOTAL'!A:AJ,19,0), "Sin dato")</f>
        <v>A corregir por M/C</v>
      </c>
    </row>
    <row r="19">
      <c r="A19" s="106" t="s">
        <v>24</v>
      </c>
      <c r="B19" s="4" t="str">
        <f>IFERROR(VLOOKUP($B$4,'Base TOTAL'!A:AJ,20,0), "Sin dato")</f>
        <v>A corregir por M/C</v>
      </c>
    </row>
    <row r="20">
      <c r="A20" s="106" t="s">
        <v>25</v>
      </c>
      <c r="B20" s="4" t="str">
        <f>IFERROR(VLOOKUP($B$4,'Base TOTAL'!A:AJ,21,0), "Sin dato")</f>
        <v>A corregir por M/C</v>
      </c>
    </row>
    <row r="21">
      <c r="A21" s="106" t="s">
        <v>26</v>
      </c>
      <c r="B21" s="4" t="str">
        <f>IFERROR(VLOOKUP($B$4,'Base TOTAL'!A:AJ,22,0), "Sin dato")</f>
        <v>A corregir por M/C</v>
      </c>
    </row>
    <row r="22">
      <c r="A22" s="106" t="s">
        <v>27</v>
      </c>
      <c r="B22" s="4" t="str">
        <f>IFERROR(VLOOKUP($B$4,'Base TOTAL'!A:AJ,23,0), "Sin dato")</f>
        <v>A corregir por M/C</v>
      </c>
    </row>
    <row r="23">
      <c r="A23" s="106" t="s">
        <v>28</v>
      </c>
      <c r="B23" s="4" t="str">
        <f>IFERROR(VLOOKUP($B$4,'Base TOTAL'!A:AJ,24,0), "Sin dato")</f>
        <v>A corregir por M/C</v>
      </c>
    </row>
    <row r="24">
      <c r="A24" s="106" t="s">
        <v>29</v>
      </c>
      <c r="B24" s="4" t="str">
        <f>IFERROR(VLOOKUP($B$4,'Base TOTAL'!A:AJ,25,0), "Sin dato")</f>
        <v>A corregir por M/C</v>
      </c>
    </row>
    <row r="25">
      <c r="A25" s="106" t="s">
        <v>30</v>
      </c>
      <c r="B25" s="108" t="str">
        <f>IFERROR(VLOOKUP($B$4,'Base TOTAL'!A:AJ,26,0), "Sin dato")</f>
        <v>A corregir por M/C</v>
      </c>
    </row>
    <row r="26">
      <c r="A26" s="90" t="s">
        <v>58</v>
      </c>
      <c r="B26" s="109" t="str">
        <f>IFERROR(VLOOKUP($B$4,'Base TOTAL'!A:AJ,27,0), "Sin dato")</f>
        <v>Sin Presentar</v>
      </c>
    </row>
    <row r="27">
      <c r="A27" s="90" t="s">
        <v>59</v>
      </c>
      <c r="B27" s="91" t="str">
        <f>IFERROR(VLOOKUP($B$4,'Base TOTAL'!A:AJ,28,0), "Sin dato")</f>
        <v>Sin Presentar</v>
      </c>
    </row>
    <row r="28">
      <c r="A28" s="90" t="s">
        <v>60</v>
      </c>
      <c r="B28" s="91" t="str">
        <f>IFERROR(VLOOKUP($B$4,'Base TOTAL'!A:AJ,29,0), "Sin dato")</f>
        <v>Sin Presentar</v>
      </c>
    </row>
    <row r="29">
      <c r="A29" s="90" t="s">
        <v>61</v>
      </c>
      <c r="B29" s="91" t="str">
        <f>IFERROR(VLOOKUP($B$4,'Base TOTAL'!A:AJ,30,0), "Sin dato")</f>
        <v>Sin Presentar</v>
      </c>
    </row>
    <row r="30">
      <c r="A30" s="90" t="s">
        <v>62</v>
      </c>
      <c r="B30" s="91" t="str">
        <f>IFERROR(VLOOKUP($B$4,'Base TOTAL'!A:AJ,31,0), "Sin dato")</f>
        <v>Sin Presentar</v>
      </c>
    </row>
    <row r="31">
      <c r="A31" s="110"/>
      <c r="B31" s="89"/>
    </row>
    <row r="32">
      <c r="A32" s="111" t="str">
        <f>'Base TOTAL'!AG2</f>
        <v>OBSERVACIONES</v>
      </c>
      <c r="B32" s="112"/>
    </row>
    <row r="33">
      <c r="A33" s="113" t="str">
        <f>IFERROR(VLOOKUP($B$4,'Base TOTAL'!A:AJ,33,0), "Sin dato")</f>
        <v>18/6/26: Se envìa Instructivo de documentaciòn legal y tècnica a presentar por M-C. EL 29/04/26 SE LE ENVÍA LOS REQUISITOS, VA A ENVIAR DOCUMENTACIÓN
Completó el punto 4. Se le envió el 29/04/26 los restantes items para completar Expte.</v>
      </c>
      <c r="B33" s="114"/>
    </row>
    <row r="34">
      <c r="A34" s="110"/>
    </row>
    <row r="35">
      <c r="A35" s="115" t="s">
        <v>33</v>
      </c>
    </row>
    <row r="36">
      <c r="A36" s="116" t="str">
        <f>'Base TOTAL'!AH3</f>
        <v>FECHA</v>
      </c>
      <c r="B36" s="117" t="str">
        <f>'Base TOTAL'!AI3</f>
        <v>REPARTICIÓN</v>
      </c>
    </row>
    <row r="37">
      <c r="A37" s="118">
        <f>IFERROR(VLOOKUP($B$4,'Base TOTAL'!A:AJ,34,0), "Sin dato")</f>
        <v>46139</v>
      </c>
      <c r="B37" s="119" t="str">
        <f>IFERROR(VLOOKUP($B$4,'Base TOTAL'!A:AJ,35,0), "Sin dato")</f>
        <v>Técnica DGV</v>
      </c>
    </row>
    <row r="38">
      <c r="A38" s="120"/>
    </row>
    <row r="39">
      <c r="A39" s="121"/>
      <c r="B39" s="122"/>
    </row>
    <row r="40">
      <c r="A40" s="123"/>
    </row>
  </sheetData>
  <mergeCells count="4">
    <mergeCell ref="A32:B32"/>
    <mergeCell ref="A33:B33"/>
    <mergeCell ref="A35:B35"/>
    <mergeCell ref="A38:B38"/>
  </mergeCells>
  <dataValidations>
    <dataValidation type="list" allowBlank="1" showErrorMessage="1" sqref="B4">
      <formula1>'Base TOTAL'!$A$6:$A$318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4.43"/>
    <col customWidth="1" min="3" max="3" width="38.71"/>
    <col customWidth="1" min="4" max="4" width="11.29"/>
    <col customWidth="1" min="5" max="5" width="13.0"/>
    <col customWidth="1" min="6" max="6" width="38.71"/>
    <col customWidth="1" min="7" max="7" width="32.29"/>
  </cols>
  <sheetData>
    <row r="1">
      <c r="A1" s="124" t="s">
        <v>42</v>
      </c>
      <c r="B1" s="2"/>
      <c r="C1" s="2"/>
      <c r="D1" s="125"/>
      <c r="E1" s="125"/>
      <c r="F1" s="126"/>
    </row>
    <row r="2">
      <c r="A2" s="127" t="s">
        <v>43</v>
      </c>
      <c r="B2" s="128"/>
      <c r="C2" s="129"/>
      <c r="D2" s="129"/>
      <c r="E2" s="129"/>
      <c r="F2" s="130"/>
    </row>
    <row r="3">
      <c r="A3" s="131" t="s">
        <v>63</v>
      </c>
      <c r="B3" s="132">
        <f>TODAY()</f>
        <v>46216</v>
      </c>
      <c r="C3" s="133"/>
      <c r="D3" s="133"/>
      <c r="E3" s="133"/>
      <c r="F3" s="133"/>
    </row>
    <row r="4" ht="22.5" customHeight="1">
      <c r="A4" s="134" t="str">
        <f>'Base TOTAL'!AF3</f>
        <v>ESTADO DEL EXPEDIENTE DE LA LOCALIDAD</v>
      </c>
      <c r="B4" s="135"/>
      <c r="C4" s="136" t="s">
        <v>64</v>
      </c>
      <c r="D4" s="135"/>
      <c r="E4" s="135"/>
      <c r="F4" s="137"/>
    </row>
    <row r="5">
      <c r="A5" s="138"/>
      <c r="C5" s="139">
        <f>COUNTA(C7:C402)</f>
        <v>396</v>
      </c>
      <c r="D5" s="140" t="str">
        <f>'Base TOTAL'!AH2</f>
        <v>EXPEDIENTE RADICADO EN:</v>
      </c>
      <c r="F5" s="139"/>
    </row>
    <row r="6">
      <c r="A6" s="141" t="s">
        <v>65</v>
      </c>
      <c r="B6" s="141" t="s">
        <v>66</v>
      </c>
      <c r="C6" s="142"/>
      <c r="D6" s="143" t="str">
        <f>'Base TOTAL'!AH3</f>
        <v>FECHA</v>
      </c>
      <c r="E6" s="143" t="str">
        <f>'Base TOTAL'!AI3</f>
        <v>REPARTICIÓN</v>
      </c>
      <c r="F6" s="133"/>
    </row>
    <row r="7" ht="30.0" customHeight="1">
      <c r="A7" s="144" t="str">
        <f>IFERROR(__xludf.DUMMYFUNCTION("SORT(FILTER('Base TOTAL'!A:A, 'Base TOTAL'!AF:AF = C4))"),"Camilo Aldao")</f>
        <v>Camilo Aldao</v>
      </c>
      <c r="B7" s="145" t="str">
        <f>IFERROR(VLOOKUP($A7,'Base TOTAL'!A:AJ,2,0), "-")</f>
        <v>Marcos Juárez</v>
      </c>
      <c r="C7" s="145" t="str">
        <f>IFERROR(VLOOKUP($A7,'Base TOTAL'!A:AJ,33,0), "-")</f>
        <v>13-07-2026  Se recibio doc. completa ordenada en 3 PDF                                                                                                                      13-07-2026  Avisa la arqta. Gise, que enviò toda la doc. por mail. NO llego, se dio aviso para su re envio                                                                      08-07-2026  Se solicita al arq. la Present. de toda la doc. corregida completa s/ intructivo (Como iniciar el tram.)                                                                                                                                                                                       07-07-2026  Se recibe doc. para completar pto 9                                03/7/2026: Se solicita completen el acta de aceptación del cargo del intendente.
30/6/2026: Expte. PASA A LEGALES 
29/6/2026: Documentaciòn en orden para anexar al Expte. y dar curso. 
- 05-06-2026 - Pto. 4 ( Falta cronograma de avance de obra + En planimetria gral. colocar las Geo referencias de los cuatro sectores de obra)                                                                                                                            Se solicitan nuevos cambios. COMPLETÓ DOCUMENTACIÓN 01/06/26 - Se pasan las actuaciones a arq. Carlos Viana para enviar a Jurídico
Se envían el 26/05/26, nuevas correcciones, se recibe nueva documentación técnica el 29/05/26. 
07-07-2026  Se recibe doc. Pto. 9 p/ completar exp.                                                                                                                                El 26/05/26 se envió correcciones a la parte técnica. Documentación Corregida. Sube a Jurídico
El 19/05/26 se recibe documentación corregida para su análisis. 
El 11/5/26 se logra comunicación con municipalidad. Se pasa por whatsapp la documentación modelo. </v>
      </c>
      <c r="D7" s="146">
        <f>IFERROR(VLOOKUP($A7,'Base TOTAL'!A:AJ,34,0), "-")</f>
        <v>46205</v>
      </c>
      <c r="E7" s="147" t="str">
        <f>IFERROR(VLOOKUP($A7,'Base TOTAL'!A:AJ,35,0), "-")</f>
        <v>Jurídico DGV</v>
      </c>
      <c r="F7" s="133"/>
    </row>
    <row r="8" ht="30.0" customHeight="1">
      <c r="A8" s="144" t="str">
        <f>IFERROR(__xludf.DUMMYFUNCTION("""COMPUTED_VALUE"""),"Colonia Italiana")</f>
        <v>Colonia Italiana</v>
      </c>
      <c r="B8" s="145" t="str">
        <f>IFERROR(VLOOKUP($A8,'Base TOTAL'!A:AJ,2,0), "-")</f>
        <v>Marcos Juárez</v>
      </c>
      <c r="C8" s="145" t="str">
        <f>IFERROR(VLOOKUP($A8,'Base TOTAL'!A:AJ,33,0), "-")</f>
        <v>30/6/2026: Expte. PASA A LEGALES 
29/6/2026: Documentaciòn en orden para anexar al Expte. y dar curso. 
29/6/2026: Documentaciòn en orden para anexar al Expte. y dar curso. 
19/6/26: Deben completar y corregir.
18/06/2026 enviaron memoria y doc tecnica corregida segun obervaciones. 
P- 17-06-2026  Se envìan correg/completar: ( firma y sello del prof. en cada hoja grafic.+ falta  perfil transversal de calzada aunque no tenga paq. estr. determinando mat. de relleno)  + pto.6 no se enviò imagen, del CBU el enviado tiene imagen parcial cortada)                                                                                                                                                                     P- 11-06-2026 TEC.:( Faltan Memoria + Planim. con cotas + todos los detalles cortes + Cronogr. de Avances en 6 mese + todo sellado y firm x profes.)              
11/6/26: Se solicita nuevamente la documentaciòn tècnica faltante. La arq. completará.  P- 08-06-2026  - Pto. Nª 2 Falta Sello y firma del Tesorero o esta borroza Secr. tesor.  + Pto. Nª 4 ( Faltan cotas grales de cada manz. en la planialtim. + cortes transv. + detalles + Planilla de avances cronograma de obra + Ubica y Memoria)                                          
El 30/04/26 vino la intendente Alejandra Ita a consultar por el Programa. Pregunta por el descuento por copa posterior.</v>
      </c>
      <c r="D8" s="146">
        <f>IFERROR(VLOOKUP($A8,'Base TOTAL'!A:AJ,34,0), "-")</f>
        <v>46205</v>
      </c>
      <c r="E8" s="147" t="str">
        <f>IFERROR(VLOOKUP($A8,'Base TOTAL'!A:AJ,35,0), "-")</f>
        <v>Jurídico DGV</v>
      </c>
      <c r="F8" s="133"/>
    </row>
    <row r="9" ht="30.0" customHeight="1">
      <c r="A9" s="144" t="str">
        <f>IFERROR(__xludf.DUMMYFUNCTION("""COMPUTED_VALUE"""),"General Roca")</f>
        <v>General Roca</v>
      </c>
      <c r="B9" s="145" t="str">
        <f>IFERROR(VLOOKUP($A9,'Base TOTAL'!A:AJ,2,0), "-")</f>
        <v>Marcos Juárez</v>
      </c>
      <c r="C9" s="145" t="str">
        <f>IFERROR(VLOOKUP($A9,'Base TOTAL'!A:AJ,33,0), "-")</f>
        <v>Completó documentación y se elevó a jurídica para su estudio. COMPLETO. CON V°B° DE TÉCNICA.</v>
      </c>
      <c r="D9" s="146">
        <f>IFERROR(VLOOKUP($A9,'Base TOTAL'!A:AJ,34,0), "-")</f>
        <v>46205</v>
      </c>
      <c r="E9" s="147" t="str">
        <f>IFERROR(VLOOKUP($A9,'Base TOTAL'!A:AJ,35,0), "-")</f>
        <v>Tribunal de Cuentas</v>
      </c>
      <c r="F9" s="133"/>
    </row>
    <row r="10" ht="30.0" customHeight="1">
      <c r="A10" s="144" t="str">
        <f>IFERROR(__xludf.DUMMYFUNCTION("""COMPUTED_VALUE"""),"La Paz")</f>
        <v>La Paz</v>
      </c>
      <c r="B10" s="145" t="str">
        <f>IFERROR(VLOOKUP($A10,'Base TOTAL'!A:AJ,2,0), "-")</f>
        <v>San Javier</v>
      </c>
      <c r="C10" s="145" t="str">
        <f>IFERROR(VLOOKUP($A10,'Base TOTAL'!A:AJ,33,0), "-")</f>
        <v> 08-07-2026  Se solicita al arq. la Present. de toda la doc. corregida completa s/ intructivo (Como iniciar el tram.)  y Se resaltan completar detalles en esta present. ( Pto 2 que lleve ademas las firmas y sellos del tesorero e intend. +   en Ptol 3 En la declar. Jurada si es el domic. real esquina sacar el S/N si no colocar las georef del mismo + en la Memoria Pto 3 plazo colocar s/ instruc. )                                                                                                                  30/6/2026: Expte. PASA A LEGALES 
29/6/2026: Documentaciòn en orden para anexar al Expte. y dar curso.  /// 23-06-2026 - Completo toda la doc. ( se recibe detalle de baden)                                                                                                                          22-06-2026  - Solo falta detalle de baden se lo pedimos y le enviamos modelo al arq. Adrian  RTA.: Enviado                                                                                                              19/6/26:  Se solicita al arq. que presenta la documentaciòn a la mayor brevedad. 12-06-2026 -- Se solicita  al arq. Adrian actualiz. correcc.    -RTAS.:                                                                                                                11-06-2026  TEC.: ( solo falta det. baden ancho + paquete estruct. de calz + Geo ref. en Pl.gral)                                                                                  04-06-2026 -  Se  tilda al Pto. Nª 4 (para que se modifique la unidad del cordon cun. a ml en el CM)                                                                                                                                                                  EL 28/04/26 SE LE ENVÍA LOS REQUISITOS, VA A ENVIAR DOCUMENTACIÓN           </v>
      </c>
      <c r="D10" s="146">
        <f>IFERROR(VLOOKUP($A10,'Base TOTAL'!A:AJ,34,0), "-")</f>
        <v>46205</v>
      </c>
      <c r="E10" s="147" t="str">
        <f>IFERROR(VLOOKUP($A10,'Base TOTAL'!A:AJ,35,0), "-")</f>
        <v>Jurídico DGV</v>
      </c>
      <c r="F10" s="133"/>
    </row>
    <row r="11" ht="30.0" customHeight="1">
      <c r="A11" s="144" t="str">
        <f>IFERROR(__xludf.DUMMYFUNCTION("""COMPUTED_VALUE"""),"La Población")</f>
        <v>La Población</v>
      </c>
      <c r="B11" s="145" t="str">
        <f>IFERROR(VLOOKUP($A11,'Base TOTAL'!A:AJ,2,0), "-")</f>
        <v>San Javier</v>
      </c>
      <c r="C11" s="145" t="str">
        <f>IFERROR(VLOOKUP($A11,'Base TOTAL'!A:AJ,33,0), "-")</f>
        <v>08-07-2026  Se solicita al arq. la Present. de toda la doc. corregida completa s/ intructivo (Como iniciar el tram.)                                                                              03-07-2026  Se reciben correcciones                                                                                                                                         03/7/2026: Se solicita al arq. corregir las observaciones (Faltan Georeferencias)
2026-07-01  Se solicito al arq. el complet. de geo ref en nota 3 y la firma del intend. en nota de ampliac. de doc. de georef.                                                                  2026-06-30 Se recibe modificacion  parrafo Nota 5 solicitado al arq. --EXP. COMPLETO-                                                                                                                                                                                                                    2026-06-30  Se recibe envio de Geo ref  y se solicita modif. parrafo en nota 5                                                                                                                              29/6/2026: Se reitera pedido de Geo-Ref. en Planim. Gral.
8/6/26 PASA DE AREA TECNICA A LEGALES // S-3-6-2026  Se observò  desde Jurìdica falta en Punto Nª2 (son 3 firmas y falta..+ monto en la parte escrita)                                                       3/6/2026 Se envió documentacion completa digital por email y lo recibiò Jurídica.                                               COMPLETÓ documentación. Subió a Jurídico. Está en la Privada desde el 28/05/26
EL 20/05/26 SE APRUEBA LA PARTE TÉCNICA. SE SUBE A JURÍDICO PARA SU PROSECUCIÓN.
EL 20/04/2026 LA COMUNA ENVÍA DOCUMENTACIÓN. FALTA INFO TÉCNICA. SE SOLICITA COMPLETAR LA MISMA. 
EL 14/04/26 SE CONTACTÓ AL PRESIDENTE COMUNAL - </v>
      </c>
      <c r="D11" s="146">
        <f>IFERROR(VLOOKUP($A11,'Base TOTAL'!A:AJ,34,0), "-")</f>
        <v>46199</v>
      </c>
      <c r="E11" s="147" t="str">
        <f>IFERROR(VLOOKUP($A11,'Base TOTAL'!A:AJ,35,0), "-")</f>
        <v>Técnica DGV</v>
      </c>
      <c r="F11" s="133"/>
    </row>
    <row r="12" ht="30.0" customHeight="1">
      <c r="A12" s="144" t="str">
        <f>IFERROR(__xludf.DUMMYFUNCTION("""COMPUTED_VALUE"""),"Los Hornillos")</f>
        <v>Los Hornillos</v>
      </c>
      <c r="B12" s="145" t="str">
        <f>IFERROR(VLOOKUP($A12,'Base TOTAL'!A:AJ,2,0), "-")</f>
        <v>San Javier</v>
      </c>
      <c r="C12" s="145" t="str">
        <f>IFERROR(VLOOKUP($A12,'Base TOTAL'!A:AJ,33,0), "-")</f>
        <v>8/6/26 PASA DE AREA TECNICA A LEGALES // P- 04-06-2026 -  Se  tilda al Pto. Nª 4 (para que se modifique la unidad del cordon cun. a ml en el Comp Metrico)                                                                                                                                                                  EL 28/04/26 SE LE ENVÍA LOS REQUISITOS, VA A ENVIAR DOCUMENTACIÓNP-                                                                                                                         3/6/2026 Se envió documentacion completa digital por email y lo recibiò Jurídica.                                            EN CONDICIONES. EN LA PRIVADA DESDE 28/05/26  
El 26/05/2026 se envía toda la Documentación completa con las correcciones ya corregidas por parte de la Comuna. 
El 26/5/26 se envía a Jurídico todo completo 
El 20/05/26 se aprueba la parte técnica, sube a jurídico. 
El 7/5/26 se envía escaneo de docum. Técnica para corregir, también se envía modelo de avance de obra por 6 meses. El 7/5/26 se solicitó corregir el punto 4 (doc. técnica) y se solicita cambio y corrección de Nota inicial. 
Presentó el 30/04/26 toda la documentación. El cómputo y presupuesto se pasa en $240.991-Se pide que se corrija. </v>
      </c>
      <c r="D12" s="146">
        <f>IFERROR(VLOOKUP($A12,'Base TOTAL'!A:AJ,34,0), "-")</f>
        <v>46199</v>
      </c>
      <c r="E12" s="147" t="str">
        <f>IFERROR(VLOOKUP($A12,'Base TOTAL'!A:AJ,35,0), "-")</f>
        <v>Tribunal de Cuentas</v>
      </c>
      <c r="F12" s="133"/>
    </row>
    <row r="13" ht="30.0" customHeight="1">
      <c r="A13" s="144" t="str">
        <f>IFERROR(__xludf.DUMMYFUNCTION("""COMPUTED_VALUE"""),"San Javier y Yacanto")</f>
        <v>San Javier y Yacanto</v>
      </c>
      <c r="B13" s="145" t="str">
        <f>IFERROR(VLOOKUP($A13,'Base TOTAL'!A:AJ,2,0), "-")</f>
        <v>San Javier</v>
      </c>
      <c r="C13" s="145" t="str">
        <f>IFERROR(VLOOKUP($A13,'Base TOTAL'!A:AJ,33,0), "-")</f>
        <v>03/7/2026: Se solicita al arq. y por Email municipio,  corregir las observaciones (Faltan Georeferencias)
01-07-2026 - Se solicita al arq. Las Geo-Referenc. y la modicific. de la Nota Pto. 5 sacar ante ult. parrafo.                                                                                                                                                                                         9/6/26 PASA DE AREA TECNICA A LEGALES.                                                                                                                                        -04-06-2026  -(En Pto. 1 Nota Financ sacar la expres. vereda peinada y colocar tambien medida del cordòn en ml  + en el Pto. 4 en el Comp. Metr. poner la medida del cordòn cunet. en ml)                                                                                                                                     3/6/2026 Se envió documentacion completa digital por email y fue recibida por Jurídica.
COMPLETÓ documentación. Subió a Jurídico. Está en la Privada desde el 28/05/26
El 05/05/26 presentó la documentación, se exede en el montoasignado de $200.000.000 en $304.840 (se lo llama para que cambie)
EL 16/04/26 VINO PERSONALMENTE EL INTENDENTE, MOSTRANDO INTERÉS. 
EL 14/04/26 SE CONTACTÓ AL INTENDENTE. </v>
      </c>
      <c r="D13" s="146">
        <f>IFERROR(VLOOKUP($A13,'Base TOTAL'!A:AJ,34,0), "-")</f>
        <v>46203</v>
      </c>
      <c r="E13" s="147" t="str">
        <f>IFERROR(VLOOKUP($A13,'Base TOTAL'!A:AJ,35,0), "-")</f>
        <v>Técnica DGV</v>
      </c>
      <c r="F13" s="133"/>
    </row>
    <row r="14" ht="30.0" customHeight="1">
      <c r="A14" s="144" t="str">
        <f>IFERROR(__xludf.DUMMYFUNCTION("""COMPUTED_VALUE"""),"Tuclame")</f>
        <v>Tuclame</v>
      </c>
      <c r="B14" s="145" t="str">
        <f>IFERROR(VLOOKUP($A14,'Base TOTAL'!A:AJ,2,0), "-")</f>
        <v>Cruz del Eje</v>
      </c>
      <c r="C14" s="145" t="str">
        <f>IFERROR(VLOOKUP($A14,'Base TOTAL'!A:AJ,33,0), "-")</f>
        <v>COMPLETÓ documentación. Subió a Jurídico Con V°B°. EN LA PRIVADA DESDE 19/05/26
ENVIÓ LA DOCUMENTACIÓN. ESTÁS COMPLETA, SÓLO DEBE CORREGIR CRONOGRAMA DE INVERSIONES. COMPLETO. CON V°B° DE TÉCNICA</v>
      </c>
      <c r="D14" s="146">
        <f>IFERROR(VLOOKUP($A14,'Base TOTAL'!A:AJ,34,0), "-")</f>
        <v>46205</v>
      </c>
      <c r="E14" s="147" t="str">
        <f>IFERROR(VLOOKUP($A14,'Base TOTAL'!A:AJ,35,0), "-")</f>
        <v>Tribunal de Cuentas</v>
      </c>
      <c r="F14" s="133"/>
    </row>
    <row r="15" ht="30.0" customHeight="1">
      <c r="A15" s="144" t="str">
        <f>IFERROR(__xludf.DUMMYFUNCTION("""COMPUTED_VALUE"""),"Villa Valeria")</f>
        <v>Villa Valeria</v>
      </c>
      <c r="B15" s="145" t="str">
        <f>IFERROR(VLOOKUP($A15,'Base TOTAL'!A:AJ,2,0), "-")</f>
        <v>General Roca</v>
      </c>
      <c r="C15" s="145" t="str">
        <f>IFERROR(VLOOKUP($A15,'Base TOTAL'!A:AJ,33,0), "-")</f>
        <v>03/7/2026: PASO A LEGALES 10/6/2026
COMPLETÓ documentación. Subió a Jurídico Con V°B°. ARCHIVADO EL 13/05/26
El 12/5/26 se le envía "devolución" con correcciones de la documentación técnica presentada. COMPLETO. PASADO CON V°B° DE TÉCNICA.
EL 30/04/26, EL INTENDENTE ENVÍA DOCUMENTACIÓN, QUE ESTÁ SIENDO ANALIZADA. DEBE COMPLETAR PUNTO 4, DE DOC. TÉCN. </v>
      </c>
      <c r="D15" s="146" t="str">
        <f>IFERROR(VLOOKUP($A15,'Base TOTAL'!A:AJ,34,0), "-")</f>
        <v>02/072026</v>
      </c>
      <c r="E15" s="147" t="str">
        <f>IFERROR(VLOOKUP($A15,'Base TOTAL'!A:AJ,35,0), "-")</f>
        <v>Tribunal de Cuentas</v>
      </c>
      <c r="F15" s="133"/>
    </row>
    <row r="16" ht="30.0" customHeight="1">
      <c r="A16" s="144"/>
      <c r="B16" s="145" t="str">
        <f>IFERROR(VLOOKUP($A16,'Base TOTAL'!A:AJ,2,0), "-")</f>
        <v>-</v>
      </c>
      <c r="C16" s="145" t="str">
        <f>IFERROR(VLOOKUP($A16,'Base TOTAL'!A:AJ,33,0), "-")</f>
        <v>-</v>
      </c>
      <c r="D16" s="146" t="str">
        <f>IFERROR(VLOOKUP($A16,'Base TOTAL'!A:AJ,34,0), "-")</f>
        <v>-</v>
      </c>
      <c r="E16" s="147" t="str">
        <f>IFERROR(VLOOKUP($A16,'Base TOTAL'!A:AJ,35,0), "-")</f>
        <v>-</v>
      </c>
      <c r="F16" s="133"/>
    </row>
    <row r="17" ht="30.0" customHeight="1">
      <c r="A17" s="144"/>
      <c r="B17" s="145" t="str">
        <f>IFERROR(VLOOKUP($A17,'Base TOTAL'!A:AJ,2,0), "-")</f>
        <v>-</v>
      </c>
      <c r="C17" s="145" t="str">
        <f>IFERROR(VLOOKUP($A17,'Base TOTAL'!A:AJ,33,0), "-")</f>
        <v>-</v>
      </c>
      <c r="D17" s="146" t="str">
        <f>IFERROR(VLOOKUP($A17,'Base TOTAL'!A:AJ,34,0), "-")</f>
        <v>-</v>
      </c>
      <c r="E17" s="147" t="str">
        <f>IFERROR(VLOOKUP($A17,'Base TOTAL'!A:AJ,35,0), "-")</f>
        <v>-</v>
      </c>
      <c r="F17" s="133"/>
    </row>
    <row r="18" ht="30.0" customHeight="1">
      <c r="A18" s="144"/>
      <c r="B18" s="145" t="str">
        <f>IFERROR(VLOOKUP($A18,'Base TOTAL'!A:AJ,2,0), "-")</f>
        <v>-</v>
      </c>
      <c r="C18" s="145" t="str">
        <f>IFERROR(VLOOKUP($A18,'Base TOTAL'!A:AJ,33,0), "-")</f>
        <v>-</v>
      </c>
      <c r="D18" s="146" t="str">
        <f>IFERROR(VLOOKUP($A18,'Base TOTAL'!A:AJ,34,0), "-")</f>
        <v>-</v>
      </c>
      <c r="E18" s="147" t="str">
        <f>IFERROR(VLOOKUP($A18,'Base TOTAL'!A:AJ,35,0), "-")</f>
        <v>-</v>
      </c>
      <c r="F18" s="133"/>
    </row>
    <row r="19" ht="30.0" customHeight="1">
      <c r="A19" s="144"/>
      <c r="B19" s="145" t="str">
        <f>IFERROR(VLOOKUP($A19,'Base TOTAL'!A:AJ,2,0), "-")</f>
        <v>-</v>
      </c>
      <c r="C19" s="145" t="str">
        <f>IFERROR(VLOOKUP($A19,'Base TOTAL'!A:AJ,33,0), "-")</f>
        <v>-</v>
      </c>
      <c r="D19" s="146" t="str">
        <f>IFERROR(VLOOKUP($A19,'Base TOTAL'!A:AJ,34,0), "-")</f>
        <v>-</v>
      </c>
      <c r="E19" s="147" t="str">
        <f>IFERROR(VLOOKUP($A19,'Base TOTAL'!A:AJ,35,0), "-")</f>
        <v>-</v>
      </c>
      <c r="F19" s="133"/>
    </row>
    <row r="20" ht="30.0" customHeight="1">
      <c r="A20" s="144"/>
      <c r="B20" s="145" t="str">
        <f>IFERROR(VLOOKUP($A20,'Base TOTAL'!A:AJ,2,0), "-")</f>
        <v>-</v>
      </c>
      <c r="C20" s="145" t="str">
        <f>IFERROR(VLOOKUP($A20,'Base TOTAL'!A:AJ,33,0), "-")</f>
        <v>-</v>
      </c>
      <c r="D20" s="146" t="str">
        <f>IFERROR(VLOOKUP($A20,'Base TOTAL'!A:AJ,34,0), "-")</f>
        <v>-</v>
      </c>
      <c r="E20" s="147" t="str">
        <f>IFERROR(VLOOKUP($A20,'Base TOTAL'!A:AJ,35,0), "-")</f>
        <v>-</v>
      </c>
      <c r="F20" s="133"/>
    </row>
    <row r="21" ht="30.0" customHeight="1">
      <c r="A21" s="144"/>
      <c r="B21" s="145" t="str">
        <f>IFERROR(VLOOKUP($A21,'Base TOTAL'!A:AJ,2,0), "-")</f>
        <v>-</v>
      </c>
      <c r="C21" s="145" t="str">
        <f>IFERROR(VLOOKUP($A21,'Base TOTAL'!A:AJ,33,0), "-")</f>
        <v>-</v>
      </c>
      <c r="D21" s="146" t="str">
        <f>IFERROR(VLOOKUP($A21,'Base TOTAL'!A:AJ,34,0), "-")</f>
        <v>-</v>
      </c>
      <c r="E21" s="147" t="str">
        <f>IFERROR(VLOOKUP($A21,'Base TOTAL'!A:AJ,35,0), "-")</f>
        <v>-</v>
      </c>
      <c r="F21" s="133"/>
    </row>
    <row r="22" ht="30.0" customHeight="1">
      <c r="A22" s="144"/>
      <c r="B22" s="145" t="str">
        <f>IFERROR(VLOOKUP($A22,'Base TOTAL'!A:AJ,2,0), "-")</f>
        <v>-</v>
      </c>
      <c r="C22" s="145" t="str">
        <f>IFERROR(VLOOKUP($A22,'Base TOTAL'!A:AJ,33,0), "-")</f>
        <v>-</v>
      </c>
      <c r="D22" s="146" t="str">
        <f>IFERROR(VLOOKUP($A22,'Base TOTAL'!A:AJ,34,0), "-")</f>
        <v>-</v>
      </c>
      <c r="E22" s="147" t="str">
        <f>IFERROR(VLOOKUP($A22,'Base TOTAL'!A:AJ,35,0), "-")</f>
        <v>-</v>
      </c>
      <c r="F22" s="133"/>
    </row>
    <row r="23" ht="30.0" customHeight="1">
      <c r="A23" s="144"/>
      <c r="B23" s="145" t="str">
        <f>IFERROR(VLOOKUP($A23,'Base TOTAL'!A:AJ,2,0), "-")</f>
        <v>-</v>
      </c>
      <c r="C23" s="145" t="str">
        <f>IFERROR(VLOOKUP($A23,'Base TOTAL'!A:AJ,33,0), "-")</f>
        <v>-</v>
      </c>
      <c r="D23" s="146" t="str">
        <f>IFERROR(VLOOKUP($A23,'Base TOTAL'!A:AJ,34,0), "-")</f>
        <v>-</v>
      </c>
      <c r="E23" s="147" t="str">
        <f>IFERROR(VLOOKUP($A23,'Base TOTAL'!A:AJ,35,0), "-")</f>
        <v>-</v>
      </c>
      <c r="F23" s="133"/>
    </row>
    <row r="24" ht="30.0" customHeight="1">
      <c r="A24" s="144"/>
      <c r="B24" s="145" t="str">
        <f>IFERROR(VLOOKUP($A24,'Base TOTAL'!A:AJ,2,0), "-")</f>
        <v>-</v>
      </c>
      <c r="C24" s="145" t="str">
        <f>IFERROR(VLOOKUP($A24,'Base TOTAL'!A:AJ,33,0), "-")</f>
        <v>-</v>
      </c>
      <c r="D24" s="146" t="str">
        <f>IFERROR(VLOOKUP($A24,'Base TOTAL'!A:AJ,34,0), "-")</f>
        <v>-</v>
      </c>
      <c r="E24" s="147" t="str">
        <f>IFERROR(VLOOKUP($A24,'Base TOTAL'!A:AJ,35,0), "-")</f>
        <v>-</v>
      </c>
      <c r="F24" s="133"/>
    </row>
    <row r="25" ht="30.0" customHeight="1">
      <c r="A25" s="144"/>
      <c r="B25" s="145" t="str">
        <f>IFERROR(VLOOKUP($A25,'Base TOTAL'!A:AJ,2,0), "-")</f>
        <v>-</v>
      </c>
      <c r="C25" s="145" t="str">
        <f>IFERROR(VLOOKUP($A25,'Base TOTAL'!A:AJ,33,0), "-")</f>
        <v>-</v>
      </c>
      <c r="D25" s="146" t="str">
        <f>IFERROR(VLOOKUP($A25,'Base TOTAL'!A:AJ,34,0), "-")</f>
        <v>-</v>
      </c>
      <c r="E25" s="147" t="str">
        <f>IFERROR(VLOOKUP($A25,'Base TOTAL'!A:AJ,35,0), "-")</f>
        <v>-</v>
      </c>
      <c r="F25" s="133"/>
    </row>
    <row r="26" ht="30.0" customHeight="1">
      <c r="A26" s="144"/>
      <c r="B26" s="145" t="str">
        <f>IFERROR(VLOOKUP($A26,'Base TOTAL'!A:AJ,2,0), "-")</f>
        <v>-</v>
      </c>
      <c r="C26" s="145" t="str">
        <f>IFERROR(VLOOKUP($A26,'Base TOTAL'!A:AJ,33,0), "-")</f>
        <v>-</v>
      </c>
      <c r="D26" s="146" t="str">
        <f>IFERROR(VLOOKUP($A26,'Base TOTAL'!A:AJ,34,0), "-")</f>
        <v>-</v>
      </c>
      <c r="E26" s="147" t="str">
        <f>IFERROR(VLOOKUP($A26,'Base TOTAL'!A:AJ,35,0), "-")</f>
        <v>-</v>
      </c>
      <c r="F26" s="133"/>
    </row>
    <row r="27" ht="30.0" customHeight="1">
      <c r="A27" s="144"/>
      <c r="B27" s="145" t="str">
        <f>IFERROR(VLOOKUP($A27,'Base TOTAL'!A:AJ,2,0), "-")</f>
        <v>-</v>
      </c>
      <c r="C27" s="145" t="str">
        <f>IFERROR(VLOOKUP($A27,'Base TOTAL'!A:AJ,33,0), "-")</f>
        <v>-</v>
      </c>
      <c r="D27" s="146" t="str">
        <f>IFERROR(VLOOKUP($A27,'Base TOTAL'!A:AJ,34,0), "-")</f>
        <v>-</v>
      </c>
      <c r="E27" s="147" t="str">
        <f>IFERROR(VLOOKUP($A27,'Base TOTAL'!A:AJ,35,0), "-")</f>
        <v>-</v>
      </c>
      <c r="F27" s="133"/>
    </row>
    <row r="28" ht="30.0" customHeight="1">
      <c r="A28" s="144"/>
      <c r="B28" s="145" t="str">
        <f>IFERROR(VLOOKUP($A28,'Base TOTAL'!A:AJ,2,0), "-")</f>
        <v>-</v>
      </c>
      <c r="C28" s="145" t="str">
        <f>IFERROR(VLOOKUP($A28,'Base TOTAL'!A:AJ,33,0), "-")</f>
        <v>-</v>
      </c>
      <c r="D28" s="146" t="str">
        <f>IFERROR(VLOOKUP($A28,'Base TOTAL'!A:AJ,34,0), "-")</f>
        <v>-</v>
      </c>
      <c r="E28" s="147" t="str">
        <f>IFERROR(VLOOKUP($A28,'Base TOTAL'!A:AJ,35,0), "-")</f>
        <v>-</v>
      </c>
      <c r="F28" s="133"/>
    </row>
    <row r="29" ht="30.0" customHeight="1">
      <c r="A29" s="144"/>
      <c r="B29" s="145" t="str">
        <f>IFERROR(VLOOKUP($A29,'Base TOTAL'!A:AJ,2,0), "-")</f>
        <v>-</v>
      </c>
      <c r="C29" s="145" t="str">
        <f>IFERROR(VLOOKUP($A29,'Base TOTAL'!A:AJ,33,0), "-")</f>
        <v>-</v>
      </c>
      <c r="D29" s="146" t="str">
        <f>IFERROR(VLOOKUP($A29,'Base TOTAL'!A:AJ,34,0), "-")</f>
        <v>-</v>
      </c>
      <c r="E29" s="147" t="str">
        <f>IFERROR(VLOOKUP($A29,'Base TOTAL'!A:AJ,35,0), "-")</f>
        <v>-</v>
      </c>
      <c r="F29" s="133"/>
    </row>
    <row r="30" ht="30.0" customHeight="1">
      <c r="A30" s="144"/>
      <c r="B30" s="145" t="str">
        <f>IFERROR(VLOOKUP($A30,'Base TOTAL'!A:AJ,2,0), "-")</f>
        <v>-</v>
      </c>
      <c r="C30" s="145" t="str">
        <f>IFERROR(VLOOKUP($A30,'Base TOTAL'!A:AJ,33,0), "-")</f>
        <v>-</v>
      </c>
      <c r="D30" s="146" t="str">
        <f>IFERROR(VLOOKUP($A30,'Base TOTAL'!A:AJ,34,0), "-")</f>
        <v>-</v>
      </c>
      <c r="E30" s="147" t="str">
        <f>IFERROR(VLOOKUP($A30,'Base TOTAL'!A:AJ,35,0), "-")</f>
        <v>-</v>
      </c>
      <c r="F30" s="133"/>
    </row>
    <row r="31" ht="30.0" customHeight="1">
      <c r="A31" s="144"/>
      <c r="B31" s="145" t="str">
        <f>IFERROR(VLOOKUP($A31,'Base TOTAL'!A:AJ,2,0), "-")</f>
        <v>-</v>
      </c>
      <c r="C31" s="145" t="str">
        <f>IFERROR(VLOOKUP($A31,'Base TOTAL'!A:AJ,33,0), "-")</f>
        <v>-</v>
      </c>
      <c r="D31" s="146" t="str">
        <f>IFERROR(VLOOKUP($A31,'Base TOTAL'!A:AJ,34,0), "-")</f>
        <v>-</v>
      </c>
      <c r="E31" s="147" t="str">
        <f>IFERROR(VLOOKUP($A31,'Base TOTAL'!A:AJ,35,0), "-")</f>
        <v>-</v>
      </c>
      <c r="F31" s="133"/>
    </row>
    <row r="32" ht="30.0" customHeight="1">
      <c r="A32" s="144"/>
      <c r="B32" s="145" t="str">
        <f>IFERROR(VLOOKUP($A32,'Base TOTAL'!A:AJ,2,0), "-")</f>
        <v>-</v>
      </c>
      <c r="C32" s="145" t="str">
        <f>IFERROR(VLOOKUP($A32,'Base TOTAL'!A:AJ,33,0), "-")</f>
        <v>-</v>
      </c>
      <c r="D32" s="146" t="str">
        <f>IFERROR(VLOOKUP($A32,'Base TOTAL'!A:AJ,34,0), "-")</f>
        <v>-</v>
      </c>
      <c r="E32" s="147" t="str">
        <f>IFERROR(VLOOKUP($A32,'Base TOTAL'!A:AJ,35,0), "-")</f>
        <v>-</v>
      </c>
      <c r="F32" s="133"/>
    </row>
    <row r="33" ht="30.0" customHeight="1">
      <c r="A33" s="144"/>
      <c r="B33" s="145" t="str">
        <f>IFERROR(VLOOKUP($A33,'Base TOTAL'!A:AJ,2,0), "-")</f>
        <v>-</v>
      </c>
      <c r="C33" s="145" t="str">
        <f>IFERROR(VLOOKUP($A33,'Base TOTAL'!A:AJ,33,0), "-")</f>
        <v>-</v>
      </c>
      <c r="D33" s="146" t="str">
        <f>IFERROR(VLOOKUP($A33,'Base TOTAL'!A:AJ,34,0), "-")</f>
        <v>-</v>
      </c>
      <c r="E33" s="147" t="str">
        <f>IFERROR(VLOOKUP($A33,'Base TOTAL'!A:AJ,35,0), "-")</f>
        <v>-</v>
      </c>
      <c r="F33" s="133"/>
    </row>
    <row r="34" ht="30.0" customHeight="1">
      <c r="A34" s="144"/>
      <c r="B34" s="145" t="str">
        <f>IFERROR(VLOOKUP($A34,'Base TOTAL'!A:AJ,2,0), "-")</f>
        <v>-</v>
      </c>
      <c r="C34" s="145" t="str">
        <f>IFERROR(VLOOKUP($A34,'Base TOTAL'!A:AJ,33,0), "-")</f>
        <v>-</v>
      </c>
      <c r="D34" s="146" t="str">
        <f>IFERROR(VLOOKUP($A34,'Base TOTAL'!A:AJ,34,0), "-")</f>
        <v>-</v>
      </c>
      <c r="E34" s="147" t="str">
        <f>IFERROR(VLOOKUP($A34,'Base TOTAL'!A:AJ,35,0), "-")</f>
        <v>-</v>
      </c>
      <c r="F34" s="133"/>
    </row>
    <row r="35" ht="30.0" customHeight="1">
      <c r="A35" s="144"/>
      <c r="B35" s="145" t="str">
        <f>IFERROR(VLOOKUP($A35,'Base TOTAL'!A:AJ,2,0), "-")</f>
        <v>-</v>
      </c>
      <c r="C35" s="145" t="str">
        <f>IFERROR(VLOOKUP($A35,'Base TOTAL'!A:AJ,33,0), "-")</f>
        <v>-</v>
      </c>
      <c r="D35" s="146" t="str">
        <f>IFERROR(VLOOKUP($A35,'Base TOTAL'!A:AJ,34,0), "-")</f>
        <v>-</v>
      </c>
      <c r="E35" s="147" t="str">
        <f>IFERROR(VLOOKUP($A35,'Base TOTAL'!A:AJ,35,0), "-")</f>
        <v>-</v>
      </c>
      <c r="F35" s="133"/>
    </row>
    <row r="36" ht="30.0" customHeight="1">
      <c r="A36" s="144"/>
      <c r="B36" s="145" t="str">
        <f>IFERROR(VLOOKUP($A36,'Base TOTAL'!A:AJ,2,0), "-")</f>
        <v>-</v>
      </c>
      <c r="C36" s="145" t="str">
        <f>IFERROR(VLOOKUP($A36,'Base TOTAL'!A:AJ,33,0), "-")</f>
        <v>-</v>
      </c>
      <c r="D36" s="146" t="str">
        <f>IFERROR(VLOOKUP($A36,'Base TOTAL'!A:AJ,34,0), "-")</f>
        <v>-</v>
      </c>
      <c r="E36" s="147" t="str">
        <f>IFERROR(VLOOKUP($A36,'Base TOTAL'!A:AJ,35,0), "-")</f>
        <v>-</v>
      </c>
      <c r="F36" s="133"/>
    </row>
    <row r="37" ht="30.0" customHeight="1">
      <c r="A37" s="144"/>
      <c r="B37" s="145" t="str">
        <f>IFERROR(VLOOKUP($A37,'Base TOTAL'!A:AJ,2,0), "-")</f>
        <v>-</v>
      </c>
      <c r="C37" s="145" t="str">
        <f>IFERROR(VLOOKUP($A37,'Base TOTAL'!A:AJ,33,0), "-")</f>
        <v>-</v>
      </c>
      <c r="D37" s="146" t="str">
        <f>IFERROR(VLOOKUP($A37,'Base TOTAL'!A:AJ,34,0), "-")</f>
        <v>-</v>
      </c>
      <c r="E37" s="147" t="str">
        <f>IFERROR(VLOOKUP($A37,'Base TOTAL'!A:AJ,35,0), "-")</f>
        <v>-</v>
      </c>
      <c r="F37" s="133"/>
    </row>
    <row r="38" ht="30.0" customHeight="1">
      <c r="A38" s="144"/>
      <c r="B38" s="145" t="str">
        <f>IFERROR(VLOOKUP($A38,'Base TOTAL'!A:AJ,2,0), "-")</f>
        <v>-</v>
      </c>
      <c r="C38" s="145" t="str">
        <f>IFERROR(VLOOKUP($A38,'Base TOTAL'!A:AJ,33,0), "-")</f>
        <v>-</v>
      </c>
      <c r="D38" s="146" t="str">
        <f>IFERROR(VLOOKUP($A38,'Base TOTAL'!A:AJ,34,0), "-")</f>
        <v>-</v>
      </c>
      <c r="E38" s="147" t="str">
        <f>IFERROR(VLOOKUP($A38,'Base TOTAL'!A:AJ,35,0), "-")</f>
        <v>-</v>
      </c>
      <c r="F38" s="133"/>
    </row>
    <row r="39" ht="30.0" customHeight="1">
      <c r="A39" s="144"/>
      <c r="B39" s="145" t="str">
        <f>IFERROR(VLOOKUP($A39,'Base TOTAL'!A:AJ,2,0), "-")</f>
        <v>-</v>
      </c>
      <c r="C39" s="145" t="str">
        <f>IFERROR(VLOOKUP($A39,'Base TOTAL'!A:AJ,33,0), "-")</f>
        <v>-</v>
      </c>
      <c r="D39" s="146" t="str">
        <f>IFERROR(VLOOKUP($A39,'Base TOTAL'!A:AJ,34,0), "-")</f>
        <v>-</v>
      </c>
      <c r="E39" s="147" t="str">
        <f>IFERROR(VLOOKUP($A39,'Base TOTAL'!A:AJ,35,0), "-")</f>
        <v>-</v>
      </c>
      <c r="F39" s="133"/>
    </row>
    <row r="40" ht="30.0" customHeight="1">
      <c r="A40" s="144"/>
      <c r="B40" s="145" t="str">
        <f>IFERROR(VLOOKUP($A40,'Base TOTAL'!A:AJ,2,0), "-")</f>
        <v>-</v>
      </c>
      <c r="C40" s="145" t="str">
        <f>IFERROR(VLOOKUP($A40,'Base TOTAL'!A:AJ,33,0), "-")</f>
        <v>-</v>
      </c>
      <c r="D40" s="146" t="str">
        <f>IFERROR(VLOOKUP($A40,'Base TOTAL'!A:AJ,34,0), "-")</f>
        <v>-</v>
      </c>
      <c r="E40" s="147" t="str">
        <f>IFERROR(VLOOKUP($A40,'Base TOTAL'!A:AJ,35,0), "-")</f>
        <v>-</v>
      </c>
      <c r="F40" s="133"/>
    </row>
    <row r="41" ht="30.0" customHeight="1">
      <c r="A41" s="144"/>
      <c r="B41" s="145" t="str">
        <f>IFERROR(VLOOKUP($A41,'Base TOTAL'!A:AJ,2,0), "-")</f>
        <v>-</v>
      </c>
      <c r="C41" s="145" t="str">
        <f>IFERROR(VLOOKUP($A41,'Base TOTAL'!A:AJ,33,0), "-")</f>
        <v>-</v>
      </c>
      <c r="D41" s="146" t="str">
        <f>IFERROR(VLOOKUP($A41,'Base TOTAL'!A:AJ,34,0), "-")</f>
        <v>-</v>
      </c>
      <c r="E41" s="147" t="str">
        <f>IFERROR(VLOOKUP($A41,'Base TOTAL'!A:AJ,35,0), "-")</f>
        <v>-</v>
      </c>
      <c r="F41" s="133"/>
    </row>
    <row r="42" ht="30.0" customHeight="1">
      <c r="A42" s="144"/>
      <c r="B42" s="145" t="str">
        <f>IFERROR(VLOOKUP($A42,'Base TOTAL'!A:AJ,2,0), "-")</f>
        <v>-</v>
      </c>
      <c r="C42" s="145" t="str">
        <f>IFERROR(VLOOKUP($A42,'Base TOTAL'!A:AJ,33,0), "-")</f>
        <v>-</v>
      </c>
      <c r="D42" s="146" t="str">
        <f>IFERROR(VLOOKUP($A42,'Base TOTAL'!A:AJ,34,0), "-")</f>
        <v>-</v>
      </c>
      <c r="E42" s="147" t="str">
        <f>IFERROR(VLOOKUP($A42,'Base TOTAL'!A:AJ,35,0), "-")</f>
        <v>-</v>
      </c>
      <c r="F42" s="133"/>
    </row>
    <row r="43" ht="30.0" customHeight="1">
      <c r="A43" s="144"/>
      <c r="B43" s="145" t="str">
        <f>IFERROR(VLOOKUP($A43,'Base TOTAL'!A:AJ,2,0), "-")</f>
        <v>-</v>
      </c>
      <c r="C43" s="145" t="str">
        <f>IFERROR(VLOOKUP($A43,'Base TOTAL'!A:AJ,33,0), "-")</f>
        <v>-</v>
      </c>
      <c r="D43" s="146" t="str">
        <f>IFERROR(VLOOKUP($A43,'Base TOTAL'!A:AJ,34,0), "-")</f>
        <v>-</v>
      </c>
      <c r="E43" s="147" t="str">
        <f>IFERROR(VLOOKUP($A43,'Base TOTAL'!A:AJ,35,0), "-")</f>
        <v>-</v>
      </c>
      <c r="F43" s="133"/>
    </row>
    <row r="44" ht="30.0" customHeight="1">
      <c r="A44" s="144"/>
      <c r="B44" s="145" t="str">
        <f>IFERROR(VLOOKUP($A44,'Base TOTAL'!A:AJ,2,0), "-")</f>
        <v>-</v>
      </c>
      <c r="C44" s="145" t="str">
        <f>IFERROR(VLOOKUP($A44,'Base TOTAL'!A:AJ,33,0), "-")</f>
        <v>-</v>
      </c>
      <c r="D44" s="146" t="str">
        <f>IFERROR(VLOOKUP($A44,'Base TOTAL'!A:AJ,34,0), "-")</f>
        <v>-</v>
      </c>
      <c r="E44" s="147" t="str">
        <f>IFERROR(VLOOKUP($A44,'Base TOTAL'!A:AJ,35,0), "-")</f>
        <v>-</v>
      </c>
      <c r="F44" s="133"/>
    </row>
    <row r="45" ht="30.0" customHeight="1">
      <c r="A45" s="144"/>
      <c r="B45" s="145" t="str">
        <f>IFERROR(VLOOKUP($A45,'Base TOTAL'!A:AJ,2,0), "-")</f>
        <v>-</v>
      </c>
      <c r="C45" s="145" t="str">
        <f>IFERROR(VLOOKUP($A45,'Base TOTAL'!A:AJ,33,0), "-")</f>
        <v>-</v>
      </c>
      <c r="D45" s="146" t="str">
        <f>IFERROR(VLOOKUP($A45,'Base TOTAL'!A:AJ,34,0), "-")</f>
        <v>-</v>
      </c>
      <c r="E45" s="147" t="str">
        <f>IFERROR(VLOOKUP($A45,'Base TOTAL'!A:AJ,35,0), "-")</f>
        <v>-</v>
      </c>
      <c r="F45" s="133"/>
    </row>
    <row r="46" ht="30.0" customHeight="1">
      <c r="A46" s="144"/>
      <c r="B46" s="145" t="str">
        <f>IFERROR(VLOOKUP($A46,'Base TOTAL'!A:AJ,2,0), "-")</f>
        <v>-</v>
      </c>
      <c r="C46" s="145" t="str">
        <f>IFERROR(VLOOKUP($A46,'Base TOTAL'!A:AJ,33,0), "-")</f>
        <v>-</v>
      </c>
      <c r="D46" s="146" t="str">
        <f>IFERROR(VLOOKUP($A46,'Base TOTAL'!A:AJ,34,0), "-")</f>
        <v>-</v>
      </c>
      <c r="E46" s="147" t="str">
        <f>IFERROR(VLOOKUP($A46,'Base TOTAL'!A:AJ,35,0), "-")</f>
        <v>-</v>
      </c>
      <c r="F46" s="133"/>
    </row>
    <row r="47" ht="30.0" customHeight="1">
      <c r="A47" s="144"/>
      <c r="B47" s="145" t="str">
        <f>IFERROR(VLOOKUP($A47,'Base TOTAL'!A:AJ,2,0), "-")</f>
        <v>-</v>
      </c>
      <c r="C47" s="145" t="str">
        <f>IFERROR(VLOOKUP($A47,'Base TOTAL'!A:AJ,33,0), "-")</f>
        <v>-</v>
      </c>
      <c r="D47" s="146" t="str">
        <f>IFERROR(VLOOKUP($A47,'Base TOTAL'!A:AJ,34,0), "-")</f>
        <v>-</v>
      </c>
      <c r="E47" s="147" t="str">
        <f>IFERROR(VLOOKUP($A47,'Base TOTAL'!A:AJ,35,0), "-")</f>
        <v>-</v>
      </c>
      <c r="F47" s="133"/>
    </row>
    <row r="48" ht="30.0" customHeight="1">
      <c r="A48" s="144"/>
      <c r="B48" s="145" t="str">
        <f>IFERROR(VLOOKUP($A48,'Base TOTAL'!A:AJ,2,0), "-")</f>
        <v>-</v>
      </c>
      <c r="C48" s="145" t="str">
        <f>IFERROR(VLOOKUP($A48,'Base TOTAL'!A:AJ,33,0), "-")</f>
        <v>-</v>
      </c>
      <c r="D48" s="146" t="str">
        <f>IFERROR(VLOOKUP($A48,'Base TOTAL'!A:AJ,34,0), "-")</f>
        <v>-</v>
      </c>
      <c r="E48" s="147" t="str">
        <f>IFERROR(VLOOKUP($A48,'Base TOTAL'!A:AJ,35,0), "-")</f>
        <v>-</v>
      </c>
      <c r="F48" s="133"/>
    </row>
    <row r="49" ht="30.0" customHeight="1">
      <c r="A49" s="144"/>
      <c r="B49" s="145" t="str">
        <f>IFERROR(VLOOKUP($A49,'Base TOTAL'!A:AJ,2,0), "-")</f>
        <v>-</v>
      </c>
      <c r="C49" s="145" t="str">
        <f>IFERROR(VLOOKUP($A49,'Base TOTAL'!A:AJ,33,0), "-")</f>
        <v>-</v>
      </c>
      <c r="D49" s="146" t="str">
        <f>IFERROR(VLOOKUP($A49,'Base TOTAL'!A:AJ,34,0), "-")</f>
        <v>-</v>
      </c>
      <c r="E49" s="147" t="str">
        <f>IFERROR(VLOOKUP($A49,'Base TOTAL'!A:AJ,35,0), "-")</f>
        <v>-</v>
      </c>
      <c r="F49" s="133"/>
    </row>
    <row r="50" ht="30.0" customHeight="1">
      <c r="A50" s="144"/>
      <c r="B50" s="145" t="str">
        <f>IFERROR(VLOOKUP($A50,'Base TOTAL'!A:AJ,2,0), "-")</f>
        <v>-</v>
      </c>
      <c r="C50" s="145" t="str">
        <f>IFERROR(VLOOKUP($A50,'Base TOTAL'!A:AJ,33,0), "-")</f>
        <v>-</v>
      </c>
      <c r="D50" s="146" t="str">
        <f>IFERROR(VLOOKUP($A50,'Base TOTAL'!A:AJ,34,0), "-")</f>
        <v>-</v>
      </c>
      <c r="E50" s="147" t="str">
        <f>IFERROR(VLOOKUP($A50,'Base TOTAL'!A:AJ,35,0), "-")</f>
        <v>-</v>
      </c>
      <c r="F50" s="133"/>
    </row>
    <row r="51" ht="30.0" customHeight="1">
      <c r="A51" s="144"/>
      <c r="B51" s="145" t="str">
        <f>IFERROR(VLOOKUP($A51,'Base TOTAL'!A:AJ,2,0), "-")</f>
        <v>-</v>
      </c>
      <c r="C51" s="145" t="str">
        <f>IFERROR(VLOOKUP($A51,'Base TOTAL'!A:AJ,33,0), "-")</f>
        <v>-</v>
      </c>
      <c r="D51" s="146" t="str">
        <f>IFERROR(VLOOKUP($A51,'Base TOTAL'!A:AJ,34,0), "-")</f>
        <v>-</v>
      </c>
      <c r="E51" s="147" t="str">
        <f>IFERROR(VLOOKUP($A51,'Base TOTAL'!A:AJ,35,0), "-")</f>
        <v>-</v>
      </c>
      <c r="F51" s="133"/>
    </row>
    <row r="52" ht="30.0" customHeight="1">
      <c r="A52" s="144"/>
      <c r="B52" s="145" t="str">
        <f>IFERROR(VLOOKUP($A52,'Base TOTAL'!A:AJ,2,0), "-")</f>
        <v>-</v>
      </c>
      <c r="C52" s="145" t="str">
        <f>IFERROR(VLOOKUP($A52,'Base TOTAL'!A:AJ,33,0), "-")</f>
        <v>-</v>
      </c>
      <c r="D52" s="146" t="str">
        <f>IFERROR(VLOOKUP($A52,'Base TOTAL'!A:AJ,34,0), "-")</f>
        <v>-</v>
      </c>
      <c r="E52" s="147" t="str">
        <f>IFERROR(VLOOKUP($A52,'Base TOTAL'!A:AJ,35,0), "-")</f>
        <v>-</v>
      </c>
      <c r="F52" s="133"/>
    </row>
    <row r="53" ht="30.0" customHeight="1">
      <c r="A53" s="144"/>
      <c r="B53" s="145" t="str">
        <f>IFERROR(VLOOKUP($A53,'Base TOTAL'!A:AJ,2,0), "-")</f>
        <v>-</v>
      </c>
      <c r="C53" s="145" t="str">
        <f>IFERROR(VLOOKUP($A53,'Base TOTAL'!A:AJ,33,0), "-")</f>
        <v>-</v>
      </c>
      <c r="D53" s="146" t="str">
        <f>IFERROR(VLOOKUP($A53,'Base TOTAL'!A:AJ,34,0), "-")</f>
        <v>-</v>
      </c>
      <c r="E53" s="147" t="str">
        <f>IFERROR(VLOOKUP($A53,'Base TOTAL'!A:AJ,35,0), "-")</f>
        <v>-</v>
      </c>
      <c r="F53" s="133"/>
    </row>
    <row r="54" ht="30.0" customHeight="1">
      <c r="A54" s="144"/>
      <c r="B54" s="145" t="str">
        <f>IFERROR(VLOOKUP($A54,'Base TOTAL'!A:AJ,2,0), "-")</f>
        <v>-</v>
      </c>
      <c r="C54" s="145" t="str">
        <f>IFERROR(VLOOKUP($A54,'Base TOTAL'!A:AJ,33,0), "-")</f>
        <v>-</v>
      </c>
      <c r="D54" s="146" t="str">
        <f>IFERROR(VLOOKUP($A54,'Base TOTAL'!A:AJ,34,0), "-")</f>
        <v>-</v>
      </c>
      <c r="E54" s="147" t="str">
        <f>IFERROR(VLOOKUP($A54,'Base TOTAL'!A:AJ,35,0), "-")</f>
        <v>-</v>
      </c>
      <c r="F54" s="133"/>
    </row>
    <row r="55" ht="30.0" customHeight="1">
      <c r="A55" s="144"/>
      <c r="B55" s="145" t="str">
        <f>IFERROR(VLOOKUP($A55,'Base TOTAL'!A:AJ,2,0), "-")</f>
        <v>-</v>
      </c>
      <c r="C55" s="145" t="str">
        <f>IFERROR(VLOOKUP($A55,'Base TOTAL'!A:AJ,33,0), "-")</f>
        <v>-</v>
      </c>
      <c r="D55" s="146" t="str">
        <f>IFERROR(VLOOKUP($A55,'Base TOTAL'!A:AJ,34,0), "-")</f>
        <v>-</v>
      </c>
      <c r="E55" s="147" t="str">
        <f>IFERROR(VLOOKUP($A55,'Base TOTAL'!A:AJ,35,0), "-")</f>
        <v>-</v>
      </c>
      <c r="F55" s="133"/>
    </row>
    <row r="56" ht="30.0" customHeight="1">
      <c r="A56" s="144"/>
      <c r="B56" s="145" t="str">
        <f>IFERROR(VLOOKUP($A56,'Base TOTAL'!A:AJ,2,0), "-")</f>
        <v>-</v>
      </c>
      <c r="C56" s="145" t="str">
        <f>IFERROR(VLOOKUP($A56,'Base TOTAL'!A:AJ,33,0), "-")</f>
        <v>-</v>
      </c>
      <c r="D56" s="146" t="str">
        <f>IFERROR(VLOOKUP($A56,'Base TOTAL'!A:AJ,34,0), "-")</f>
        <v>-</v>
      </c>
      <c r="E56" s="147" t="str">
        <f>IFERROR(VLOOKUP($A56,'Base TOTAL'!A:AJ,35,0), "-")</f>
        <v>-</v>
      </c>
      <c r="F56" s="133"/>
    </row>
    <row r="57" ht="30.0" customHeight="1">
      <c r="A57" s="144"/>
      <c r="B57" s="145" t="str">
        <f>IFERROR(VLOOKUP($A57,'Base TOTAL'!A:AJ,2,0), "-")</f>
        <v>-</v>
      </c>
      <c r="C57" s="145" t="str">
        <f>IFERROR(VLOOKUP($A57,'Base TOTAL'!A:AJ,33,0), "-")</f>
        <v>-</v>
      </c>
      <c r="D57" s="146" t="str">
        <f>IFERROR(VLOOKUP($A57,'Base TOTAL'!A:AJ,34,0), "-")</f>
        <v>-</v>
      </c>
      <c r="E57" s="147" t="str">
        <f>IFERROR(VLOOKUP($A57,'Base TOTAL'!A:AJ,35,0), "-")</f>
        <v>-</v>
      </c>
      <c r="F57" s="133"/>
    </row>
    <row r="58" ht="30.0" customHeight="1">
      <c r="A58" s="144"/>
      <c r="B58" s="145" t="str">
        <f>IFERROR(VLOOKUP($A58,'Base TOTAL'!A:AJ,2,0), "-")</f>
        <v>-</v>
      </c>
      <c r="C58" s="145" t="str">
        <f>IFERROR(VLOOKUP($A58,'Base TOTAL'!A:AJ,33,0), "-")</f>
        <v>-</v>
      </c>
      <c r="D58" s="146" t="str">
        <f>IFERROR(VLOOKUP($A58,'Base TOTAL'!A:AJ,34,0), "-")</f>
        <v>-</v>
      </c>
      <c r="E58" s="147" t="str">
        <f>IFERROR(VLOOKUP($A58,'Base TOTAL'!A:AJ,35,0), "-")</f>
        <v>-</v>
      </c>
      <c r="F58" s="133"/>
    </row>
    <row r="59" ht="30.0" customHeight="1">
      <c r="A59" s="144"/>
      <c r="B59" s="145" t="str">
        <f>IFERROR(VLOOKUP($A59,'Base TOTAL'!A:AJ,2,0), "-")</f>
        <v>-</v>
      </c>
      <c r="C59" s="145" t="str">
        <f>IFERROR(VLOOKUP($A59,'Base TOTAL'!A:AJ,33,0), "-")</f>
        <v>-</v>
      </c>
      <c r="D59" s="146" t="str">
        <f>IFERROR(VLOOKUP($A59,'Base TOTAL'!A:AJ,34,0), "-")</f>
        <v>-</v>
      </c>
      <c r="E59" s="147" t="str">
        <f>IFERROR(VLOOKUP($A59,'Base TOTAL'!A:AJ,35,0), "-")</f>
        <v>-</v>
      </c>
      <c r="F59" s="133"/>
    </row>
    <row r="60" ht="30.0" customHeight="1">
      <c r="A60" s="144"/>
      <c r="B60" s="145" t="str">
        <f>IFERROR(VLOOKUP($A60,'Base TOTAL'!A:AJ,2,0), "-")</f>
        <v>-</v>
      </c>
      <c r="C60" s="145" t="str">
        <f>IFERROR(VLOOKUP($A60,'Base TOTAL'!A:AJ,33,0), "-")</f>
        <v>-</v>
      </c>
      <c r="D60" s="146" t="str">
        <f>IFERROR(VLOOKUP($A60,'Base TOTAL'!A:AJ,34,0), "-")</f>
        <v>-</v>
      </c>
      <c r="E60" s="147" t="str">
        <f>IFERROR(VLOOKUP($A60,'Base TOTAL'!A:AJ,35,0), "-")</f>
        <v>-</v>
      </c>
      <c r="F60" s="133"/>
    </row>
    <row r="61" ht="30.0" customHeight="1">
      <c r="A61" s="144"/>
      <c r="B61" s="145" t="str">
        <f>IFERROR(VLOOKUP($A61,'Base TOTAL'!A:AJ,2,0), "-")</f>
        <v>-</v>
      </c>
      <c r="C61" s="145" t="str">
        <f>IFERROR(VLOOKUP($A61,'Base TOTAL'!A:AJ,33,0), "-")</f>
        <v>-</v>
      </c>
      <c r="D61" s="146" t="str">
        <f>IFERROR(VLOOKUP($A61,'Base TOTAL'!A:AJ,34,0), "-")</f>
        <v>-</v>
      </c>
      <c r="E61" s="147" t="str">
        <f>IFERROR(VLOOKUP($A61,'Base TOTAL'!A:AJ,35,0), "-")</f>
        <v>-</v>
      </c>
      <c r="F61" s="133"/>
    </row>
    <row r="62" ht="30.0" customHeight="1">
      <c r="A62" s="144"/>
      <c r="B62" s="145" t="str">
        <f>IFERROR(VLOOKUP($A62,'Base TOTAL'!A:AJ,2,0), "-")</f>
        <v>-</v>
      </c>
      <c r="C62" s="145" t="str">
        <f>IFERROR(VLOOKUP($A62,'Base TOTAL'!A:AJ,33,0), "-")</f>
        <v>-</v>
      </c>
      <c r="D62" s="146" t="str">
        <f>IFERROR(VLOOKUP($A62,'Base TOTAL'!A:AJ,34,0), "-")</f>
        <v>-</v>
      </c>
      <c r="E62" s="147" t="str">
        <f>IFERROR(VLOOKUP($A62,'Base TOTAL'!A:AJ,35,0), "-")</f>
        <v>-</v>
      </c>
      <c r="F62" s="133"/>
    </row>
    <row r="63" ht="30.0" customHeight="1">
      <c r="A63" s="144"/>
      <c r="B63" s="145" t="str">
        <f>IFERROR(VLOOKUP($A63,'Base TOTAL'!A:AJ,2,0), "-")</f>
        <v>-</v>
      </c>
      <c r="C63" s="145" t="str">
        <f>IFERROR(VLOOKUP($A63,'Base TOTAL'!A:AJ,33,0), "-")</f>
        <v>-</v>
      </c>
      <c r="D63" s="146" t="str">
        <f>IFERROR(VLOOKUP($A63,'Base TOTAL'!A:AJ,34,0), "-")</f>
        <v>-</v>
      </c>
      <c r="E63" s="147" t="str">
        <f>IFERROR(VLOOKUP($A63,'Base TOTAL'!A:AJ,35,0), "-")</f>
        <v>-</v>
      </c>
      <c r="F63" s="133"/>
    </row>
    <row r="64" ht="30.0" customHeight="1">
      <c r="A64" s="144"/>
      <c r="B64" s="145" t="str">
        <f>IFERROR(VLOOKUP($A64,'Base TOTAL'!A:AJ,2,0), "-")</f>
        <v>-</v>
      </c>
      <c r="C64" s="145" t="str">
        <f>IFERROR(VLOOKUP($A64,'Base TOTAL'!A:AJ,33,0), "-")</f>
        <v>-</v>
      </c>
      <c r="D64" s="146" t="str">
        <f>IFERROR(VLOOKUP($A64,'Base TOTAL'!A:AJ,34,0), "-")</f>
        <v>-</v>
      </c>
      <c r="E64" s="147" t="str">
        <f>IFERROR(VLOOKUP($A64,'Base TOTAL'!A:AJ,35,0), "-")</f>
        <v>-</v>
      </c>
      <c r="F64" s="133"/>
    </row>
    <row r="65" ht="30.0" customHeight="1">
      <c r="A65" s="144"/>
      <c r="B65" s="145" t="str">
        <f>IFERROR(VLOOKUP($A65,'Base TOTAL'!A:AJ,2,0), "-")</f>
        <v>-</v>
      </c>
      <c r="C65" s="145" t="str">
        <f>IFERROR(VLOOKUP($A65,'Base TOTAL'!A:AJ,33,0), "-")</f>
        <v>-</v>
      </c>
      <c r="D65" s="146" t="str">
        <f>IFERROR(VLOOKUP($A65,'Base TOTAL'!A:AJ,34,0), "-")</f>
        <v>-</v>
      </c>
      <c r="E65" s="147" t="str">
        <f>IFERROR(VLOOKUP($A65,'Base TOTAL'!A:AJ,35,0), "-")</f>
        <v>-</v>
      </c>
      <c r="F65" s="133"/>
    </row>
    <row r="66" ht="30.0" customHeight="1">
      <c r="A66" s="144"/>
      <c r="B66" s="145" t="str">
        <f>IFERROR(VLOOKUP($A66,'Base TOTAL'!A:AJ,2,0), "-")</f>
        <v>-</v>
      </c>
      <c r="C66" s="145" t="str">
        <f>IFERROR(VLOOKUP($A66,'Base TOTAL'!A:AJ,33,0), "-")</f>
        <v>-</v>
      </c>
      <c r="D66" s="146" t="str">
        <f>IFERROR(VLOOKUP($A66,'Base TOTAL'!A:AJ,34,0), "-")</f>
        <v>-</v>
      </c>
      <c r="E66" s="147" t="str">
        <f>IFERROR(VLOOKUP($A66,'Base TOTAL'!A:AJ,35,0), "-")</f>
        <v>-</v>
      </c>
      <c r="F66" s="133"/>
    </row>
    <row r="67" ht="30.0" customHeight="1">
      <c r="A67" s="144"/>
      <c r="B67" s="145" t="str">
        <f>IFERROR(VLOOKUP($A67,'Base TOTAL'!A:AJ,2,0), "-")</f>
        <v>-</v>
      </c>
      <c r="C67" s="145" t="str">
        <f>IFERROR(VLOOKUP($A67,'Base TOTAL'!A:AJ,33,0), "-")</f>
        <v>-</v>
      </c>
      <c r="D67" s="146" t="str">
        <f>IFERROR(VLOOKUP($A67,'Base TOTAL'!A:AJ,34,0), "-")</f>
        <v>-</v>
      </c>
      <c r="E67" s="147" t="str">
        <f>IFERROR(VLOOKUP($A67,'Base TOTAL'!A:AJ,35,0), "-")</f>
        <v>-</v>
      </c>
      <c r="F67" s="133"/>
    </row>
    <row r="68" ht="30.0" customHeight="1">
      <c r="A68" s="144"/>
      <c r="B68" s="145" t="str">
        <f>IFERROR(VLOOKUP($A68,'Base TOTAL'!A:AJ,2,0), "-")</f>
        <v>-</v>
      </c>
      <c r="C68" s="145" t="str">
        <f>IFERROR(VLOOKUP($A68,'Base TOTAL'!A:AJ,33,0), "-")</f>
        <v>-</v>
      </c>
      <c r="D68" s="146" t="str">
        <f>IFERROR(VLOOKUP($A68,'Base TOTAL'!A:AJ,34,0), "-")</f>
        <v>-</v>
      </c>
      <c r="E68" s="147" t="str">
        <f>IFERROR(VLOOKUP($A68,'Base TOTAL'!A:AJ,35,0), "-")</f>
        <v>-</v>
      </c>
      <c r="F68" s="133"/>
    </row>
    <row r="69" ht="30.0" customHeight="1">
      <c r="A69" s="144"/>
      <c r="B69" s="145" t="str">
        <f>IFERROR(VLOOKUP($A69,'Base TOTAL'!A:AJ,2,0), "-")</f>
        <v>-</v>
      </c>
      <c r="C69" s="145" t="str">
        <f>IFERROR(VLOOKUP($A69,'Base TOTAL'!A:AJ,33,0), "-")</f>
        <v>-</v>
      </c>
      <c r="D69" s="146" t="str">
        <f>IFERROR(VLOOKUP($A69,'Base TOTAL'!A:AJ,34,0), "-")</f>
        <v>-</v>
      </c>
      <c r="E69" s="147" t="str">
        <f>IFERROR(VLOOKUP($A69,'Base TOTAL'!A:AJ,35,0), "-")</f>
        <v>-</v>
      </c>
      <c r="F69" s="133"/>
    </row>
    <row r="70" ht="30.0" customHeight="1">
      <c r="A70" s="144"/>
      <c r="B70" s="145" t="str">
        <f>IFERROR(VLOOKUP($A70,'Base TOTAL'!A:AJ,2,0), "-")</f>
        <v>-</v>
      </c>
      <c r="C70" s="145" t="str">
        <f>IFERROR(VLOOKUP($A70,'Base TOTAL'!A:AJ,33,0), "-")</f>
        <v>-</v>
      </c>
      <c r="D70" s="146" t="str">
        <f>IFERROR(VLOOKUP($A70,'Base TOTAL'!A:AJ,34,0), "-")</f>
        <v>-</v>
      </c>
      <c r="E70" s="147" t="str">
        <f>IFERROR(VLOOKUP($A70,'Base TOTAL'!A:AJ,35,0), "-")</f>
        <v>-</v>
      </c>
      <c r="F70" s="133"/>
    </row>
    <row r="71" ht="30.0" customHeight="1">
      <c r="A71" s="144"/>
      <c r="B71" s="145" t="str">
        <f>IFERROR(VLOOKUP($A71,'Base TOTAL'!A:AJ,2,0), "-")</f>
        <v>-</v>
      </c>
      <c r="C71" s="145" t="str">
        <f>IFERROR(VLOOKUP($A71,'Base TOTAL'!A:AJ,33,0), "-")</f>
        <v>-</v>
      </c>
      <c r="D71" s="146" t="str">
        <f>IFERROR(VLOOKUP($A71,'Base TOTAL'!A:AJ,34,0), "-")</f>
        <v>-</v>
      </c>
      <c r="E71" s="147" t="str">
        <f>IFERROR(VLOOKUP($A71,'Base TOTAL'!A:AJ,35,0), "-")</f>
        <v>-</v>
      </c>
      <c r="F71" s="133"/>
    </row>
    <row r="72" ht="30.0" customHeight="1">
      <c r="A72" s="144"/>
      <c r="B72" s="145" t="str">
        <f>IFERROR(VLOOKUP($A72,'Base TOTAL'!A:AJ,2,0), "-")</f>
        <v>-</v>
      </c>
      <c r="C72" s="145" t="str">
        <f>IFERROR(VLOOKUP($A72,'Base TOTAL'!A:AJ,33,0), "-")</f>
        <v>-</v>
      </c>
      <c r="D72" s="146" t="str">
        <f>IFERROR(VLOOKUP($A72,'Base TOTAL'!A:AJ,34,0), "-")</f>
        <v>-</v>
      </c>
      <c r="E72" s="147" t="str">
        <f>IFERROR(VLOOKUP($A72,'Base TOTAL'!A:AJ,35,0), "-")</f>
        <v>-</v>
      </c>
      <c r="F72" s="133"/>
    </row>
    <row r="73" ht="30.0" customHeight="1">
      <c r="A73" s="144"/>
      <c r="B73" s="145" t="str">
        <f>IFERROR(VLOOKUP($A73,'Base TOTAL'!A:AJ,2,0), "-")</f>
        <v>-</v>
      </c>
      <c r="C73" s="145" t="str">
        <f>IFERROR(VLOOKUP($A73,'Base TOTAL'!A:AJ,33,0), "-")</f>
        <v>-</v>
      </c>
      <c r="D73" s="146" t="str">
        <f>IFERROR(VLOOKUP($A73,'Base TOTAL'!A:AJ,34,0), "-")</f>
        <v>-</v>
      </c>
      <c r="E73" s="147" t="str">
        <f>IFERROR(VLOOKUP($A73,'Base TOTAL'!A:AJ,35,0), "-")</f>
        <v>-</v>
      </c>
      <c r="F73" s="133"/>
    </row>
    <row r="74" ht="30.0" customHeight="1">
      <c r="A74" s="144"/>
      <c r="B74" s="145" t="str">
        <f>IFERROR(VLOOKUP($A74,'Base TOTAL'!A:AJ,2,0), "-")</f>
        <v>-</v>
      </c>
      <c r="C74" s="145" t="str">
        <f>IFERROR(VLOOKUP($A74,'Base TOTAL'!A:AJ,33,0), "-")</f>
        <v>-</v>
      </c>
      <c r="D74" s="146" t="str">
        <f>IFERROR(VLOOKUP($A74,'Base TOTAL'!A:AJ,34,0), "-")</f>
        <v>-</v>
      </c>
      <c r="E74" s="147" t="str">
        <f>IFERROR(VLOOKUP($A74,'Base TOTAL'!A:AJ,35,0), "-")</f>
        <v>-</v>
      </c>
      <c r="F74" s="133"/>
    </row>
    <row r="75" ht="30.0" customHeight="1">
      <c r="A75" s="144"/>
      <c r="B75" s="145" t="str">
        <f>IFERROR(VLOOKUP($A75,'Base TOTAL'!A:AJ,2,0), "-")</f>
        <v>-</v>
      </c>
      <c r="C75" s="145" t="str">
        <f>IFERROR(VLOOKUP($A75,'Base TOTAL'!A:AJ,33,0), "-")</f>
        <v>-</v>
      </c>
      <c r="D75" s="146" t="str">
        <f>IFERROR(VLOOKUP($A75,'Base TOTAL'!A:AJ,34,0), "-")</f>
        <v>-</v>
      </c>
      <c r="E75" s="147" t="str">
        <f>IFERROR(VLOOKUP($A75,'Base TOTAL'!A:AJ,35,0), "-")</f>
        <v>-</v>
      </c>
      <c r="F75" s="133"/>
    </row>
    <row r="76" ht="30.0" customHeight="1">
      <c r="A76" s="144"/>
      <c r="B76" s="145" t="str">
        <f>IFERROR(VLOOKUP($A76,'Base TOTAL'!A:AJ,2,0), "-")</f>
        <v>-</v>
      </c>
      <c r="C76" s="145" t="str">
        <f>IFERROR(VLOOKUP($A76,'Base TOTAL'!A:AJ,33,0), "-")</f>
        <v>-</v>
      </c>
      <c r="D76" s="146" t="str">
        <f>IFERROR(VLOOKUP($A76,'Base TOTAL'!A:AJ,34,0), "-")</f>
        <v>-</v>
      </c>
      <c r="E76" s="147" t="str">
        <f>IFERROR(VLOOKUP($A76,'Base TOTAL'!A:AJ,35,0), "-")</f>
        <v>-</v>
      </c>
      <c r="F76" s="133"/>
    </row>
    <row r="77" ht="30.0" customHeight="1">
      <c r="A77" s="144"/>
      <c r="B77" s="145" t="str">
        <f>IFERROR(VLOOKUP($A77,'Base TOTAL'!A:AJ,2,0), "-")</f>
        <v>-</v>
      </c>
      <c r="C77" s="145" t="str">
        <f>IFERROR(VLOOKUP($A77,'Base TOTAL'!A:AJ,33,0), "-")</f>
        <v>-</v>
      </c>
      <c r="D77" s="146" t="str">
        <f>IFERROR(VLOOKUP($A77,'Base TOTAL'!A:AJ,34,0), "-")</f>
        <v>-</v>
      </c>
      <c r="E77" s="147" t="str">
        <f>IFERROR(VLOOKUP($A77,'Base TOTAL'!A:AJ,35,0), "-")</f>
        <v>-</v>
      </c>
      <c r="F77" s="133"/>
    </row>
    <row r="78" ht="30.0" customHeight="1">
      <c r="A78" s="144"/>
      <c r="B78" s="145" t="str">
        <f>IFERROR(VLOOKUP($A78,'Base TOTAL'!A:AJ,2,0), "-")</f>
        <v>-</v>
      </c>
      <c r="C78" s="145" t="str">
        <f>IFERROR(VLOOKUP($A78,'Base TOTAL'!A:AJ,33,0), "-")</f>
        <v>-</v>
      </c>
      <c r="D78" s="146" t="str">
        <f>IFERROR(VLOOKUP($A78,'Base TOTAL'!A:AJ,34,0), "-")</f>
        <v>-</v>
      </c>
      <c r="E78" s="147" t="str">
        <f>IFERROR(VLOOKUP($A78,'Base TOTAL'!A:AJ,35,0), "-")</f>
        <v>-</v>
      </c>
      <c r="F78" s="133"/>
    </row>
    <row r="79" ht="30.0" customHeight="1">
      <c r="A79" s="144"/>
      <c r="B79" s="145" t="str">
        <f>IFERROR(VLOOKUP($A79,'Base TOTAL'!A:AJ,2,0), "-")</f>
        <v>-</v>
      </c>
      <c r="C79" s="145" t="str">
        <f>IFERROR(VLOOKUP($A79,'Base TOTAL'!A:AJ,33,0), "-")</f>
        <v>-</v>
      </c>
      <c r="D79" s="146" t="str">
        <f>IFERROR(VLOOKUP($A79,'Base TOTAL'!A:AJ,34,0), "-")</f>
        <v>-</v>
      </c>
      <c r="E79" s="147" t="str">
        <f>IFERROR(VLOOKUP($A79,'Base TOTAL'!A:AJ,35,0), "-")</f>
        <v>-</v>
      </c>
      <c r="F79" s="133"/>
    </row>
    <row r="80" ht="30.0" customHeight="1">
      <c r="A80" s="144"/>
      <c r="B80" s="145" t="str">
        <f>IFERROR(VLOOKUP($A80,'Base TOTAL'!A:AJ,2,0), "-")</f>
        <v>-</v>
      </c>
      <c r="C80" s="145" t="str">
        <f>IFERROR(VLOOKUP($A80,'Base TOTAL'!A:AJ,33,0), "-")</f>
        <v>-</v>
      </c>
      <c r="D80" s="146" t="str">
        <f>IFERROR(VLOOKUP($A80,'Base TOTAL'!A:AJ,34,0), "-")</f>
        <v>-</v>
      </c>
      <c r="E80" s="147" t="str">
        <f>IFERROR(VLOOKUP($A80,'Base TOTAL'!A:AJ,35,0), "-")</f>
        <v>-</v>
      </c>
      <c r="F80" s="133"/>
    </row>
    <row r="81" ht="30.0" customHeight="1">
      <c r="A81" s="144"/>
      <c r="B81" s="145" t="str">
        <f>IFERROR(VLOOKUP($A81,'Base TOTAL'!A:AJ,2,0), "-")</f>
        <v>-</v>
      </c>
      <c r="C81" s="145" t="str">
        <f>IFERROR(VLOOKUP($A81,'Base TOTAL'!A:AJ,33,0), "-")</f>
        <v>-</v>
      </c>
      <c r="D81" s="146" t="str">
        <f>IFERROR(VLOOKUP($A81,'Base TOTAL'!A:AJ,34,0), "-")</f>
        <v>-</v>
      </c>
      <c r="E81" s="147" t="str">
        <f>IFERROR(VLOOKUP($A81,'Base TOTAL'!A:AJ,35,0), "-")</f>
        <v>-</v>
      </c>
      <c r="F81" s="133"/>
    </row>
    <row r="82" ht="30.0" customHeight="1">
      <c r="A82" s="144"/>
      <c r="B82" s="145" t="str">
        <f>IFERROR(VLOOKUP($A82,'Base TOTAL'!A:AJ,2,0), "-")</f>
        <v>-</v>
      </c>
      <c r="C82" s="145" t="str">
        <f>IFERROR(VLOOKUP($A82,'Base TOTAL'!A:AJ,33,0), "-")</f>
        <v>-</v>
      </c>
      <c r="D82" s="146" t="str">
        <f>IFERROR(VLOOKUP($A82,'Base TOTAL'!A:AJ,34,0), "-")</f>
        <v>-</v>
      </c>
      <c r="E82" s="147" t="str">
        <f>IFERROR(VLOOKUP($A82,'Base TOTAL'!A:AJ,35,0), "-")</f>
        <v>-</v>
      </c>
      <c r="F82" s="133"/>
    </row>
    <row r="83" ht="30.0" customHeight="1">
      <c r="A83" s="144"/>
      <c r="B83" s="145" t="str">
        <f>IFERROR(VLOOKUP($A83,'Base TOTAL'!A:AJ,2,0), "-")</f>
        <v>-</v>
      </c>
      <c r="C83" s="145" t="str">
        <f>IFERROR(VLOOKUP($A83,'Base TOTAL'!A:AJ,33,0), "-")</f>
        <v>-</v>
      </c>
      <c r="D83" s="146" t="str">
        <f>IFERROR(VLOOKUP($A83,'Base TOTAL'!A:AJ,34,0), "-")</f>
        <v>-</v>
      </c>
      <c r="E83" s="147" t="str">
        <f>IFERROR(VLOOKUP($A83,'Base TOTAL'!A:AJ,35,0), "-")</f>
        <v>-</v>
      </c>
      <c r="F83" s="133"/>
    </row>
    <row r="84" ht="30.0" customHeight="1">
      <c r="A84" s="144"/>
      <c r="B84" s="145" t="str">
        <f>IFERROR(VLOOKUP($A84,'Base TOTAL'!A:AJ,2,0), "-")</f>
        <v>-</v>
      </c>
      <c r="C84" s="145" t="str">
        <f>IFERROR(VLOOKUP($A84,'Base TOTAL'!A:AJ,33,0), "-")</f>
        <v>-</v>
      </c>
      <c r="D84" s="146" t="str">
        <f>IFERROR(VLOOKUP($A84,'Base TOTAL'!A:AJ,34,0), "-")</f>
        <v>-</v>
      </c>
      <c r="E84" s="147" t="str">
        <f>IFERROR(VLOOKUP($A84,'Base TOTAL'!A:AJ,35,0), "-")</f>
        <v>-</v>
      </c>
      <c r="F84" s="133"/>
    </row>
    <row r="85" ht="30.0" customHeight="1">
      <c r="A85" s="144"/>
      <c r="B85" s="145" t="str">
        <f>IFERROR(VLOOKUP($A85,'Base TOTAL'!A:AJ,2,0), "-")</f>
        <v>-</v>
      </c>
      <c r="C85" s="145" t="str">
        <f>IFERROR(VLOOKUP($A85,'Base TOTAL'!A:AJ,33,0), "-")</f>
        <v>-</v>
      </c>
      <c r="D85" s="146" t="str">
        <f>IFERROR(VLOOKUP($A85,'Base TOTAL'!A:AJ,34,0), "-")</f>
        <v>-</v>
      </c>
      <c r="E85" s="147" t="str">
        <f>IFERROR(VLOOKUP($A85,'Base TOTAL'!A:AJ,35,0), "-")</f>
        <v>-</v>
      </c>
      <c r="F85" s="133"/>
    </row>
    <row r="86" ht="30.0" customHeight="1">
      <c r="A86" s="144"/>
      <c r="B86" s="145" t="str">
        <f>IFERROR(VLOOKUP($A86,'Base TOTAL'!A:AJ,2,0), "-")</f>
        <v>-</v>
      </c>
      <c r="C86" s="145" t="str">
        <f>IFERROR(VLOOKUP($A86,'Base TOTAL'!A:AJ,33,0), "-")</f>
        <v>-</v>
      </c>
      <c r="D86" s="146" t="str">
        <f>IFERROR(VLOOKUP($A86,'Base TOTAL'!A:AJ,34,0), "-")</f>
        <v>-</v>
      </c>
      <c r="E86" s="147" t="str">
        <f>IFERROR(VLOOKUP($A86,'Base TOTAL'!A:AJ,35,0), "-")</f>
        <v>-</v>
      </c>
      <c r="F86" s="133"/>
    </row>
    <row r="87" ht="30.0" customHeight="1">
      <c r="A87" s="144"/>
      <c r="B87" s="145" t="str">
        <f>IFERROR(VLOOKUP($A87,'Base TOTAL'!A:AJ,2,0), "-")</f>
        <v>-</v>
      </c>
      <c r="C87" s="145" t="str">
        <f>IFERROR(VLOOKUP($A87,'Base TOTAL'!A:AJ,33,0), "-")</f>
        <v>-</v>
      </c>
      <c r="D87" s="146" t="str">
        <f>IFERROR(VLOOKUP($A87,'Base TOTAL'!A:AJ,34,0), "-")</f>
        <v>-</v>
      </c>
      <c r="E87" s="147" t="str">
        <f>IFERROR(VLOOKUP($A87,'Base TOTAL'!A:AJ,35,0), "-")</f>
        <v>-</v>
      </c>
      <c r="F87" s="133"/>
    </row>
    <row r="88" ht="30.0" customHeight="1">
      <c r="A88" s="144"/>
      <c r="B88" s="145" t="str">
        <f>IFERROR(VLOOKUP($A88,'Base TOTAL'!A:AJ,2,0), "-")</f>
        <v>-</v>
      </c>
      <c r="C88" s="145" t="str">
        <f>IFERROR(VLOOKUP($A88,'Base TOTAL'!A:AJ,33,0), "-")</f>
        <v>-</v>
      </c>
      <c r="D88" s="146" t="str">
        <f>IFERROR(VLOOKUP($A88,'Base TOTAL'!A:AJ,34,0), "-")</f>
        <v>-</v>
      </c>
      <c r="E88" s="147" t="str">
        <f>IFERROR(VLOOKUP($A88,'Base TOTAL'!A:AJ,35,0), "-")</f>
        <v>-</v>
      </c>
      <c r="F88" s="133"/>
    </row>
    <row r="89" ht="30.0" customHeight="1">
      <c r="A89" s="144"/>
      <c r="B89" s="145" t="str">
        <f>IFERROR(VLOOKUP($A89,'Base TOTAL'!A:AJ,2,0), "-")</f>
        <v>-</v>
      </c>
      <c r="C89" s="145" t="str">
        <f>IFERROR(VLOOKUP($A89,'Base TOTAL'!A:AJ,33,0), "-")</f>
        <v>-</v>
      </c>
      <c r="D89" s="146" t="str">
        <f>IFERROR(VLOOKUP($A89,'Base TOTAL'!A:AJ,34,0), "-")</f>
        <v>-</v>
      </c>
      <c r="E89" s="147" t="str">
        <f>IFERROR(VLOOKUP($A89,'Base TOTAL'!A:AJ,35,0), "-")</f>
        <v>-</v>
      </c>
      <c r="F89" s="133"/>
    </row>
    <row r="90" ht="30.0" customHeight="1">
      <c r="A90" s="144"/>
      <c r="B90" s="145" t="str">
        <f>IFERROR(VLOOKUP($A90,'Base TOTAL'!A:AJ,2,0), "-")</f>
        <v>-</v>
      </c>
      <c r="C90" s="145" t="str">
        <f>IFERROR(VLOOKUP($A90,'Base TOTAL'!A:AJ,33,0), "-")</f>
        <v>-</v>
      </c>
      <c r="D90" s="146" t="str">
        <f>IFERROR(VLOOKUP($A90,'Base TOTAL'!A:AJ,34,0), "-")</f>
        <v>-</v>
      </c>
      <c r="E90" s="147" t="str">
        <f>IFERROR(VLOOKUP($A90,'Base TOTAL'!A:AJ,35,0), "-")</f>
        <v>-</v>
      </c>
      <c r="F90" s="133"/>
    </row>
    <row r="91" ht="30.0" customHeight="1">
      <c r="A91" s="144"/>
      <c r="B91" s="145" t="str">
        <f>IFERROR(VLOOKUP($A91,'Base TOTAL'!A:AJ,2,0), "-")</f>
        <v>-</v>
      </c>
      <c r="C91" s="145" t="str">
        <f>IFERROR(VLOOKUP($A91,'Base TOTAL'!A:AJ,33,0), "-")</f>
        <v>-</v>
      </c>
      <c r="D91" s="146" t="str">
        <f>IFERROR(VLOOKUP($A91,'Base TOTAL'!A:AJ,34,0), "-")</f>
        <v>-</v>
      </c>
      <c r="E91" s="147" t="str">
        <f>IFERROR(VLOOKUP($A91,'Base TOTAL'!A:AJ,35,0), "-")</f>
        <v>-</v>
      </c>
      <c r="F91" s="133"/>
    </row>
    <row r="92" ht="30.0" customHeight="1">
      <c r="A92" s="144"/>
      <c r="B92" s="145" t="str">
        <f>IFERROR(VLOOKUP($A92,'Base TOTAL'!A:AJ,2,0), "-")</f>
        <v>-</v>
      </c>
      <c r="C92" s="145" t="str">
        <f>IFERROR(VLOOKUP($A92,'Base TOTAL'!A:AJ,33,0), "-")</f>
        <v>-</v>
      </c>
      <c r="D92" s="146" t="str">
        <f>IFERROR(VLOOKUP($A92,'Base TOTAL'!A:AJ,34,0), "-")</f>
        <v>-</v>
      </c>
      <c r="E92" s="147" t="str">
        <f>IFERROR(VLOOKUP($A92,'Base TOTAL'!A:AJ,35,0), "-")</f>
        <v>-</v>
      </c>
      <c r="F92" s="133"/>
    </row>
    <row r="93" ht="30.0" customHeight="1">
      <c r="A93" s="144"/>
      <c r="B93" s="145" t="str">
        <f>IFERROR(VLOOKUP($A93,'Base TOTAL'!A:AJ,2,0), "-")</f>
        <v>-</v>
      </c>
      <c r="C93" s="145" t="str">
        <f>IFERROR(VLOOKUP($A93,'Base TOTAL'!A:AJ,33,0), "-")</f>
        <v>-</v>
      </c>
      <c r="D93" s="146" t="str">
        <f>IFERROR(VLOOKUP($A93,'Base TOTAL'!A:AJ,34,0), "-")</f>
        <v>-</v>
      </c>
      <c r="E93" s="147" t="str">
        <f>IFERROR(VLOOKUP($A93,'Base TOTAL'!A:AJ,35,0), "-")</f>
        <v>-</v>
      </c>
      <c r="F93" s="133"/>
    </row>
    <row r="94" ht="30.0" customHeight="1">
      <c r="A94" s="144"/>
      <c r="B94" s="145" t="str">
        <f>IFERROR(VLOOKUP($A94,'Base TOTAL'!A:AJ,2,0), "-")</f>
        <v>-</v>
      </c>
      <c r="C94" s="145" t="str">
        <f>IFERROR(VLOOKUP($A94,'Base TOTAL'!A:AJ,33,0), "-")</f>
        <v>-</v>
      </c>
      <c r="D94" s="146" t="str">
        <f>IFERROR(VLOOKUP($A94,'Base TOTAL'!A:AJ,34,0), "-")</f>
        <v>-</v>
      </c>
      <c r="E94" s="147" t="str">
        <f>IFERROR(VLOOKUP($A94,'Base TOTAL'!A:AJ,35,0), "-")</f>
        <v>-</v>
      </c>
      <c r="F94" s="133"/>
    </row>
    <row r="95" ht="30.0" customHeight="1">
      <c r="A95" s="144"/>
      <c r="B95" s="145" t="str">
        <f>IFERROR(VLOOKUP($A95,'Base TOTAL'!A:AJ,2,0), "-")</f>
        <v>-</v>
      </c>
      <c r="C95" s="145" t="str">
        <f>IFERROR(VLOOKUP($A95,'Base TOTAL'!A:AJ,33,0), "-")</f>
        <v>-</v>
      </c>
      <c r="D95" s="146" t="str">
        <f>IFERROR(VLOOKUP($A95,'Base TOTAL'!A:AJ,34,0), "-")</f>
        <v>-</v>
      </c>
      <c r="E95" s="147" t="str">
        <f>IFERROR(VLOOKUP($A95,'Base TOTAL'!A:AJ,35,0), "-")</f>
        <v>-</v>
      </c>
      <c r="F95" s="133"/>
    </row>
    <row r="96" ht="30.0" customHeight="1">
      <c r="A96" s="144"/>
      <c r="B96" s="145" t="str">
        <f>IFERROR(VLOOKUP($A96,'Base TOTAL'!A:AJ,2,0), "-")</f>
        <v>-</v>
      </c>
      <c r="C96" s="145" t="str">
        <f>IFERROR(VLOOKUP($A96,'Base TOTAL'!A:AJ,33,0), "-")</f>
        <v>-</v>
      </c>
      <c r="D96" s="146" t="str">
        <f>IFERROR(VLOOKUP($A96,'Base TOTAL'!A:AJ,34,0), "-")</f>
        <v>-</v>
      </c>
      <c r="E96" s="147" t="str">
        <f>IFERROR(VLOOKUP($A96,'Base TOTAL'!A:AJ,35,0), "-")</f>
        <v>-</v>
      </c>
      <c r="F96" s="133"/>
    </row>
    <row r="97" ht="30.0" customHeight="1">
      <c r="A97" s="144"/>
      <c r="B97" s="145" t="str">
        <f>IFERROR(VLOOKUP($A97,'Base TOTAL'!A:AJ,2,0), "-")</f>
        <v>-</v>
      </c>
      <c r="C97" s="145" t="str">
        <f>IFERROR(VLOOKUP($A97,'Base TOTAL'!A:AJ,33,0), "-")</f>
        <v>-</v>
      </c>
      <c r="D97" s="146" t="str">
        <f>IFERROR(VLOOKUP($A97,'Base TOTAL'!A:AJ,34,0), "-")</f>
        <v>-</v>
      </c>
      <c r="E97" s="147" t="str">
        <f>IFERROR(VLOOKUP($A97,'Base TOTAL'!A:AJ,35,0), "-")</f>
        <v>-</v>
      </c>
      <c r="F97" s="133"/>
    </row>
    <row r="98" ht="30.0" customHeight="1">
      <c r="A98" s="144"/>
      <c r="B98" s="145" t="str">
        <f>IFERROR(VLOOKUP($A98,'Base TOTAL'!A:AJ,2,0), "-")</f>
        <v>-</v>
      </c>
      <c r="C98" s="145" t="str">
        <f>IFERROR(VLOOKUP($A98,'Base TOTAL'!A:AJ,33,0), "-")</f>
        <v>-</v>
      </c>
      <c r="D98" s="146" t="str">
        <f>IFERROR(VLOOKUP($A98,'Base TOTAL'!A:AJ,34,0), "-")</f>
        <v>-</v>
      </c>
      <c r="E98" s="147" t="str">
        <f>IFERROR(VLOOKUP($A98,'Base TOTAL'!A:AJ,35,0), "-")</f>
        <v>-</v>
      </c>
      <c r="F98" s="133"/>
    </row>
    <row r="99" ht="30.0" customHeight="1">
      <c r="A99" s="144"/>
      <c r="B99" s="145" t="str">
        <f>IFERROR(VLOOKUP($A99,'Base TOTAL'!A:AJ,2,0), "-")</f>
        <v>-</v>
      </c>
      <c r="C99" s="145" t="str">
        <f>IFERROR(VLOOKUP($A99,'Base TOTAL'!A:AJ,33,0), "-")</f>
        <v>-</v>
      </c>
      <c r="D99" s="146" t="str">
        <f>IFERROR(VLOOKUP($A99,'Base TOTAL'!A:AJ,34,0), "-")</f>
        <v>-</v>
      </c>
      <c r="E99" s="147" t="str">
        <f>IFERROR(VLOOKUP($A99,'Base TOTAL'!A:AJ,35,0), "-")</f>
        <v>-</v>
      </c>
      <c r="F99" s="133"/>
    </row>
    <row r="100" ht="30.0" customHeight="1">
      <c r="A100" s="144"/>
      <c r="B100" s="145" t="str">
        <f>IFERROR(VLOOKUP($A100,'Base TOTAL'!A:AJ,2,0), "-")</f>
        <v>-</v>
      </c>
      <c r="C100" s="145" t="str">
        <f>IFERROR(VLOOKUP($A100,'Base TOTAL'!A:AJ,33,0), "-")</f>
        <v>-</v>
      </c>
      <c r="D100" s="146" t="str">
        <f>IFERROR(VLOOKUP($A100,'Base TOTAL'!A:AJ,34,0), "-")</f>
        <v>-</v>
      </c>
      <c r="E100" s="147" t="str">
        <f>IFERROR(VLOOKUP($A100,'Base TOTAL'!A:AJ,35,0), "-")</f>
        <v>-</v>
      </c>
      <c r="F100" s="133"/>
    </row>
    <row r="101" ht="30.0" customHeight="1">
      <c r="A101" s="144"/>
      <c r="B101" s="145" t="str">
        <f>IFERROR(VLOOKUP($A101,'Base TOTAL'!A:AJ,2,0), "-")</f>
        <v>-</v>
      </c>
      <c r="C101" s="145" t="str">
        <f>IFERROR(VLOOKUP($A101,'Base TOTAL'!A:AJ,33,0), "-")</f>
        <v>-</v>
      </c>
      <c r="D101" s="146" t="str">
        <f>IFERROR(VLOOKUP($A101,'Base TOTAL'!A:AJ,34,0), "-")</f>
        <v>-</v>
      </c>
      <c r="E101" s="147" t="str">
        <f>IFERROR(VLOOKUP($A101,'Base TOTAL'!A:AJ,35,0), "-")</f>
        <v>-</v>
      </c>
      <c r="F101" s="133"/>
    </row>
    <row r="102" ht="30.0" customHeight="1">
      <c r="A102" s="144"/>
      <c r="B102" s="145" t="str">
        <f>IFERROR(VLOOKUP($A102,'Base TOTAL'!A:AJ,2,0), "-")</f>
        <v>-</v>
      </c>
      <c r="C102" s="145" t="str">
        <f>IFERROR(VLOOKUP($A102,'Base TOTAL'!A:AJ,33,0), "-")</f>
        <v>-</v>
      </c>
      <c r="D102" s="146" t="str">
        <f>IFERROR(VLOOKUP($A102,'Base TOTAL'!A:AJ,34,0), "-")</f>
        <v>-</v>
      </c>
      <c r="E102" s="147" t="str">
        <f>IFERROR(VLOOKUP($A102,'Base TOTAL'!A:AJ,35,0), "-")</f>
        <v>-</v>
      </c>
      <c r="F102" s="133"/>
    </row>
    <row r="103" ht="30.0" customHeight="1">
      <c r="A103" s="144"/>
      <c r="B103" s="145" t="str">
        <f>IFERROR(VLOOKUP($A103,'Base TOTAL'!A:AJ,2,0), "-")</f>
        <v>-</v>
      </c>
      <c r="C103" s="145" t="str">
        <f>IFERROR(VLOOKUP($A103,'Base TOTAL'!A:AJ,33,0), "-")</f>
        <v>-</v>
      </c>
      <c r="D103" s="146" t="str">
        <f>IFERROR(VLOOKUP($A103,'Base TOTAL'!A:AJ,34,0), "-")</f>
        <v>-</v>
      </c>
      <c r="E103" s="147" t="str">
        <f>IFERROR(VLOOKUP($A103,'Base TOTAL'!A:AJ,35,0), "-")</f>
        <v>-</v>
      </c>
      <c r="F103" s="133"/>
    </row>
    <row r="104" ht="30.0" customHeight="1">
      <c r="A104" s="144"/>
      <c r="B104" s="145" t="str">
        <f>IFERROR(VLOOKUP($A104,'Base TOTAL'!A:AJ,2,0), "-")</f>
        <v>-</v>
      </c>
      <c r="C104" s="145" t="str">
        <f>IFERROR(VLOOKUP($A104,'Base TOTAL'!A:AJ,33,0), "-")</f>
        <v>-</v>
      </c>
      <c r="D104" s="146" t="str">
        <f>IFERROR(VLOOKUP($A104,'Base TOTAL'!A:AJ,34,0), "-")</f>
        <v>-</v>
      </c>
      <c r="E104" s="147" t="str">
        <f>IFERROR(VLOOKUP($A104,'Base TOTAL'!A:AJ,35,0), "-")</f>
        <v>-</v>
      </c>
      <c r="F104" s="133"/>
    </row>
    <row r="105" ht="30.0" customHeight="1">
      <c r="A105" s="144"/>
      <c r="B105" s="145" t="str">
        <f>IFERROR(VLOOKUP($A105,'Base TOTAL'!A:AJ,2,0), "-")</f>
        <v>-</v>
      </c>
      <c r="C105" s="145" t="str">
        <f>IFERROR(VLOOKUP($A105,'Base TOTAL'!A:AJ,33,0), "-")</f>
        <v>-</v>
      </c>
      <c r="D105" s="146" t="str">
        <f>IFERROR(VLOOKUP($A105,'Base TOTAL'!A:AJ,34,0), "-")</f>
        <v>-</v>
      </c>
      <c r="E105" s="147" t="str">
        <f>IFERROR(VLOOKUP($A105,'Base TOTAL'!A:AJ,35,0), "-")</f>
        <v>-</v>
      </c>
      <c r="F105" s="133"/>
    </row>
    <row r="106" ht="30.0" customHeight="1">
      <c r="A106" s="144"/>
      <c r="B106" s="145" t="str">
        <f>IFERROR(VLOOKUP($A106,'Base TOTAL'!A:AJ,2,0), "-")</f>
        <v>-</v>
      </c>
      <c r="C106" s="145" t="str">
        <f>IFERROR(VLOOKUP($A106,'Base TOTAL'!A:AJ,33,0), "-")</f>
        <v>-</v>
      </c>
      <c r="D106" s="146" t="str">
        <f>IFERROR(VLOOKUP($A106,'Base TOTAL'!A:AJ,34,0), "-")</f>
        <v>-</v>
      </c>
      <c r="E106" s="147" t="str">
        <f>IFERROR(VLOOKUP($A106,'Base TOTAL'!A:AJ,35,0), "-")</f>
        <v>-</v>
      </c>
      <c r="F106" s="133"/>
    </row>
    <row r="107" ht="30.0" customHeight="1">
      <c r="A107" s="144"/>
      <c r="B107" s="145" t="str">
        <f>IFERROR(VLOOKUP($A107,'Base TOTAL'!A:AJ,2,0), "-")</f>
        <v>-</v>
      </c>
      <c r="C107" s="145" t="str">
        <f>IFERROR(VLOOKUP($A107,'Base TOTAL'!A:AJ,33,0), "-")</f>
        <v>-</v>
      </c>
      <c r="D107" s="146" t="str">
        <f>IFERROR(VLOOKUP($A107,'Base TOTAL'!A:AJ,34,0), "-")</f>
        <v>-</v>
      </c>
      <c r="E107" s="147" t="str">
        <f>IFERROR(VLOOKUP($A107,'Base TOTAL'!A:AJ,35,0), "-")</f>
        <v>-</v>
      </c>
      <c r="F107" s="133"/>
    </row>
    <row r="108" ht="30.0" customHeight="1">
      <c r="A108" s="144"/>
      <c r="B108" s="145" t="str">
        <f>IFERROR(VLOOKUP($A108,'Base TOTAL'!A:AJ,2,0), "-")</f>
        <v>-</v>
      </c>
      <c r="C108" s="145" t="str">
        <f>IFERROR(VLOOKUP($A108,'Base TOTAL'!A:AJ,33,0), "-")</f>
        <v>-</v>
      </c>
      <c r="D108" s="146" t="str">
        <f>IFERROR(VLOOKUP($A108,'Base TOTAL'!A:AJ,34,0), "-")</f>
        <v>-</v>
      </c>
      <c r="E108" s="147" t="str">
        <f>IFERROR(VLOOKUP($A108,'Base TOTAL'!A:AJ,35,0), "-")</f>
        <v>-</v>
      </c>
      <c r="F108" s="133"/>
    </row>
    <row r="109" ht="30.0" customHeight="1">
      <c r="A109" s="144"/>
      <c r="B109" s="145" t="str">
        <f>IFERROR(VLOOKUP($A109,'Base TOTAL'!A:AJ,2,0), "-")</f>
        <v>-</v>
      </c>
      <c r="C109" s="145" t="str">
        <f>IFERROR(VLOOKUP($A109,'Base TOTAL'!A:AJ,33,0), "-")</f>
        <v>-</v>
      </c>
      <c r="D109" s="146" t="str">
        <f>IFERROR(VLOOKUP($A109,'Base TOTAL'!A:AJ,34,0), "-")</f>
        <v>-</v>
      </c>
      <c r="E109" s="147" t="str">
        <f>IFERROR(VLOOKUP($A109,'Base TOTAL'!A:AJ,35,0), "-")</f>
        <v>-</v>
      </c>
      <c r="F109" s="133"/>
    </row>
    <row r="110" ht="30.0" customHeight="1">
      <c r="A110" s="144"/>
      <c r="B110" s="145" t="str">
        <f>IFERROR(VLOOKUP($A110,'Base TOTAL'!A:AJ,2,0), "-")</f>
        <v>-</v>
      </c>
      <c r="C110" s="145" t="str">
        <f>IFERROR(VLOOKUP($A110,'Base TOTAL'!A:AJ,33,0), "-")</f>
        <v>-</v>
      </c>
      <c r="D110" s="146" t="str">
        <f>IFERROR(VLOOKUP($A110,'Base TOTAL'!A:AJ,34,0), "-")</f>
        <v>-</v>
      </c>
      <c r="E110" s="147" t="str">
        <f>IFERROR(VLOOKUP($A110,'Base TOTAL'!A:AJ,35,0), "-")</f>
        <v>-</v>
      </c>
      <c r="F110" s="133"/>
    </row>
    <row r="111" ht="30.0" customHeight="1">
      <c r="A111" s="144"/>
      <c r="B111" s="145" t="str">
        <f>IFERROR(VLOOKUP($A111,'Base TOTAL'!A:AJ,2,0), "-")</f>
        <v>-</v>
      </c>
      <c r="C111" s="145" t="str">
        <f>IFERROR(VLOOKUP($A111,'Base TOTAL'!A:AJ,33,0), "-")</f>
        <v>-</v>
      </c>
      <c r="D111" s="146" t="str">
        <f>IFERROR(VLOOKUP($A111,'Base TOTAL'!A:AJ,34,0), "-")</f>
        <v>-</v>
      </c>
      <c r="E111" s="147" t="str">
        <f>IFERROR(VLOOKUP($A111,'Base TOTAL'!A:AJ,35,0), "-")</f>
        <v>-</v>
      </c>
      <c r="F111" s="133"/>
    </row>
    <row r="112" ht="30.0" customHeight="1">
      <c r="A112" s="144"/>
      <c r="B112" s="145" t="str">
        <f>IFERROR(VLOOKUP($A112,'Base TOTAL'!A:AJ,2,0), "-")</f>
        <v>-</v>
      </c>
      <c r="C112" s="145" t="str">
        <f>IFERROR(VLOOKUP($A112,'Base TOTAL'!A:AJ,33,0), "-")</f>
        <v>-</v>
      </c>
      <c r="D112" s="146" t="str">
        <f>IFERROR(VLOOKUP($A112,'Base TOTAL'!A:AJ,34,0), "-")</f>
        <v>-</v>
      </c>
      <c r="E112" s="147" t="str">
        <f>IFERROR(VLOOKUP($A112,'Base TOTAL'!A:AJ,35,0), "-")</f>
        <v>-</v>
      </c>
      <c r="F112" s="133"/>
    </row>
    <row r="113" ht="30.0" customHeight="1">
      <c r="A113" s="144"/>
      <c r="B113" s="145" t="str">
        <f>IFERROR(VLOOKUP($A113,'Base TOTAL'!A:AJ,2,0), "-")</f>
        <v>-</v>
      </c>
      <c r="C113" s="145" t="str">
        <f>IFERROR(VLOOKUP($A113,'Base TOTAL'!A:AJ,33,0), "-")</f>
        <v>-</v>
      </c>
      <c r="D113" s="146" t="str">
        <f>IFERROR(VLOOKUP($A113,'Base TOTAL'!A:AJ,34,0), "-")</f>
        <v>-</v>
      </c>
      <c r="E113" s="147" t="str">
        <f>IFERROR(VLOOKUP($A113,'Base TOTAL'!A:AJ,35,0), "-")</f>
        <v>-</v>
      </c>
      <c r="F113" s="133"/>
    </row>
    <row r="114" ht="30.0" customHeight="1">
      <c r="A114" s="144"/>
      <c r="B114" s="145" t="str">
        <f>IFERROR(VLOOKUP($A114,'Base TOTAL'!A:AJ,2,0), "-")</f>
        <v>-</v>
      </c>
      <c r="C114" s="145" t="str">
        <f>IFERROR(VLOOKUP($A114,'Base TOTAL'!A:AJ,33,0), "-")</f>
        <v>-</v>
      </c>
      <c r="D114" s="146" t="str">
        <f>IFERROR(VLOOKUP($A114,'Base TOTAL'!A:AJ,34,0), "-")</f>
        <v>-</v>
      </c>
      <c r="E114" s="147" t="str">
        <f>IFERROR(VLOOKUP($A114,'Base TOTAL'!A:AJ,35,0), "-")</f>
        <v>-</v>
      </c>
      <c r="F114" s="133"/>
    </row>
    <row r="115" ht="30.0" customHeight="1">
      <c r="A115" s="144"/>
      <c r="B115" s="145" t="str">
        <f>IFERROR(VLOOKUP($A115,'Base TOTAL'!A:AJ,2,0), "-")</f>
        <v>-</v>
      </c>
      <c r="C115" s="145" t="str">
        <f>IFERROR(VLOOKUP($A115,'Base TOTAL'!A:AJ,33,0), "-")</f>
        <v>-</v>
      </c>
      <c r="D115" s="146" t="str">
        <f>IFERROR(VLOOKUP($A115,'Base TOTAL'!A:AJ,34,0), "-")</f>
        <v>-</v>
      </c>
      <c r="E115" s="147" t="str">
        <f>IFERROR(VLOOKUP($A115,'Base TOTAL'!A:AJ,35,0), "-")</f>
        <v>-</v>
      </c>
      <c r="F115" s="133"/>
    </row>
    <row r="116" ht="30.0" customHeight="1">
      <c r="A116" s="144"/>
      <c r="B116" s="145" t="str">
        <f>IFERROR(VLOOKUP($A116,'Base TOTAL'!A:AJ,2,0), "-")</f>
        <v>-</v>
      </c>
      <c r="C116" s="145" t="str">
        <f>IFERROR(VLOOKUP($A116,'Base TOTAL'!A:AJ,33,0), "-")</f>
        <v>-</v>
      </c>
      <c r="D116" s="146" t="str">
        <f>IFERROR(VLOOKUP($A116,'Base TOTAL'!A:AJ,34,0), "-")</f>
        <v>-</v>
      </c>
      <c r="E116" s="147" t="str">
        <f>IFERROR(VLOOKUP($A116,'Base TOTAL'!A:AJ,35,0), "-")</f>
        <v>-</v>
      </c>
      <c r="F116" s="133"/>
    </row>
    <row r="117" ht="30.0" customHeight="1">
      <c r="A117" s="144"/>
      <c r="B117" s="145" t="str">
        <f>IFERROR(VLOOKUP($A117,'Base TOTAL'!A:AJ,2,0), "-")</f>
        <v>-</v>
      </c>
      <c r="C117" s="145" t="str">
        <f>IFERROR(VLOOKUP($A117,'Base TOTAL'!A:AJ,33,0), "-")</f>
        <v>-</v>
      </c>
      <c r="D117" s="146" t="str">
        <f>IFERROR(VLOOKUP($A117,'Base TOTAL'!A:AJ,34,0), "-")</f>
        <v>-</v>
      </c>
      <c r="E117" s="147" t="str">
        <f>IFERROR(VLOOKUP($A117,'Base TOTAL'!A:AJ,35,0), "-")</f>
        <v>-</v>
      </c>
      <c r="F117" s="133"/>
    </row>
    <row r="118" ht="30.0" customHeight="1">
      <c r="A118" s="144"/>
      <c r="B118" s="145" t="str">
        <f>IFERROR(VLOOKUP($A118,'Base TOTAL'!A:AJ,2,0), "-")</f>
        <v>-</v>
      </c>
      <c r="C118" s="145" t="str">
        <f>IFERROR(VLOOKUP($A118,'Base TOTAL'!A:AJ,33,0), "-")</f>
        <v>-</v>
      </c>
      <c r="D118" s="146" t="str">
        <f>IFERROR(VLOOKUP($A118,'Base TOTAL'!A:AJ,34,0), "-")</f>
        <v>-</v>
      </c>
      <c r="E118" s="147" t="str">
        <f>IFERROR(VLOOKUP($A118,'Base TOTAL'!A:AJ,35,0), "-")</f>
        <v>-</v>
      </c>
      <c r="F118" s="133"/>
    </row>
    <row r="119" ht="30.0" customHeight="1">
      <c r="A119" s="144"/>
      <c r="B119" s="145" t="str">
        <f>IFERROR(VLOOKUP($A119,'Base TOTAL'!A:AJ,2,0), "-")</f>
        <v>-</v>
      </c>
      <c r="C119" s="145" t="str">
        <f>IFERROR(VLOOKUP($A119,'Base TOTAL'!A:AJ,33,0), "-")</f>
        <v>-</v>
      </c>
      <c r="D119" s="146" t="str">
        <f>IFERROR(VLOOKUP($A119,'Base TOTAL'!A:AJ,34,0), "-")</f>
        <v>-</v>
      </c>
      <c r="E119" s="147" t="str">
        <f>IFERROR(VLOOKUP($A119,'Base TOTAL'!A:AJ,35,0), "-")</f>
        <v>-</v>
      </c>
      <c r="F119" s="133"/>
    </row>
    <row r="120" ht="30.0" customHeight="1">
      <c r="A120" s="144"/>
      <c r="B120" s="145" t="str">
        <f>IFERROR(VLOOKUP($A120,'Base TOTAL'!A:AJ,2,0), "-")</f>
        <v>-</v>
      </c>
      <c r="C120" s="145" t="str">
        <f>IFERROR(VLOOKUP($A120,'Base TOTAL'!A:AJ,33,0), "-")</f>
        <v>-</v>
      </c>
      <c r="D120" s="146" t="str">
        <f>IFERROR(VLOOKUP($A120,'Base TOTAL'!A:AJ,34,0), "-")</f>
        <v>-</v>
      </c>
      <c r="E120" s="147" t="str">
        <f>IFERROR(VLOOKUP($A120,'Base TOTAL'!A:AJ,35,0), "-")</f>
        <v>-</v>
      </c>
      <c r="F120" s="133"/>
    </row>
    <row r="121" ht="30.0" customHeight="1">
      <c r="A121" s="144"/>
      <c r="B121" s="145" t="str">
        <f>IFERROR(VLOOKUP($A121,'Base TOTAL'!A:AJ,2,0), "-")</f>
        <v>-</v>
      </c>
      <c r="C121" s="145" t="str">
        <f>IFERROR(VLOOKUP($A121,'Base TOTAL'!A:AJ,33,0), "-")</f>
        <v>-</v>
      </c>
      <c r="D121" s="146" t="str">
        <f>IFERROR(VLOOKUP($A121,'Base TOTAL'!A:AJ,34,0), "-")</f>
        <v>-</v>
      </c>
      <c r="E121" s="147" t="str">
        <f>IFERROR(VLOOKUP($A121,'Base TOTAL'!A:AJ,35,0), "-")</f>
        <v>-</v>
      </c>
      <c r="F121" s="133"/>
    </row>
    <row r="122" ht="30.0" customHeight="1">
      <c r="A122" s="144"/>
      <c r="B122" s="145" t="str">
        <f>IFERROR(VLOOKUP($A122,'Base TOTAL'!A:AJ,2,0), "-")</f>
        <v>-</v>
      </c>
      <c r="C122" s="145" t="str">
        <f>IFERROR(VLOOKUP($A122,'Base TOTAL'!A:AJ,33,0), "-")</f>
        <v>-</v>
      </c>
      <c r="D122" s="146" t="str">
        <f>IFERROR(VLOOKUP($A122,'Base TOTAL'!A:AJ,34,0), "-")</f>
        <v>-</v>
      </c>
      <c r="E122" s="147" t="str">
        <f>IFERROR(VLOOKUP($A122,'Base TOTAL'!A:AJ,35,0), "-")</f>
        <v>-</v>
      </c>
      <c r="F122" s="133"/>
    </row>
    <row r="123" ht="30.0" customHeight="1">
      <c r="A123" s="144"/>
      <c r="B123" s="145" t="str">
        <f>IFERROR(VLOOKUP($A123,'Base TOTAL'!A:AJ,2,0), "-")</f>
        <v>-</v>
      </c>
      <c r="C123" s="145" t="str">
        <f>IFERROR(VLOOKUP($A123,'Base TOTAL'!A:AJ,33,0), "-")</f>
        <v>-</v>
      </c>
      <c r="D123" s="146" t="str">
        <f>IFERROR(VLOOKUP($A123,'Base TOTAL'!A:AJ,34,0), "-")</f>
        <v>-</v>
      </c>
      <c r="E123" s="147" t="str">
        <f>IFERROR(VLOOKUP($A123,'Base TOTAL'!A:AJ,35,0), "-")</f>
        <v>-</v>
      </c>
      <c r="F123" s="133"/>
    </row>
    <row r="124" ht="30.0" customHeight="1">
      <c r="A124" s="144"/>
      <c r="B124" s="145" t="str">
        <f>IFERROR(VLOOKUP($A124,'Base TOTAL'!A:AJ,2,0), "-")</f>
        <v>-</v>
      </c>
      <c r="C124" s="145" t="str">
        <f>IFERROR(VLOOKUP($A124,'Base TOTAL'!A:AJ,33,0), "-")</f>
        <v>-</v>
      </c>
      <c r="D124" s="146" t="str">
        <f>IFERROR(VLOOKUP($A124,'Base TOTAL'!A:AJ,34,0), "-")</f>
        <v>-</v>
      </c>
      <c r="E124" s="147" t="str">
        <f>IFERROR(VLOOKUP($A124,'Base TOTAL'!A:AJ,35,0), "-")</f>
        <v>-</v>
      </c>
      <c r="F124" s="133"/>
    </row>
    <row r="125" ht="30.0" customHeight="1">
      <c r="A125" s="144"/>
      <c r="B125" s="145" t="str">
        <f>IFERROR(VLOOKUP($A125,'Base TOTAL'!A:AJ,2,0), "-")</f>
        <v>-</v>
      </c>
      <c r="C125" s="145" t="str">
        <f>IFERROR(VLOOKUP($A125,'Base TOTAL'!A:AJ,33,0), "-")</f>
        <v>-</v>
      </c>
      <c r="D125" s="146" t="str">
        <f>IFERROR(VLOOKUP($A125,'Base TOTAL'!A:AJ,34,0), "-")</f>
        <v>-</v>
      </c>
      <c r="E125" s="147" t="str">
        <f>IFERROR(VLOOKUP($A125,'Base TOTAL'!A:AJ,35,0), "-")</f>
        <v>-</v>
      </c>
      <c r="F125" s="133"/>
    </row>
    <row r="126" ht="30.0" customHeight="1">
      <c r="A126" s="144"/>
      <c r="B126" s="145" t="str">
        <f>IFERROR(VLOOKUP($A126,'Base TOTAL'!A:AJ,2,0), "-")</f>
        <v>-</v>
      </c>
      <c r="C126" s="145" t="str">
        <f>IFERROR(VLOOKUP($A126,'Base TOTAL'!A:AJ,33,0), "-")</f>
        <v>-</v>
      </c>
      <c r="D126" s="146" t="str">
        <f>IFERROR(VLOOKUP($A126,'Base TOTAL'!A:AJ,34,0), "-")</f>
        <v>-</v>
      </c>
      <c r="E126" s="147" t="str">
        <f>IFERROR(VLOOKUP($A126,'Base TOTAL'!A:AJ,35,0), "-")</f>
        <v>-</v>
      </c>
      <c r="F126" s="133"/>
    </row>
    <row r="127" ht="30.0" customHeight="1">
      <c r="A127" s="144"/>
      <c r="B127" s="145" t="str">
        <f>IFERROR(VLOOKUP($A127,'Base TOTAL'!A:AJ,2,0), "-")</f>
        <v>-</v>
      </c>
      <c r="C127" s="145" t="str">
        <f>IFERROR(VLOOKUP($A127,'Base TOTAL'!A:AJ,33,0), "-")</f>
        <v>-</v>
      </c>
      <c r="D127" s="146" t="str">
        <f>IFERROR(VLOOKUP($A127,'Base TOTAL'!A:AJ,34,0), "-")</f>
        <v>-</v>
      </c>
      <c r="E127" s="147" t="str">
        <f>IFERROR(VLOOKUP($A127,'Base TOTAL'!A:AJ,35,0), "-")</f>
        <v>-</v>
      </c>
      <c r="F127" s="133"/>
    </row>
    <row r="128" ht="30.0" customHeight="1">
      <c r="A128" s="144"/>
      <c r="B128" s="145" t="str">
        <f>IFERROR(VLOOKUP($A128,'Base TOTAL'!A:AJ,2,0), "-")</f>
        <v>-</v>
      </c>
      <c r="C128" s="145" t="str">
        <f>IFERROR(VLOOKUP($A128,'Base TOTAL'!A:AJ,33,0), "-")</f>
        <v>-</v>
      </c>
      <c r="D128" s="146" t="str">
        <f>IFERROR(VLOOKUP($A128,'Base TOTAL'!A:AJ,34,0), "-")</f>
        <v>-</v>
      </c>
      <c r="E128" s="147" t="str">
        <f>IFERROR(VLOOKUP($A128,'Base TOTAL'!A:AJ,35,0), "-")</f>
        <v>-</v>
      </c>
      <c r="F128" s="133"/>
    </row>
    <row r="129" ht="30.0" customHeight="1">
      <c r="A129" s="144"/>
      <c r="B129" s="145" t="str">
        <f>IFERROR(VLOOKUP($A129,'Base TOTAL'!A:AJ,2,0), "-")</f>
        <v>-</v>
      </c>
      <c r="C129" s="145" t="str">
        <f>IFERROR(VLOOKUP($A129,'Base TOTAL'!A:AJ,33,0), "-")</f>
        <v>-</v>
      </c>
      <c r="D129" s="146" t="str">
        <f>IFERROR(VLOOKUP($A129,'Base TOTAL'!A:AJ,34,0), "-")</f>
        <v>-</v>
      </c>
      <c r="E129" s="147" t="str">
        <f>IFERROR(VLOOKUP($A129,'Base TOTAL'!A:AJ,35,0), "-")</f>
        <v>-</v>
      </c>
      <c r="F129" s="133"/>
    </row>
    <row r="130" ht="30.0" customHeight="1">
      <c r="A130" s="144"/>
      <c r="B130" s="145" t="str">
        <f>IFERROR(VLOOKUP($A130,'Base TOTAL'!A:AJ,2,0), "-")</f>
        <v>-</v>
      </c>
      <c r="C130" s="145" t="str">
        <f>IFERROR(VLOOKUP($A130,'Base TOTAL'!A:AJ,33,0), "-")</f>
        <v>-</v>
      </c>
      <c r="D130" s="146" t="str">
        <f>IFERROR(VLOOKUP($A130,'Base TOTAL'!A:AJ,34,0), "-")</f>
        <v>-</v>
      </c>
      <c r="E130" s="147" t="str">
        <f>IFERROR(VLOOKUP($A130,'Base TOTAL'!A:AJ,35,0), "-")</f>
        <v>-</v>
      </c>
      <c r="F130" s="133"/>
    </row>
    <row r="131" ht="30.0" customHeight="1">
      <c r="A131" s="144"/>
      <c r="B131" s="145" t="str">
        <f>IFERROR(VLOOKUP($A131,'Base TOTAL'!A:AJ,2,0), "-")</f>
        <v>-</v>
      </c>
      <c r="C131" s="145" t="str">
        <f>IFERROR(VLOOKUP($A131,'Base TOTAL'!A:AJ,33,0), "-")</f>
        <v>-</v>
      </c>
      <c r="D131" s="146" t="str">
        <f>IFERROR(VLOOKUP($A131,'Base TOTAL'!A:AJ,34,0), "-")</f>
        <v>-</v>
      </c>
      <c r="E131" s="147" t="str">
        <f>IFERROR(VLOOKUP($A131,'Base TOTAL'!A:AJ,35,0), "-")</f>
        <v>-</v>
      </c>
      <c r="F131" s="133"/>
    </row>
    <row r="132" ht="30.0" customHeight="1">
      <c r="A132" s="144"/>
      <c r="B132" s="145" t="str">
        <f>IFERROR(VLOOKUP($A132,'Base TOTAL'!A:AJ,2,0), "-")</f>
        <v>-</v>
      </c>
      <c r="C132" s="145" t="str">
        <f>IFERROR(VLOOKUP($A132,'Base TOTAL'!A:AJ,33,0), "-")</f>
        <v>-</v>
      </c>
      <c r="D132" s="146" t="str">
        <f>IFERROR(VLOOKUP($A132,'Base TOTAL'!A:AJ,34,0), "-")</f>
        <v>-</v>
      </c>
      <c r="E132" s="147" t="str">
        <f>IFERROR(VLOOKUP($A132,'Base TOTAL'!A:AJ,35,0), "-")</f>
        <v>-</v>
      </c>
      <c r="F132" s="133"/>
    </row>
    <row r="133" ht="30.0" customHeight="1">
      <c r="A133" s="144"/>
      <c r="B133" s="145" t="str">
        <f>IFERROR(VLOOKUP($A133,'Base TOTAL'!A:AJ,2,0), "-")</f>
        <v>-</v>
      </c>
      <c r="C133" s="145" t="str">
        <f>IFERROR(VLOOKUP($A133,'Base TOTAL'!A:AJ,33,0), "-")</f>
        <v>-</v>
      </c>
      <c r="D133" s="146" t="str">
        <f>IFERROR(VLOOKUP($A133,'Base TOTAL'!A:AJ,34,0), "-")</f>
        <v>-</v>
      </c>
      <c r="E133" s="147" t="str">
        <f>IFERROR(VLOOKUP($A133,'Base TOTAL'!A:AJ,35,0), "-")</f>
        <v>-</v>
      </c>
      <c r="F133" s="133"/>
    </row>
    <row r="134" ht="30.0" customHeight="1">
      <c r="A134" s="144"/>
      <c r="B134" s="145" t="str">
        <f>IFERROR(VLOOKUP($A134,'Base TOTAL'!A:AJ,2,0), "-")</f>
        <v>-</v>
      </c>
      <c r="C134" s="145" t="str">
        <f>IFERROR(VLOOKUP($A134,'Base TOTAL'!A:AJ,33,0), "-")</f>
        <v>-</v>
      </c>
      <c r="D134" s="146" t="str">
        <f>IFERROR(VLOOKUP($A134,'Base TOTAL'!A:AJ,34,0), "-")</f>
        <v>-</v>
      </c>
      <c r="E134" s="147" t="str">
        <f>IFERROR(VLOOKUP($A134,'Base TOTAL'!A:AJ,35,0), "-")</f>
        <v>-</v>
      </c>
      <c r="F134" s="133"/>
    </row>
    <row r="135" ht="30.0" customHeight="1">
      <c r="A135" s="144"/>
      <c r="B135" s="145" t="str">
        <f>IFERROR(VLOOKUP($A135,'Base TOTAL'!A:AJ,2,0), "-")</f>
        <v>-</v>
      </c>
      <c r="C135" s="145" t="str">
        <f>IFERROR(VLOOKUP($A135,'Base TOTAL'!A:AJ,33,0), "-")</f>
        <v>-</v>
      </c>
      <c r="D135" s="146" t="str">
        <f>IFERROR(VLOOKUP($A135,'Base TOTAL'!A:AJ,34,0), "-")</f>
        <v>-</v>
      </c>
      <c r="E135" s="147" t="str">
        <f>IFERROR(VLOOKUP($A135,'Base TOTAL'!A:AJ,35,0), "-")</f>
        <v>-</v>
      </c>
      <c r="F135" s="133"/>
    </row>
    <row r="136" ht="30.0" customHeight="1">
      <c r="A136" s="144"/>
      <c r="B136" s="145" t="str">
        <f>IFERROR(VLOOKUP($A136,'Base TOTAL'!A:AJ,2,0), "-")</f>
        <v>-</v>
      </c>
      <c r="C136" s="145" t="str">
        <f>IFERROR(VLOOKUP($A136,'Base TOTAL'!A:AJ,33,0), "-")</f>
        <v>-</v>
      </c>
      <c r="D136" s="146" t="str">
        <f>IFERROR(VLOOKUP($A136,'Base TOTAL'!A:AJ,34,0), "-")</f>
        <v>-</v>
      </c>
      <c r="E136" s="147" t="str">
        <f>IFERROR(VLOOKUP($A136,'Base TOTAL'!A:AJ,35,0), "-")</f>
        <v>-</v>
      </c>
      <c r="F136" s="133"/>
    </row>
    <row r="137" ht="30.0" customHeight="1">
      <c r="A137" s="144"/>
      <c r="B137" s="145" t="str">
        <f>IFERROR(VLOOKUP($A137,'Base TOTAL'!A:AJ,2,0), "-")</f>
        <v>-</v>
      </c>
      <c r="C137" s="145" t="str">
        <f>IFERROR(VLOOKUP($A137,'Base TOTAL'!A:AJ,33,0), "-")</f>
        <v>-</v>
      </c>
      <c r="D137" s="146" t="str">
        <f>IFERROR(VLOOKUP($A137,'Base TOTAL'!A:AJ,34,0), "-")</f>
        <v>-</v>
      </c>
      <c r="E137" s="147" t="str">
        <f>IFERROR(VLOOKUP($A137,'Base TOTAL'!A:AJ,35,0), "-")</f>
        <v>-</v>
      </c>
      <c r="F137" s="133"/>
    </row>
    <row r="138" ht="30.0" customHeight="1">
      <c r="A138" s="144"/>
      <c r="B138" s="145" t="str">
        <f>IFERROR(VLOOKUP($A138,'Base TOTAL'!A:AJ,2,0), "-")</f>
        <v>-</v>
      </c>
      <c r="C138" s="145" t="str">
        <f>IFERROR(VLOOKUP($A138,'Base TOTAL'!A:AJ,33,0), "-")</f>
        <v>-</v>
      </c>
      <c r="D138" s="146" t="str">
        <f>IFERROR(VLOOKUP($A138,'Base TOTAL'!A:AJ,34,0), "-")</f>
        <v>-</v>
      </c>
      <c r="E138" s="147" t="str">
        <f>IFERROR(VLOOKUP($A138,'Base TOTAL'!A:AJ,35,0), "-")</f>
        <v>-</v>
      </c>
      <c r="F138" s="133"/>
    </row>
    <row r="139" ht="30.0" customHeight="1">
      <c r="A139" s="144"/>
      <c r="B139" s="145" t="str">
        <f>IFERROR(VLOOKUP($A139,'Base TOTAL'!A:AJ,2,0), "-")</f>
        <v>-</v>
      </c>
      <c r="C139" s="145" t="str">
        <f>IFERROR(VLOOKUP($A139,'Base TOTAL'!A:AJ,33,0), "-")</f>
        <v>-</v>
      </c>
      <c r="D139" s="146" t="str">
        <f>IFERROR(VLOOKUP($A139,'Base TOTAL'!A:AJ,34,0), "-")</f>
        <v>-</v>
      </c>
      <c r="E139" s="147" t="str">
        <f>IFERROR(VLOOKUP($A139,'Base TOTAL'!A:AJ,35,0), "-")</f>
        <v>-</v>
      </c>
      <c r="F139" s="133"/>
    </row>
    <row r="140" ht="30.0" customHeight="1">
      <c r="A140" s="144"/>
      <c r="B140" s="145" t="str">
        <f>IFERROR(VLOOKUP($A140,'Base TOTAL'!A:AJ,2,0), "-")</f>
        <v>-</v>
      </c>
      <c r="C140" s="145" t="str">
        <f>IFERROR(VLOOKUP($A140,'Base TOTAL'!A:AJ,33,0), "-")</f>
        <v>-</v>
      </c>
      <c r="D140" s="146" t="str">
        <f>IFERROR(VLOOKUP($A140,'Base TOTAL'!A:AJ,34,0), "-")</f>
        <v>-</v>
      </c>
      <c r="E140" s="147" t="str">
        <f>IFERROR(VLOOKUP($A140,'Base TOTAL'!A:AJ,35,0), "-")</f>
        <v>-</v>
      </c>
      <c r="F140" s="133"/>
    </row>
    <row r="141" ht="30.0" customHeight="1">
      <c r="A141" s="144"/>
      <c r="B141" s="145" t="str">
        <f>IFERROR(VLOOKUP($A141,'Base TOTAL'!A:AJ,2,0), "-")</f>
        <v>-</v>
      </c>
      <c r="C141" s="145" t="str">
        <f>IFERROR(VLOOKUP($A141,'Base TOTAL'!A:AJ,33,0), "-")</f>
        <v>-</v>
      </c>
      <c r="D141" s="146" t="str">
        <f>IFERROR(VLOOKUP($A141,'Base TOTAL'!A:AJ,34,0), "-")</f>
        <v>-</v>
      </c>
      <c r="E141" s="147" t="str">
        <f>IFERROR(VLOOKUP($A141,'Base TOTAL'!A:AJ,35,0), "-")</f>
        <v>-</v>
      </c>
      <c r="F141" s="133"/>
    </row>
    <row r="142" ht="30.0" customHeight="1">
      <c r="A142" s="144"/>
      <c r="B142" s="145" t="str">
        <f>IFERROR(VLOOKUP($A142,'Base TOTAL'!A:AJ,2,0), "-")</f>
        <v>-</v>
      </c>
      <c r="C142" s="145" t="str">
        <f>IFERROR(VLOOKUP($A142,'Base TOTAL'!A:AJ,33,0), "-")</f>
        <v>-</v>
      </c>
      <c r="D142" s="146" t="str">
        <f>IFERROR(VLOOKUP($A142,'Base TOTAL'!A:AJ,34,0), "-")</f>
        <v>-</v>
      </c>
      <c r="E142" s="147" t="str">
        <f>IFERROR(VLOOKUP($A142,'Base TOTAL'!A:AJ,35,0), "-")</f>
        <v>-</v>
      </c>
      <c r="F142" s="133"/>
    </row>
    <row r="143" ht="30.0" customHeight="1">
      <c r="A143" s="144"/>
      <c r="B143" s="145" t="str">
        <f>IFERROR(VLOOKUP($A143,'Base TOTAL'!A:AJ,2,0), "-")</f>
        <v>-</v>
      </c>
      <c r="C143" s="145" t="str">
        <f>IFERROR(VLOOKUP($A143,'Base TOTAL'!A:AJ,33,0), "-")</f>
        <v>-</v>
      </c>
      <c r="D143" s="146" t="str">
        <f>IFERROR(VLOOKUP($A143,'Base TOTAL'!A:AJ,34,0), "-")</f>
        <v>-</v>
      </c>
      <c r="E143" s="147" t="str">
        <f>IFERROR(VLOOKUP($A143,'Base TOTAL'!A:AJ,35,0), "-")</f>
        <v>-</v>
      </c>
      <c r="F143" s="133"/>
    </row>
    <row r="144" ht="30.0" customHeight="1">
      <c r="A144" s="144"/>
      <c r="B144" s="145" t="str">
        <f>IFERROR(VLOOKUP($A144,'Base TOTAL'!A:AJ,2,0), "-")</f>
        <v>-</v>
      </c>
      <c r="C144" s="145" t="str">
        <f>IFERROR(VLOOKUP($A144,'Base TOTAL'!A:AJ,33,0), "-")</f>
        <v>-</v>
      </c>
      <c r="D144" s="146" t="str">
        <f>IFERROR(VLOOKUP($A144,'Base TOTAL'!A:AJ,34,0), "-")</f>
        <v>-</v>
      </c>
      <c r="E144" s="147" t="str">
        <f>IFERROR(VLOOKUP($A144,'Base TOTAL'!A:AJ,35,0), "-")</f>
        <v>-</v>
      </c>
      <c r="F144" s="133"/>
    </row>
    <row r="145" ht="30.0" customHeight="1">
      <c r="A145" s="144"/>
      <c r="B145" s="145" t="str">
        <f>IFERROR(VLOOKUP($A145,'Base TOTAL'!A:AJ,2,0), "-")</f>
        <v>-</v>
      </c>
      <c r="C145" s="145" t="str">
        <f>IFERROR(VLOOKUP($A145,'Base TOTAL'!A:AJ,33,0), "-")</f>
        <v>-</v>
      </c>
      <c r="D145" s="146" t="str">
        <f>IFERROR(VLOOKUP($A145,'Base TOTAL'!A:AJ,34,0), "-")</f>
        <v>-</v>
      </c>
      <c r="E145" s="147" t="str">
        <f>IFERROR(VLOOKUP($A145,'Base TOTAL'!A:AJ,35,0), "-")</f>
        <v>-</v>
      </c>
      <c r="F145" s="133"/>
    </row>
    <row r="146" ht="30.0" customHeight="1">
      <c r="A146" s="144"/>
      <c r="B146" s="145" t="str">
        <f>IFERROR(VLOOKUP($A146,'Base TOTAL'!A:AJ,2,0), "-")</f>
        <v>-</v>
      </c>
      <c r="C146" s="145" t="str">
        <f>IFERROR(VLOOKUP($A146,'Base TOTAL'!A:AJ,33,0), "-")</f>
        <v>-</v>
      </c>
      <c r="D146" s="146" t="str">
        <f>IFERROR(VLOOKUP($A146,'Base TOTAL'!A:AJ,34,0), "-")</f>
        <v>-</v>
      </c>
      <c r="E146" s="147" t="str">
        <f>IFERROR(VLOOKUP($A146,'Base TOTAL'!A:AJ,35,0), "-")</f>
        <v>-</v>
      </c>
      <c r="F146" s="133"/>
    </row>
    <row r="147" ht="30.0" customHeight="1">
      <c r="A147" s="144"/>
      <c r="B147" s="145" t="str">
        <f>IFERROR(VLOOKUP($A147,'Base TOTAL'!A:AJ,2,0), "-")</f>
        <v>-</v>
      </c>
      <c r="C147" s="145" t="str">
        <f>IFERROR(VLOOKUP($A147,'Base TOTAL'!A:AJ,33,0), "-")</f>
        <v>-</v>
      </c>
      <c r="D147" s="146" t="str">
        <f>IFERROR(VLOOKUP($A147,'Base TOTAL'!A:AJ,34,0), "-")</f>
        <v>-</v>
      </c>
      <c r="E147" s="147" t="str">
        <f>IFERROR(VLOOKUP($A147,'Base TOTAL'!A:AJ,35,0), "-")</f>
        <v>-</v>
      </c>
      <c r="F147" s="133"/>
    </row>
    <row r="148" ht="30.0" customHeight="1">
      <c r="A148" s="144"/>
      <c r="B148" s="145" t="str">
        <f>IFERROR(VLOOKUP($A148,'Base TOTAL'!A:AJ,2,0), "-")</f>
        <v>-</v>
      </c>
      <c r="C148" s="145" t="str">
        <f>IFERROR(VLOOKUP($A148,'Base TOTAL'!A:AJ,33,0), "-")</f>
        <v>-</v>
      </c>
      <c r="D148" s="146" t="str">
        <f>IFERROR(VLOOKUP($A148,'Base TOTAL'!A:AJ,34,0), "-")</f>
        <v>-</v>
      </c>
      <c r="E148" s="147" t="str">
        <f>IFERROR(VLOOKUP($A148,'Base TOTAL'!A:AJ,35,0), "-")</f>
        <v>-</v>
      </c>
      <c r="F148" s="133"/>
    </row>
    <row r="149" ht="30.0" customHeight="1">
      <c r="A149" s="144"/>
      <c r="B149" s="145" t="str">
        <f>IFERROR(VLOOKUP($A149,'Base TOTAL'!A:AJ,2,0), "-")</f>
        <v>-</v>
      </c>
      <c r="C149" s="145" t="str">
        <f>IFERROR(VLOOKUP($A149,'Base TOTAL'!A:AJ,33,0), "-")</f>
        <v>-</v>
      </c>
      <c r="D149" s="146" t="str">
        <f>IFERROR(VLOOKUP($A149,'Base TOTAL'!A:AJ,34,0), "-")</f>
        <v>-</v>
      </c>
      <c r="E149" s="147" t="str">
        <f>IFERROR(VLOOKUP($A149,'Base TOTAL'!A:AJ,35,0), "-")</f>
        <v>-</v>
      </c>
      <c r="F149" s="133"/>
    </row>
    <row r="150" ht="30.0" customHeight="1">
      <c r="A150" s="144"/>
      <c r="B150" s="145" t="str">
        <f>IFERROR(VLOOKUP($A150,'Base TOTAL'!A:AJ,2,0), "-")</f>
        <v>-</v>
      </c>
      <c r="C150" s="145" t="str">
        <f>IFERROR(VLOOKUP($A150,'Base TOTAL'!A:AJ,33,0), "-")</f>
        <v>-</v>
      </c>
      <c r="D150" s="146" t="str">
        <f>IFERROR(VLOOKUP($A150,'Base TOTAL'!A:AJ,34,0), "-")</f>
        <v>-</v>
      </c>
      <c r="E150" s="147" t="str">
        <f>IFERROR(VLOOKUP($A150,'Base TOTAL'!A:AJ,35,0), "-")</f>
        <v>-</v>
      </c>
      <c r="F150" s="133"/>
    </row>
    <row r="151" ht="30.0" customHeight="1">
      <c r="A151" s="144"/>
      <c r="B151" s="145" t="str">
        <f>IFERROR(VLOOKUP($A151,'Base TOTAL'!A:AJ,2,0), "-")</f>
        <v>-</v>
      </c>
      <c r="C151" s="145" t="str">
        <f>IFERROR(VLOOKUP($A151,'Base TOTAL'!A:AJ,33,0), "-")</f>
        <v>-</v>
      </c>
      <c r="D151" s="146" t="str">
        <f>IFERROR(VLOOKUP($A151,'Base TOTAL'!A:AJ,34,0), "-")</f>
        <v>-</v>
      </c>
      <c r="E151" s="147" t="str">
        <f>IFERROR(VLOOKUP($A151,'Base TOTAL'!A:AJ,35,0), "-")</f>
        <v>-</v>
      </c>
      <c r="F151" s="133"/>
    </row>
    <row r="152" ht="30.0" customHeight="1">
      <c r="A152" s="144"/>
      <c r="B152" s="145" t="str">
        <f>IFERROR(VLOOKUP($A152,'Base TOTAL'!A:AJ,2,0), "-")</f>
        <v>-</v>
      </c>
      <c r="C152" s="145" t="str">
        <f>IFERROR(VLOOKUP($A152,'Base TOTAL'!A:AJ,33,0), "-")</f>
        <v>-</v>
      </c>
      <c r="D152" s="146" t="str">
        <f>IFERROR(VLOOKUP($A152,'Base TOTAL'!A:AJ,34,0), "-")</f>
        <v>-</v>
      </c>
      <c r="E152" s="147" t="str">
        <f>IFERROR(VLOOKUP($A152,'Base TOTAL'!A:AJ,35,0), "-")</f>
        <v>-</v>
      </c>
      <c r="F152" s="133"/>
    </row>
    <row r="153" ht="30.0" customHeight="1">
      <c r="A153" s="144"/>
      <c r="B153" s="145" t="str">
        <f>IFERROR(VLOOKUP($A153,'Base TOTAL'!A:AJ,2,0), "-")</f>
        <v>-</v>
      </c>
      <c r="C153" s="145" t="str">
        <f>IFERROR(VLOOKUP($A153,'Base TOTAL'!A:AJ,33,0), "-")</f>
        <v>-</v>
      </c>
      <c r="D153" s="146" t="str">
        <f>IFERROR(VLOOKUP($A153,'Base TOTAL'!A:AJ,34,0), "-")</f>
        <v>-</v>
      </c>
      <c r="E153" s="147" t="str">
        <f>IFERROR(VLOOKUP($A153,'Base TOTAL'!A:AJ,35,0), "-")</f>
        <v>-</v>
      </c>
      <c r="F153" s="133"/>
    </row>
    <row r="154" ht="30.0" customHeight="1">
      <c r="A154" s="144"/>
      <c r="B154" s="145" t="str">
        <f>IFERROR(VLOOKUP($A154,'Base TOTAL'!A:AJ,2,0), "-")</f>
        <v>-</v>
      </c>
      <c r="C154" s="145" t="str">
        <f>IFERROR(VLOOKUP($A154,'Base TOTAL'!A:AJ,33,0), "-")</f>
        <v>-</v>
      </c>
      <c r="D154" s="146" t="str">
        <f>IFERROR(VLOOKUP($A154,'Base TOTAL'!A:AJ,34,0), "-")</f>
        <v>-</v>
      </c>
      <c r="E154" s="147" t="str">
        <f>IFERROR(VLOOKUP($A154,'Base TOTAL'!A:AJ,35,0), "-")</f>
        <v>-</v>
      </c>
      <c r="F154" s="133"/>
    </row>
    <row r="155" ht="30.0" customHeight="1">
      <c r="A155" s="144"/>
      <c r="B155" s="145" t="str">
        <f>IFERROR(VLOOKUP($A155,'Base TOTAL'!A:AJ,2,0), "-")</f>
        <v>-</v>
      </c>
      <c r="C155" s="145" t="str">
        <f>IFERROR(VLOOKUP($A155,'Base TOTAL'!A:AJ,33,0), "-")</f>
        <v>-</v>
      </c>
      <c r="D155" s="146" t="str">
        <f>IFERROR(VLOOKUP($A155,'Base TOTAL'!A:AJ,34,0), "-")</f>
        <v>-</v>
      </c>
      <c r="E155" s="147" t="str">
        <f>IFERROR(VLOOKUP($A155,'Base TOTAL'!A:AJ,35,0), "-")</f>
        <v>-</v>
      </c>
      <c r="F155" s="133"/>
    </row>
    <row r="156" ht="30.0" customHeight="1">
      <c r="A156" s="144"/>
      <c r="B156" s="145" t="str">
        <f>IFERROR(VLOOKUP($A156,'Base TOTAL'!A:AJ,2,0), "-")</f>
        <v>-</v>
      </c>
      <c r="C156" s="145" t="str">
        <f>IFERROR(VLOOKUP($A156,'Base TOTAL'!A:AJ,33,0), "-")</f>
        <v>-</v>
      </c>
      <c r="D156" s="146" t="str">
        <f>IFERROR(VLOOKUP($A156,'Base TOTAL'!A:AJ,34,0), "-")</f>
        <v>-</v>
      </c>
      <c r="E156" s="147" t="str">
        <f>IFERROR(VLOOKUP($A156,'Base TOTAL'!A:AJ,35,0), "-")</f>
        <v>-</v>
      </c>
      <c r="F156" s="133"/>
    </row>
    <row r="157" ht="30.0" customHeight="1">
      <c r="A157" s="144"/>
      <c r="B157" s="145" t="str">
        <f>IFERROR(VLOOKUP($A157,'Base TOTAL'!A:AJ,2,0), "-")</f>
        <v>-</v>
      </c>
      <c r="C157" s="145" t="str">
        <f>IFERROR(VLOOKUP($A157,'Base TOTAL'!A:AJ,33,0), "-")</f>
        <v>-</v>
      </c>
      <c r="D157" s="146" t="str">
        <f>IFERROR(VLOOKUP($A157,'Base TOTAL'!A:AJ,34,0), "-")</f>
        <v>-</v>
      </c>
      <c r="E157" s="147" t="str">
        <f>IFERROR(VLOOKUP($A157,'Base TOTAL'!A:AJ,35,0), "-")</f>
        <v>-</v>
      </c>
      <c r="F157" s="133"/>
    </row>
    <row r="158" ht="30.0" customHeight="1">
      <c r="A158" s="144"/>
      <c r="B158" s="145" t="str">
        <f>IFERROR(VLOOKUP($A158,'Base TOTAL'!A:AJ,2,0), "-")</f>
        <v>-</v>
      </c>
      <c r="C158" s="145" t="str">
        <f>IFERROR(VLOOKUP($A158,'Base TOTAL'!A:AJ,33,0), "-")</f>
        <v>-</v>
      </c>
      <c r="D158" s="146" t="str">
        <f>IFERROR(VLOOKUP($A158,'Base TOTAL'!A:AJ,34,0), "-")</f>
        <v>-</v>
      </c>
      <c r="E158" s="147" t="str">
        <f>IFERROR(VLOOKUP($A158,'Base TOTAL'!A:AJ,35,0), "-")</f>
        <v>-</v>
      </c>
      <c r="F158" s="133"/>
    </row>
    <row r="159" ht="30.0" customHeight="1">
      <c r="A159" s="144"/>
      <c r="B159" s="145" t="str">
        <f>IFERROR(VLOOKUP($A159,'Base TOTAL'!A:AJ,2,0), "-")</f>
        <v>-</v>
      </c>
      <c r="C159" s="145" t="str">
        <f>IFERROR(VLOOKUP($A159,'Base TOTAL'!A:AJ,33,0), "-")</f>
        <v>-</v>
      </c>
      <c r="D159" s="146" t="str">
        <f>IFERROR(VLOOKUP($A159,'Base TOTAL'!A:AJ,34,0), "-")</f>
        <v>-</v>
      </c>
      <c r="E159" s="147" t="str">
        <f>IFERROR(VLOOKUP($A159,'Base TOTAL'!A:AJ,35,0), "-")</f>
        <v>-</v>
      </c>
      <c r="F159" s="133"/>
    </row>
    <row r="160" ht="30.0" customHeight="1">
      <c r="A160" s="144"/>
      <c r="B160" s="145" t="str">
        <f>IFERROR(VLOOKUP($A160,'Base TOTAL'!A:AJ,2,0), "-")</f>
        <v>-</v>
      </c>
      <c r="C160" s="145" t="str">
        <f>IFERROR(VLOOKUP($A160,'Base TOTAL'!A:AJ,33,0), "-")</f>
        <v>-</v>
      </c>
      <c r="D160" s="146" t="str">
        <f>IFERROR(VLOOKUP($A160,'Base TOTAL'!A:AJ,34,0), "-")</f>
        <v>-</v>
      </c>
      <c r="E160" s="147" t="str">
        <f>IFERROR(VLOOKUP($A160,'Base TOTAL'!A:AJ,35,0), "-")</f>
        <v>-</v>
      </c>
      <c r="F160" s="133"/>
    </row>
    <row r="161" ht="30.0" customHeight="1">
      <c r="A161" s="144"/>
      <c r="B161" s="145" t="str">
        <f>IFERROR(VLOOKUP($A161,'Base TOTAL'!A:AJ,2,0), "-")</f>
        <v>-</v>
      </c>
      <c r="C161" s="145" t="str">
        <f>IFERROR(VLOOKUP($A161,'Base TOTAL'!A:AJ,33,0), "-")</f>
        <v>-</v>
      </c>
      <c r="D161" s="146" t="str">
        <f>IFERROR(VLOOKUP($A161,'Base TOTAL'!A:AJ,34,0), "-")</f>
        <v>-</v>
      </c>
      <c r="E161" s="147" t="str">
        <f>IFERROR(VLOOKUP($A161,'Base TOTAL'!A:AJ,35,0), "-")</f>
        <v>-</v>
      </c>
      <c r="F161" s="133"/>
    </row>
    <row r="162" ht="30.0" customHeight="1">
      <c r="A162" s="144"/>
      <c r="B162" s="145" t="str">
        <f>IFERROR(VLOOKUP($A162,'Base TOTAL'!A:AJ,2,0), "-")</f>
        <v>-</v>
      </c>
      <c r="C162" s="145" t="str">
        <f>IFERROR(VLOOKUP($A162,'Base TOTAL'!A:AJ,33,0), "-")</f>
        <v>-</v>
      </c>
      <c r="D162" s="146" t="str">
        <f>IFERROR(VLOOKUP($A162,'Base TOTAL'!A:AJ,34,0), "-")</f>
        <v>-</v>
      </c>
      <c r="E162" s="147" t="str">
        <f>IFERROR(VLOOKUP($A162,'Base TOTAL'!A:AJ,35,0), "-")</f>
        <v>-</v>
      </c>
      <c r="F162" s="133"/>
    </row>
    <row r="163" ht="30.0" customHeight="1">
      <c r="A163" s="144"/>
      <c r="B163" s="145" t="str">
        <f>IFERROR(VLOOKUP($A163,'Base TOTAL'!A:AJ,2,0), "-")</f>
        <v>-</v>
      </c>
      <c r="C163" s="145" t="str">
        <f>IFERROR(VLOOKUP($A163,'Base TOTAL'!A:AJ,33,0), "-")</f>
        <v>-</v>
      </c>
      <c r="D163" s="146" t="str">
        <f>IFERROR(VLOOKUP($A163,'Base TOTAL'!A:AJ,34,0), "-")</f>
        <v>-</v>
      </c>
      <c r="E163" s="147" t="str">
        <f>IFERROR(VLOOKUP($A163,'Base TOTAL'!A:AJ,35,0), "-")</f>
        <v>-</v>
      </c>
      <c r="F163" s="133"/>
    </row>
    <row r="164" ht="30.0" customHeight="1">
      <c r="A164" s="144"/>
      <c r="B164" s="145" t="str">
        <f>IFERROR(VLOOKUP($A164,'Base TOTAL'!A:AJ,2,0), "-")</f>
        <v>-</v>
      </c>
      <c r="C164" s="145" t="str">
        <f>IFERROR(VLOOKUP($A164,'Base TOTAL'!A:AJ,33,0), "-")</f>
        <v>-</v>
      </c>
      <c r="D164" s="146" t="str">
        <f>IFERROR(VLOOKUP($A164,'Base TOTAL'!A:AJ,34,0), "-")</f>
        <v>-</v>
      </c>
      <c r="E164" s="147" t="str">
        <f>IFERROR(VLOOKUP($A164,'Base TOTAL'!A:AJ,35,0), "-")</f>
        <v>-</v>
      </c>
      <c r="F164" s="133"/>
    </row>
    <row r="165" ht="30.0" customHeight="1">
      <c r="A165" s="144"/>
      <c r="B165" s="145" t="str">
        <f>IFERROR(VLOOKUP($A165,'Base TOTAL'!A:AJ,2,0), "-")</f>
        <v>-</v>
      </c>
      <c r="C165" s="145" t="str">
        <f>IFERROR(VLOOKUP($A165,'Base TOTAL'!A:AJ,33,0), "-")</f>
        <v>-</v>
      </c>
      <c r="D165" s="146" t="str">
        <f>IFERROR(VLOOKUP($A165,'Base TOTAL'!A:AJ,34,0), "-")</f>
        <v>-</v>
      </c>
      <c r="E165" s="147" t="str">
        <f>IFERROR(VLOOKUP($A165,'Base TOTAL'!A:AJ,35,0), "-")</f>
        <v>-</v>
      </c>
      <c r="F165" s="133"/>
    </row>
    <row r="166" ht="30.0" customHeight="1">
      <c r="A166" s="144"/>
      <c r="B166" s="145" t="str">
        <f>IFERROR(VLOOKUP($A166,'Base TOTAL'!A:AJ,2,0), "-")</f>
        <v>-</v>
      </c>
      <c r="C166" s="145" t="str">
        <f>IFERROR(VLOOKUP($A166,'Base TOTAL'!A:AJ,33,0), "-")</f>
        <v>-</v>
      </c>
      <c r="D166" s="146" t="str">
        <f>IFERROR(VLOOKUP($A166,'Base TOTAL'!A:AJ,34,0), "-")</f>
        <v>-</v>
      </c>
      <c r="E166" s="147" t="str">
        <f>IFERROR(VLOOKUP($A166,'Base TOTAL'!A:AJ,35,0), "-")</f>
        <v>-</v>
      </c>
      <c r="F166" s="133"/>
    </row>
    <row r="167" ht="30.0" customHeight="1">
      <c r="A167" s="144"/>
      <c r="B167" s="145" t="str">
        <f>IFERROR(VLOOKUP($A167,'Base TOTAL'!A:AJ,2,0), "-")</f>
        <v>-</v>
      </c>
      <c r="C167" s="145" t="str">
        <f>IFERROR(VLOOKUP($A167,'Base TOTAL'!A:AJ,33,0), "-")</f>
        <v>-</v>
      </c>
      <c r="D167" s="146" t="str">
        <f>IFERROR(VLOOKUP($A167,'Base TOTAL'!A:AJ,34,0), "-")</f>
        <v>-</v>
      </c>
      <c r="E167" s="147" t="str">
        <f>IFERROR(VLOOKUP($A167,'Base TOTAL'!A:AJ,35,0), "-")</f>
        <v>-</v>
      </c>
      <c r="F167" s="133"/>
    </row>
    <row r="168" ht="30.0" customHeight="1">
      <c r="A168" s="144"/>
      <c r="B168" s="145" t="str">
        <f>IFERROR(VLOOKUP($A168,'Base TOTAL'!A:AJ,2,0), "-")</f>
        <v>-</v>
      </c>
      <c r="C168" s="145" t="str">
        <f>IFERROR(VLOOKUP($A168,'Base TOTAL'!A:AJ,33,0), "-")</f>
        <v>-</v>
      </c>
      <c r="D168" s="146" t="str">
        <f>IFERROR(VLOOKUP($A168,'Base TOTAL'!A:AJ,34,0), "-")</f>
        <v>-</v>
      </c>
      <c r="E168" s="147" t="str">
        <f>IFERROR(VLOOKUP($A168,'Base TOTAL'!A:AJ,35,0), "-")</f>
        <v>-</v>
      </c>
      <c r="F168" s="133"/>
    </row>
    <row r="169" ht="30.0" customHeight="1">
      <c r="A169" s="144"/>
      <c r="B169" s="145" t="str">
        <f>IFERROR(VLOOKUP($A169,'Base TOTAL'!A:AJ,2,0), "-")</f>
        <v>-</v>
      </c>
      <c r="C169" s="145" t="str">
        <f>IFERROR(VLOOKUP($A169,'Base TOTAL'!A:AJ,33,0), "-")</f>
        <v>-</v>
      </c>
      <c r="D169" s="146" t="str">
        <f>IFERROR(VLOOKUP($A169,'Base TOTAL'!A:AJ,34,0), "-")</f>
        <v>-</v>
      </c>
      <c r="E169" s="147" t="str">
        <f>IFERROR(VLOOKUP($A169,'Base TOTAL'!A:AJ,35,0), "-")</f>
        <v>-</v>
      </c>
      <c r="F169" s="133"/>
    </row>
    <row r="170" ht="30.0" customHeight="1">
      <c r="A170" s="144"/>
      <c r="B170" s="145" t="str">
        <f>IFERROR(VLOOKUP($A170,'Base TOTAL'!A:AJ,2,0), "-")</f>
        <v>-</v>
      </c>
      <c r="C170" s="145" t="str">
        <f>IFERROR(VLOOKUP($A170,'Base TOTAL'!A:AJ,33,0), "-")</f>
        <v>-</v>
      </c>
      <c r="D170" s="146" t="str">
        <f>IFERROR(VLOOKUP($A170,'Base TOTAL'!A:AJ,34,0), "-")</f>
        <v>-</v>
      </c>
      <c r="E170" s="147" t="str">
        <f>IFERROR(VLOOKUP($A170,'Base TOTAL'!A:AJ,35,0), "-")</f>
        <v>-</v>
      </c>
      <c r="F170" s="133"/>
    </row>
    <row r="171" ht="30.0" customHeight="1">
      <c r="A171" s="144"/>
      <c r="B171" s="145" t="str">
        <f>IFERROR(VLOOKUP($A171,'Base TOTAL'!A:AJ,2,0), "-")</f>
        <v>-</v>
      </c>
      <c r="C171" s="145" t="str">
        <f>IFERROR(VLOOKUP($A171,'Base TOTAL'!A:AJ,33,0), "-")</f>
        <v>-</v>
      </c>
      <c r="D171" s="146" t="str">
        <f>IFERROR(VLOOKUP($A171,'Base TOTAL'!A:AJ,34,0), "-")</f>
        <v>-</v>
      </c>
      <c r="E171" s="147" t="str">
        <f>IFERROR(VLOOKUP($A171,'Base TOTAL'!A:AJ,35,0), "-")</f>
        <v>-</v>
      </c>
      <c r="F171" s="133"/>
    </row>
    <row r="172" ht="30.0" customHeight="1">
      <c r="A172" s="144"/>
      <c r="B172" s="145" t="str">
        <f>IFERROR(VLOOKUP($A172,'Base TOTAL'!A:AJ,2,0), "-")</f>
        <v>-</v>
      </c>
      <c r="C172" s="145" t="str">
        <f>IFERROR(VLOOKUP($A172,'Base TOTAL'!A:AJ,33,0), "-")</f>
        <v>-</v>
      </c>
      <c r="D172" s="146" t="str">
        <f>IFERROR(VLOOKUP($A172,'Base TOTAL'!A:AJ,34,0), "-")</f>
        <v>-</v>
      </c>
      <c r="E172" s="147" t="str">
        <f>IFERROR(VLOOKUP($A172,'Base TOTAL'!A:AJ,35,0), "-")</f>
        <v>-</v>
      </c>
      <c r="F172" s="133"/>
    </row>
    <row r="173" ht="30.0" customHeight="1">
      <c r="A173" s="144"/>
      <c r="B173" s="145" t="str">
        <f>IFERROR(VLOOKUP($A173,'Base TOTAL'!A:AJ,2,0), "-")</f>
        <v>-</v>
      </c>
      <c r="C173" s="145" t="str">
        <f>IFERROR(VLOOKUP($A173,'Base TOTAL'!A:AJ,33,0), "-")</f>
        <v>-</v>
      </c>
      <c r="D173" s="146" t="str">
        <f>IFERROR(VLOOKUP($A173,'Base TOTAL'!A:AJ,34,0), "-")</f>
        <v>-</v>
      </c>
      <c r="E173" s="147" t="str">
        <f>IFERROR(VLOOKUP($A173,'Base TOTAL'!A:AJ,35,0), "-")</f>
        <v>-</v>
      </c>
      <c r="F173" s="133"/>
    </row>
    <row r="174" ht="30.0" customHeight="1">
      <c r="A174" s="144"/>
      <c r="B174" s="145" t="str">
        <f>IFERROR(VLOOKUP($A174,'Base TOTAL'!A:AJ,2,0), "-")</f>
        <v>-</v>
      </c>
      <c r="C174" s="145" t="str">
        <f>IFERROR(VLOOKUP($A174,'Base TOTAL'!A:AJ,33,0), "-")</f>
        <v>-</v>
      </c>
      <c r="D174" s="146" t="str">
        <f>IFERROR(VLOOKUP($A174,'Base TOTAL'!A:AJ,34,0), "-")</f>
        <v>-</v>
      </c>
      <c r="E174" s="147" t="str">
        <f>IFERROR(VLOOKUP($A174,'Base TOTAL'!A:AJ,35,0), "-")</f>
        <v>-</v>
      </c>
      <c r="F174" s="133"/>
    </row>
    <row r="175" ht="30.0" customHeight="1">
      <c r="A175" s="144"/>
      <c r="B175" s="145" t="str">
        <f>IFERROR(VLOOKUP($A175,'Base TOTAL'!A:AJ,2,0), "-")</f>
        <v>-</v>
      </c>
      <c r="C175" s="145" t="str">
        <f>IFERROR(VLOOKUP($A175,'Base TOTAL'!A:AJ,33,0), "-")</f>
        <v>-</v>
      </c>
      <c r="D175" s="146" t="str">
        <f>IFERROR(VLOOKUP($A175,'Base TOTAL'!A:AJ,34,0), "-")</f>
        <v>-</v>
      </c>
      <c r="E175" s="147" t="str">
        <f>IFERROR(VLOOKUP($A175,'Base TOTAL'!A:AJ,35,0), "-")</f>
        <v>-</v>
      </c>
      <c r="F175" s="133"/>
    </row>
    <row r="176" ht="30.0" customHeight="1">
      <c r="A176" s="144"/>
      <c r="B176" s="145" t="str">
        <f>IFERROR(VLOOKUP($A176,'Base TOTAL'!A:AJ,2,0), "-")</f>
        <v>-</v>
      </c>
      <c r="C176" s="145" t="str">
        <f>IFERROR(VLOOKUP($A176,'Base TOTAL'!A:AJ,33,0), "-")</f>
        <v>-</v>
      </c>
      <c r="D176" s="146" t="str">
        <f>IFERROR(VLOOKUP($A176,'Base TOTAL'!A:AJ,34,0), "-")</f>
        <v>-</v>
      </c>
      <c r="E176" s="147" t="str">
        <f>IFERROR(VLOOKUP($A176,'Base TOTAL'!A:AJ,35,0), "-")</f>
        <v>-</v>
      </c>
      <c r="F176" s="133"/>
    </row>
    <row r="177" ht="30.0" customHeight="1">
      <c r="A177" s="144"/>
      <c r="B177" s="145" t="str">
        <f>IFERROR(VLOOKUP($A177,'Base TOTAL'!A:AJ,2,0), "-")</f>
        <v>-</v>
      </c>
      <c r="C177" s="145" t="str">
        <f>IFERROR(VLOOKUP($A177,'Base TOTAL'!A:AJ,33,0), "-")</f>
        <v>-</v>
      </c>
      <c r="D177" s="146" t="str">
        <f>IFERROR(VLOOKUP($A177,'Base TOTAL'!A:AJ,34,0), "-")</f>
        <v>-</v>
      </c>
      <c r="E177" s="147" t="str">
        <f>IFERROR(VLOOKUP($A177,'Base TOTAL'!A:AJ,35,0), "-")</f>
        <v>-</v>
      </c>
      <c r="F177" s="133"/>
    </row>
    <row r="178" ht="30.0" customHeight="1">
      <c r="A178" s="144"/>
      <c r="B178" s="145" t="str">
        <f>IFERROR(VLOOKUP($A178,'Base TOTAL'!A:AJ,2,0), "-")</f>
        <v>-</v>
      </c>
      <c r="C178" s="145" t="str">
        <f>IFERROR(VLOOKUP($A178,'Base TOTAL'!A:AJ,33,0), "-")</f>
        <v>-</v>
      </c>
      <c r="D178" s="146" t="str">
        <f>IFERROR(VLOOKUP($A178,'Base TOTAL'!A:AJ,34,0), "-")</f>
        <v>-</v>
      </c>
      <c r="E178" s="147" t="str">
        <f>IFERROR(VLOOKUP($A178,'Base TOTAL'!A:AJ,35,0), "-")</f>
        <v>-</v>
      </c>
      <c r="F178" s="133"/>
    </row>
    <row r="179" ht="30.0" customHeight="1">
      <c r="A179" s="144"/>
      <c r="B179" s="145" t="str">
        <f>IFERROR(VLOOKUP($A179,'Base TOTAL'!A:AJ,2,0), "-")</f>
        <v>-</v>
      </c>
      <c r="C179" s="145" t="str">
        <f>IFERROR(VLOOKUP($A179,'Base TOTAL'!A:AJ,33,0), "-")</f>
        <v>-</v>
      </c>
      <c r="D179" s="146" t="str">
        <f>IFERROR(VLOOKUP($A179,'Base TOTAL'!A:AJ,34,0), "-")</f>
        <v>-</v>
      </c>
      <c r="E179" s="147" t="str">
        <f>IFERROR(VLOOKUP($A179,'Base TOTAL'!A:AJ,35,0), "-")</f>
        <v>-</v>
      </c>
      <c r="F179" s="133"/>
    </row>
    <row r="180" ht="30.0" customHeight="1">
      <c r="A180" s="144"/>
      <c r="B180" s="145" t="str">
        <f>IFERROR(VLOOKUP($A180,'Base TOTAL'!A:AJ,2,0), "-")</f>
        <v>-</v>
      </c>
      <c r="C180" s="145" t="str">
        <f>IFERROR(VLOOKUP($A180,'Base TOTAL'!A:AJ,33,0), "-")</f>
        <v>-</v>
      </c>
      <c r="D180" s="146" t="str">
        <f>IFERROR(VLOOKUP($A180,'Base TOTAL'!A:AJ,34,0), "-")</f>
        <v>-</v>
      </c>
      <c r="E180" s="147" t="str">
        <f>IFERROR(VLOOKUP($A180,'Base TOTAL'!A:AJ,35,0), "-")</f>
        <v>-</v>
      </c>
      <c r="F180" s="133"/>
    </row>
    <row r="181" ht="30.0" customHeight="1">
      <c r="A181" s="144"/>
      <c r="B181" s="145" t="str">
        <f>IFERROR(VLOOKUP($A181,'Base TOTAL'!A:AJ,2,0), "-")</f>
        <v>-</v>
      </c>
      <c r="C181" s="145" t="str">
        <f>IFERROR(VLOOKUP($A181,'Base TOTAL'!A:AJ,33,0), "-")</f>
        <v>-</v>
      </c>
      <c r="D181" s="146" t="str">
        <f>IFERROR(VLOOKUP($A181,'Base TOTAL'!A:AJ,34,0), "-")</f>
        <v>-</v>
      </c>
      <c r="E181" s="147" t="str">
        <f>IFERROR(VLOOKUP($A181,'Base TOTAL'!A:AJ,35,0), "-")</f>
        <v>-</v>
      </c>
      <c r="F181" s="133"/>
    </row>
    <row r="182" ht="30.0" customHeight="1">
      <c r="A182" s="144"/>
      <c r="B182" s="145" t="str">
        <f>IFERROR(VLOOKUP($A182,'Base TOTAL'!A:AJ,2,0), "-")</f>
        <v>-</v>
      </c>
      <c r="C182" s="145" t="str">
        <f>IFERROR(VLOOKUP($A182,'Base TOTAL'!A:AJ,33,0), "-")</f>
        <v>-</v>
      </c>
      <c r="D182" s="146" t="str">
        <f>IFERROR(VLOOKUP($A182,'Base TOTAL'!A:AJ,34,0), "-")</f>
        <v>-</v>
      </c>
      <c r="E182" s="147" t="str">
        <f>IFERROR(VLOOKUP($A182,'Base TOTAL'!A:AJ,35,0), "-")</f>
        <v>-</v>
      </c>
      <c r="F182" s="133"/>
    </row>
    <row r="183" ht="30.0" customHeight="1">
      <c r="A183" s="144"/>
      <c r="B183" s="145" t="str">
        <f>IFERROR(VLOOKUP($A183,'Base TOTAL'!A:AJ,2,0), "-")</f>
        <v>-</v>
      </c>
      <c r="C183" s="145" t="str">
        <f>IFERROR(VLOOKUP($A183,'Base TOTAL'!A:AJ,33,0), "-")</f>
        <v>-</v>
      </c>
      <c r="D183" s="146" t="str">
        <f>IFERROR(VLOOKUP($A183,'Base TOTAL'!A:AJ,34,0), "-")</f>
        <v>-</v>
      </c>
      <c r="E183" s="147" t="str">
        <f>IFERROR(VLOOKUP($A183,'Base TOTAL'!A:AJ,35,0), "-")</f>
        <v>-</v>
      </c>
      <c r="F183" s="133"/>
    </row>
    <row r="184" ht="30.0" customHeight="1">
      <c r="A184" s="144"/>
      <c r="B184" s="145" t="str">
        <f>IFERROR(VLOOKUP($A184,'Base TOTAL'!A:AJ,2,0), "-")</f>
        <v>-</v>
      </c>
      <c r="C184" s="145" t="str">
        <f>IFERROR(VLOOKUP($A184,'Base TOTAL'!A:AJ,33,0), "-")</f>
        <v>-</v>
      </c>
      <c r="D184" s="146" t="str">
        <f>IFERROR(VLOOKUP($A184,'Base TOTAL'!A:AJ,34,0), "-")</f>
        <v>-</v>
      </c>
      <c r="E184" s="147" t="str">
        <f>IFERROR(VLOOKUP($A184,'Base TOTAL'!A:AJ,35,0), "-")</f>
        <v>-</v>
      </c>
      <c r="F184" s="133"/>
    </row>
    <row r="185" ht="30.0" customHeight="1">
      <c r="A185" s="144"/>
      <c r="B185" s="145" t="str">
        <f>IFERROR(VLOOKUP($A185,'Base TOTAL'!A:AJ,2,0), "-")</f>
        <v>-</v>
      </c>
      <c r="C185" s="145" t="str">
        <f>IFERROR(VLOOKUP($A185,'Base TOTAL'!A:AJ,33,0), "-")</f>
        <v>-</v>
      </c>
      <c r="D185" s="146" t="str">
        <f>IFERROR(VLOOKUP($A185,'Base TOTAL'!A:AJ,34,0), "-")</f>
        <v>-</v>
      </c>
      <c r="E185" s="147" t="str">
        <f>IFERROR(VLOOKUP($A185,'Base TOTAL'!A:AJ,35,0), "-")</f>
        <v>-</v>
      </c>
      <c r="F185" s="133"/>
    </row>
    <row r="186" ht="30.0" customHeight="1">
      <c r="A186" s="144"/>
      <c r="B186" s="145" t="str">
        <f>IFERROR(VLOOKUP($A186,'Base TOTAL'!A:AJ,2,0), "-")</f>
        <v>-</v>
      </c>
      <c r="C186" s="145" t="str">
        <f>IFERROR(VLOOKUP($A186,'Base TOTAL'!A:AJ,33,0), "-")</f>
        <v>-</v>
      </c>
      <c r="D186" s="146" t="str">
        <f>IFERROR(VLOOKUP($A186,'Base TOTAL'!A:AJ,34,0), "-")</f>
        <v>-</v>
      </c>
      <c r="E186" s="147" t="str">
        <f>IFERROR(VLOOKUP($A186,'Base TOTAL'!A:AJ,35,0), "-")</f>
        <v>-</v>
      </c>
      <c r="F186" s="133"/>
    </row>
    <row r="187" ht="30.0" customHeight="1">
      <c r="A187" s="144"/>
      <c r="B187" s="145" t="str">
        <f>IFERROR(VLOOKUP($A187,'Base TOTAL'!A:AJ,2,0), "-")</f>
        <v>-</v>
      </c>
      <c r="C187" s="145" t="str">
        <f>IFERROR(VLOOKUP($A187,'Base TOTAL'!A:AJ,33,0), "-")</f>
        <v>-</v>
      </c>
      <c r="D187" s="146" t="str">
        <f>IFERROR(VLOOKUP($A187,'Base TOTAL'!A:AJ,34,0), "-")</f>
        <v>-</v>
      </c>
      <c r="E187" s="147" t="str">
        <f>IFERROR(VLOOKUP($A187,'Base TOTAL'!A:AJ,35,0), "-")</f>
        <v>-</v>
      </c>
      <c r="F187" s="133"/>
    </row>
    <row r="188" ht="30.0" customHeight="1">
      <c r="A188" s="144"/>
      <c r="B188" s="145" t="str">
        <f>IFERROR(VLOOKUP($A188,'Base TOTAL'!A:AJ,2,0), "-")</f>
        <v>-</v>
      </c>
      <c r="C188" s="145" t="str">
        <f>IFERROR(VLOOKUP($A188,'Base TOTAL'!A:AJ,33,0), "-")</f>
        <v>-</v>
      </c>
      <c r="D188" s="146" t="str">
        <f>IFERROR(VLOOKUP($A188,'Base TOTAL'!A:AJ,34,0), "-")</f>
        <v>-</v>
      </c>
      <c r="E188" s="147" t="str">
        <f>IFERROR(VLOOKUP($A188,'Base TOTAL'!A:AJ,35,0), "-")</f>
        <v>-</v>
      </c>
      <c r="F188" s="133"/>
    </row>
    <row r="189" ht="30.0" customHeight="1">
      <c r="A189" s="144"/>
      <c r="B189" s="145" t="str">
        <f>IFERROR(VLOOKUP($A189,'Base TOTAL'!A:AJ,2,0), "-")</f>
        <v>-</v>
      </c>
      <c r="C189" s="145" t="str">
        <f>IFERROR(VLOOKUP($A189,'Base TOTAL'!A:AJ,33,0), "-")</f>
        <v>-</v>
      </c>
      <c r="D189" s="146" t="str">
        <f>IFERROR(VLOOKUP($A189,'Base TOTAL'!A:AJ,34,0), "-")</f>
        <v>-</v>
      </c>
      <c r="E189" s="147" t="str">
        <f>IFERROR(VLOOKUP($A189,'Base TOTAL'!A:AJ,35,0), "-")</f>
        <v>-</v>
      </c>
      <c r="F189" s="133"/>
    </row>
    <row r="190" ht="30.0" customHeight="1">
      <c r="A190" s="144"/>
      <c r="B190" s="145" t="str">
        <f>IFERROR(VLOOKUP($A190,'Base TOTAL'!A:AJ,2,0), "-")</f>
        <v>-</v>
      </c>
      <c r="C190" s="145" t="str">
        <f>IFERROR(VLOOKUP($A190,'Base TOTAL'!A:AJ,33,0), "-")</f>
        <v>-</v>
      </c>
      <c r="D190" s="146" t="str">
        <f>IFERROR(VLOOKUP($A190,'Base TOTAL'!A:AJ,34,0), "-")</f>
        <v>-</v>
      </c>
      <c r="E190" s="147" t="str">
        <f>IFERROR(VLOOKUP($A190,'Base TOTAL'!A:AJ,35,0), "-")</f>
        <v>-</v>
      </c>
      <c r="F190" s="133"/>
    </row>
    <row r="191" ht="30.0" customHeight="1">
      <c r="A191" s="144"/>
      <c r="B191" s="145" t="str">
        <f>IFERROR(VLOOKUP($A191,'Base TOTAL'!A:AJ,2,0), "-")</f>
        <v>-</v>
      </c>
      <c r="C191" s="145" t="str">
        <f>IFERROR(VLOOKUP($A191,'Base TOTAL'!A:AJ,33,0), "-")</f>
        <v>-</v>
      </c>
      <c r="D191" s="146" t="str">
        <f>IFERROR(VLOOKUP($A191,'Base TOTAL'!A:AJ,34,0), "-")</f>
        <v>-</v>
      </c>
      <c r="E191" s="147" t="str">
        <f>IFERROR(VLOOKUP($A191,'Base TOTAL'!A:AJ,35,0), "-")</f>
        <v>-</v>
      </c>
      <c r="F191" s="133"/>
    </row>
    <row r="192" ht="30.0" customHeight="1">
      <c r="A192" s="144"/>
      <c r="B192" s="145" t="str">
        <f>IFERROR(VLOOKUP($A192,'Base TOTAL'!A:AJ,2,0), "-")</f>
        <v>-</v>
      </c>
      <c r="C192" s="145" t="str">
        <f>IFERROR(VLOOKUP($A192,'Base TOTAL'!A:AJ,33,0), "-")</f>
        <v>-</v>
      </c>
      <c r="D192" s="146" t="str">
        <f>IFERROR(VLOOKUP($A192,'Base TOTAL'!A:AJ,34,0), "-")</f>
        <v>-</v>
      </c>
      <c r="E192" s="147" t="str">
        <f>IFERROR(VLOOKUP($A192,'Base TOTAL'!A:AJ,35,0), "-")</f>
        <v>-</v>
      </c>
      <c r="F192" s="133"/>
    </row>
    <row r="193" ht="30.0" customHeight="1">
      <c r="A193" s="144"/>
      <c r="B193" s="145" t="str">
        <f>IFERROR(VLOOKUP($A193,'Base TOTAL'!A:AJ,2,0), "-")</f>
        <v>-</v>
      </c>
      <c r="C193" s="145" t="str">
        <f>IFERROR(VLOOKUP($A193,'Base TOTAL'!A:AJ,33,0), "-")</f>
        <v>-</v>
      </c>
      <c r="D193" s="146" t="str">
        <f>IFERROR(VLOOKUP($A193,'Base TOTAL'!A:AJ,34,0), "-")</f>
        <v>-</v>
      </c>
      <c r="E193" s="147" t="str">
        <f>IFERROR(VLOOKUP($A193,'Base TOTAL'!A:AJ,35,0), "-")</f>
        <v>-</v>
      </c>
      <c r="F193" s="133"/>
    </row>
    <row r="194" ht="30.0" customHeight="1">
      <c r="A194" s="144"/>
      <c r="B194" s="145" t="str">
        <f>IFERROR(VLOOKUP($A194,'Base TOTAL'!A:AJ,2,0), "-")</f>
        <v>-</v>
      </c>
      <c r="C194" s="145" t="str">
        <f>IFERROR(VLOOKUP($A194,'Base TOTAL'!A:AJ,33,0), "-")</f>
        <v>-</v>
      </c>
      <c r="D194" s="146" t="str">
        <f>IFERROR(VLOOKUP($A194,'Base TOTAL'!A:AJ,34,0), "-")</f>
        <v>-</v>
      </c>
      <c r="E194" s="147" t="str">
        <f>IFERROR(VLOOKUP($A194,'Base TOTAL'!A:AJ,35,0), "-")</f>
        <v>-</v>
      </c>
      <c r="F194" s="133"/>
    </row>
    <row r="195" ht="30.0" customHeight="1">
      <c r="A195" s="144"/>
      <c r="B195" s="145" t="str">
        <f>IFERROR(VLOOKUP($A195,'Base TOTAL'!A:AJ,2,0), "-")</f>
        <v>-</v>
      </c>
      <c r="C195" s="145" t="str">
        <f>IFERROR(VLOOKUP($A195,'Base TOTAL'!A:AJ,33,0), "-")</f>
        <v>-</v>
      </c>
      <c r="D195" s="146" t="str">
        <f>IFERROR(VLOOKUP($A195,'Base TOTAL'!A:AJ,34,0), "-")</f>
        <v>-</v>
      </c>
      <c r="E195" s="147" t="str">
        <f>IFERROR(VLOOKUP($A195,'Base TOTAL'!A:AJ,35,0), "-")</f>
        <v>-</v>
      </c>
      <c r="F195" s="133"/>
    </row>
    <row r="196" ht="30.0" customHeight="1">
      <c r="A196" s="144"/>
      <c r="B196" s="145" t="str">
        <f>IFERROR(VLOOKUP($A196,'Base TOTAL'!A:AJ,2,0), "-")</f>
        <v>-</v>
      </c>
      <c r="C196" s="145" t="str">
        <f>IFERROR(VLOOKUP($A196,'Base TOTAL'!A:AJ,33,0), "-")</f>
        <v>-</v>
      </c>
      <c r="D196" s="146" t="str">
        <f>IFERROR(VLOOKUP($A196,'Base TOTAL'!A:AJ,34,0), "-")</f>
        <v>-</v>
      </c>
      <c r="E196" s="147" t="str">
        <f>IFERROR(VLOOKUP($A196,'Base TOTAL'!A:AJ,35,0), "-")</f>
        <v>-</v>
      </c>
      <c r="F196" s="133"/>
    </row>
    <row r="197" ht="30.0" customHeight="1">
      <c r="A197" s="144"/>
      <c r="B197" s="145" t="str">
        <f>IFERROR(VLOOKUP($A197,'Base TOTAL'!A:AJ,2,0), "-")</f>
        <v>-</v>
      </c>
      <c r="C197" s="145" t="str">
        <f>IFERROR(VLOOKUP($A197,'Base TOTAL'!A:AJ,33,0), "-")</f>
        <v>-</v>
      </c>
      <c r="D197" s="146" t="str">
        <f>IFERROR(VLOOKUP($A197,'Base TOTAL'!A:AJ,34,0), "-")</f>
        <v>-</v>
      </c>
      <c r="E197" s="147" t="str">
        <f>IFERROR(VLOOKUP($A197,'Base TOTAL'!A:AJ,35,0), "-")</f>
        <v>-</v>
      </c>
      <c r="F197" s="133"/>
    </row>
    <row r="198" ht="30.0" customHeight="1">
      <c r="A198" s="144"/>
      <c r="B198" s="145" t="str">
        <f>IFERROR(VLOOKUP($A198,'Base TOTAL'!A:AJ,2,0), "-")</f>
        <v>-</v>
      </c>
      <c r="C198" s="145" t="str">
        <f>IFERROR(VLOOKUP($A198,'Base TOTAL'!A:AJ,33,0), "-")</f>
        <v>-</v>
      </c>
      <c r="D198" s="146" t="str">
        <f>IFERROR(VLOOKUP($A198,'Base TOTAL'!A:AJ,34,0), "-")</f>
        <v>-</v>
      </c>
      <c r="E198" s="147" t="str">
        <f>IFERROR(VLOOKUP($A198,'Base TOTAL'!A:AJ,35,0), "-")</f>
        <v>-</v>
      </c>
      <c r="F198" s="133"/>
    </row>
    <row r="199" ht="30.0" customHeight="1">
      <c r="A199" s="144"/>
      <c r="B199" s="145" t="str">
        <f>IFERROR(VLOOKUP($A199,'Base TOTAL'!A:AJ,2,0), "-")</f>
        <v>-</v>
      </c>
      <c r="C199" s="145" t="str">
        <f>IFERROR(VLOOKUP($A199,'Base TOTAL'!A:AJ,33,0), "-")</f>
        <v>-</v>
      </c>
      <c r="D199" s="146" t="str">
        <f>IFERROR(VLOOKUP($A199,'Base TOTAL'!A:AJ,34,0), "-")</f>
        <v>-</v>
      </c>
      <c r="E199" s="147" t="str">
        <f>IFERROR(VLOOKUP($A199,'Base TOTAL'!A:AJ,35,0), "-")</f>
        <v>-</v>
      </c>
      <c r="F199" s="133"/>
    </row>
    <row r="200" ht="30.0" customHeight="1">
      <c r="A200" s="144"/>
      <c r="B200" s="145" t="str">
        <f>IFERROR(VLOOKUP($A200,'Base TOTAL'!A:AJ,2,0), "-")</f>
        <v>-</v>
      </c>
      <c r="C200" s="145" t="str">
        <f>IFERROR(VLOOKUP($A200,'Base TOTAL'!A:AJ,33,0), "-")</f>
        <v>-</v>
      </c>
      <c r="D200" s="146" t="str">
        <f>IFERROR(VLOOKUP($A200,'Base TOTAL'!A:AJ,34,0), "-")</f>
        <v>-</v>
      </c>
      <c r="E200" s="147" t="str">
        <f>IFERROR(VLOOKUP($A200,'Base TOTAL'!A:AJ,35,0), "-")</f>
        <v>-</v>
      </c>
      <c r="F200" s="133"/>
    </row>
    <row r="201" ht="30.0" customHeight="1">
      <c r="A201" s="144"/>
      <c r="B201" s="145" t="str">
        <f>IFERROR(VLOOKUP($A201,'Base TOTAL'!A:AJ,2,0), "-")</f>
        <v>-</v>
      </c>
      <c r="C201" s="145" t="str">
        <f>IFERROR(VLOOKUP($A201,'Base TOTAL'!A:AJ,33,0), "-")</f>
        <v>-</v>
      </c>
      <c r="D201" s="146" t="str">
        <f>IFERROR(VLOOKUP($A201,'Base TOTAL'!A:AJ,34,0), "-")</f>
        <v>-</v>
      </c>
      <c r="E201" s="147" t="str">
        <f>IFERROR(VLOOKUP($A201,'Base TOTAL'!A:AJ,35,0), "-")</f>
        <v>-</v>
      </c>
      <c r="F201" s="133"/>
    </row>
    <row r="202" ht="30.0" customHeight="1">
      <c r="A202" s="144"/>
      <c r="B202" s="145" t="str">
        <f>IFERROR(VLOOKUP($A202,'Base TOTAL'!A:AJ,2,0), "-")</f>
        <v>-</v>
      </c>
      <c r="C202" s="145" t="str">
        <f>IFERROR(VLOOKUP($A202,'Base TOTAL'!A:AJ,33,0), "-")</f>
        <v>-</v>
      </c>
      <c r="D202" s="146" t="str">
        <f>IFERROR(VLOOKUP($A202,'Base TOTAL'!A:AJ,34,0), "-")</f>
        <v>-</v>
      </c>
      <c r="E202" s="147" t="str">
        <f>IFERROR(VLOOKUP($A202,'Base TOTAL'!A:AJ,35,0), "-")</f>
        <v>-</v>
      </c>
      <c r="F202" s="133"/>
    </row>
    <row r="203" ht="30.0" customHeight="1">
      <c r="A203" s="144"/>
      <c r="B203" s="145" t="str">
        <f>IFERROR(VLOOKUP($A203,'Base TOTAL'!A:AJ,2,0), "-")</f>
        <v>-</v>
      </c>
      <c r="C203" s="145" t="str">
        <f>IFERROR(VLOOKUP($A203,'Base TOTAL'!A:AJ,33,0), "-")</f>
        <v>-</v>
      </c>
      <c r="D203" s="146" t="str">
        <f>IFERROR(VLOOKUP($A203,'Base TOTAL'!A:AJ,34,0), "-")</f>
        <v>-</v>
      </c>
      <c r="E203" s="147" t="str">
        <f>IFERROR(VLOOKUP($A203,'Base TOTAL'!A:AJ,35,0), "-")</f>
        <v>-</v>
      </c>
      <c r="F203" s="133"/>
    </row>
    <row r="204" ht="30.0" customHeight="1">
      <c r="A204" s="144"/>
      <c r="B204" s="145" t="str">
        <f>IFERROR(VLOOKUP($A204,'Base TOTAL'!A:AJ,2,0), "-")</f>
        <v>-</v>
      </c>
      <c r="C204" s="145" t="str">
        <f>IFERROR(VLOOKUP($A204,'Base TOTAL'!A:AJ,33,0), "-")</f>
        <v>-</v>
      </c>
      <c r="D204" s="146" t="str">
        <f>IFERROR(VLOOKUP($A204,'Base TOTAL'!A:AJ,34,0), "-")</f>
        <v>-</v>
      </c>
      <c r="E204" s="147" t="str">
        <f>IFERROR(VLOOKUP($A204,'Base TOTAL'!A:AJ,35,0), "-")</f>
        <v>-</v>
      </c>
      <c r="F204" s="133"/>
    </row>
    <row r="205" ht="30.0" customHeight="1">
      <c r="A205" s="144"/>
      <c r="B205" s="145" t="str">
        <f>IFERROR(VLOOKUP($A205,'Base TOTAL'!A:AJ,2,0), "-")</f>
        <v>-</v>
      </c>
      <c r="C205" s="145" t="str">
        <f>IFERROR(VLOOKUP($A205,'Base TOTAL'!A:AJ,33,0), "-")</f>
        <v>-</v>
      </c>
      <c r="D205" s="146" t="str">
        <f>IFERROR(VLOOKUP($A205,'Base TOTAL'!A:AJ,34,0), "-")</f>
        <v>-</v>
      </c>
      <c r="E205" s="147" t="str">
        <f>IFERROR(VLOOKUP($A205,'Base TOTAL'!A:AJ,35,0), "-")</f>
        <v>-</v>
      </c>
      <c r="F205" s="133"/>
    </row>
    <row r="206" ht="30.0" customHeight="1">
      <c r="A206" s="144"/>
      <c r="B206" s="145" t="str">
        <f>IFERROR(VLOOKUP($A206,'Base TOTAL'!A:AJ,2,0), "-")</f>
        <v>-</v>
      </c>
      <c r="C206" s="145" t="str">
        <f>IFERROR(VLOOKUP($A206,'Base TOTAL'!A:AJ,33,0), "-")</f>
        <v>-</v>
      </c>
      <c r="D206" s="146" t="str">
        <f>IFERROR(VLOOKUP($A206,'Base TOTAL'!A:AJ,34,0), "-")</f>
        <v>-</v>
      </c>
      <c r="E206" s="147" t="str">
        <f>IFERROR(VLOOKUP($A206,'Base TOTAL'!A:AJ,35,0), "-")</f>
        <v>-</v>
      </c>
      <c r="F206" s="133"/>
    </row>
    <row r="207" ht="30.0" customHeight="1">
      <c r="A207" s="144"/>
      <c r="B207" s="145" t="str">
        <f>IFERROR(VLOOKUP($A207,'Base TOTAL'!A:AJ,2,0), "-")</f>
        <v>-</v>
      </c>
      <c r="C207" s="145" t="str">
        <f>IFERROR(VLOOKUP($A207,'Base TOTAL'!A:AJ,33,0), "-")</f>
        <v>-</v>
      </c>
      <c r="D207" s="146" t="str">
        <f>IFERROR(VLOOKUP($A207,'Base TOTAL'!A:AJ,34,0), "-")</f>
        <v>-</v>
      </c>
      <c r="E207" s="147" t="str">
        <f>IFERROR(VLOOKUP($A207,'Base TOTAL'!A:AJ,35,0), "-")</f>
        <v>-</v>
      </c>
      <c r="F207" s="133"/>
    </row>
    <row r="208" ht="30.0" customHeight="1">
      <c r="A208" s="144"/>
      <c r="B208" s="145" t="str">
        <f>IFERROR(VLOOKUP($A208,'Base TOTAL'!A:AJ,2,0), "-")</f>
        <v>-</v>
      </c>
      <c r="C208" s="145" t="str">
        <f>IFERROR(VLOOKUP($A208,'Base TOTAL'!A:AJ,33,0), "-")</f>
        <v>-</v>
      </c>
      <c r="D208" s="146" t="str">
        <f>IFERROR(VLOOKUP($A208,'Base TOTAL'!A:AJ,34,0), "-")</f>
        <v>-</v>
      </c>
      <c r="E208" s="147" t="str">
        <f>IFERROR(VLOOKUP($A208,'Base TOTAL'!A:AJ,35,0), "-")</f>
        <v>-</v>
      </c>
      <c r="F208" s="133"/>
    </row>
    <row r="209" ht="30.0" customHeight="1">
      <c r="A209" s="144"/>
      <c r="B209" s="145" t="str">
        <f>IFERROR(VLOOKUP($A209,'Base TOTAL'!A:AJ,2,0), "-")</f>
        <v>-</v>
      </c>
      <c r="C209" s="145" t="str">
        <f>IFERROR(VLOOKUP($A209,'Base TOTAL'!A:AJ,33,0), "-")</f>
        <v>-</v>
      </c>
      <c r="D209" s="146" t="str">
        <f>IFERROR(VLOOKUP($A209,'Base TOTAL'!A:AJ,34,0), "-")</f>
        <v>-</v>
      </c>
      <c r="E209" s="147" t="str">
        <f>IFERROR(VLOOKUP($A209,'Base TOTAL'!A:AJ,35,0), "-")</f>
        <v>-</v>
      </c>
      <c r="F209" s="133"/>
    </row>
    <row r="210" ht="30.0" customHeight="1">
      <c r="A210" s="144"/>
      <c r="B210" s="145" t="str">
        <f>IFERROR(VLOOKUP($A210,'Base TOTAL'!A:AJ,2,0), "-")</f>
        <v>-</v>
      </c>
      <c r="C210" s="145" t="str">
        <f>IFERROR(VLOOKUP($A210,'Base TOTAL'!A:AJ,33,0), "-")</f>
        <v>-</v>
      </c>
      <c r="D210" s="146" t="str">
        <f>IFERROR(VLOOKUP($A210,'Base TOTAL'!A:AJ,34,0), "-")</f>
        <v>-</v>
      </c>
      <c r="E210" s="147" t="str">
        <f>IFERROR(VLOOKUP($A210,'Base TOTAL'!A:AJ,35,0), "-")</f>
        <v>-</v>
      </c>
      <c r="F210" s="133"/>
    </row>
    <row r="211" ht="30.0" customHeight="1">
      <c r="A211" s="144"/>
      <c r="B211" s="145" t="str">
        <f>IFERROR(VLOOKUP($A211,'Base TOTAL'!A:AJ,2,0), "-")</f>
        <v>-</v>
      </c>
      <c r="C211" s="145" t="str">
        <f>IFERROR(VLOOKUP($A211,'Base TOTAL'!A:AJ,33,0), "-")</f>
        <v>-</v>
      </c>
      <c r="D211" s="146" t="str">
        <f>IFERROR(VLOOKUP($A211,'Base TOTAL'!A:AJ,34,0), "-")</f>
        <v>-</v>
      </c>
      <c r="E211" s="147" t="str">
        <f>IFERROR(VLOOKUP($A211,'Base TOTAL'!A:AJ,35,0), "-")</f>
        <v>-</v>
      </c>
      <c r="F211" s="133"/>
    </row>
    <row r="212" ht="30.0" customHeight="1">
      <c r="A212" s="144"/>
      <c r="B212" s="145" t="str">
        <f>IFERROR(VLOOKUP($A212,'Base TOTAL'!A:AJ,2,0), "-")</f>
        <v>-</v>
      </c>
      <c r="C212" s="145" t="str">
        <f>IFERROR(VLOOKUP($A212,'Base TOTAL'!A:AJ,33,0), "-")</f>
        <v>-</v>
      </c>
      <c r="D212" s="146" t="str">
        <f>IFERROR(VLOOKUP($A212,'Base TOTAL'!A:AJ,34,0), "-")</f>
        <v>-</v>
      </c>
      <c r="E212" s="147" t="str">
        <f>IFERROR(VLOOKUP($A212,'Base TOTAL'!A:AJ,35,0), "-")</f>
        <v>-</v>
      </c>
      <c r="F212" s="133"/>
    </row>
    <row r="213" ht="30.0" customHeight="1">
      <c r="A213" s="144"/>
      <c r="B213" s="145" t="str">
        <f>IFERROR(VLOOKUP($A213,'Base TOTAL'!A:AJ,2,0), "-")</f>
        <v>-</v>
      </c>
      <c r="C213" s="145" t="str">
        <f>IFERROR(VLOOKUP($A213,'Base TOTAL'!A:AJ,33,0), "-")</f>
        <v>-</v>
      </c>
      <c r="D213" s="146" t="str">
        <f>IFERROR(VLOOKUP($A213,'Base TOTAL'!A:AJ,34,0), "-")</f>
        <v>-</v>
      </c>
      <c r="E213" s="147" t="str">
        <f>IFERROR(VLOOKUP($A213,'Base TOTAL'!A:AJ,35,0), "-")</f>
        <v>-</v>
      </c>
      <c r="F213" s="133"/>
    </row>
    <row r="214" ht="30.0" customHeight="1">
      <c r="A214" s="144"/>
      <c r="B214" s="145" t="str">
        <f>IFERROR(VLOOKUP($A214,'Base TOTAL'!A:AJ,2,0), "-")</f>
        <v>-</v>
      </c>
      <c r="C214" s="145" t="str">
        <f>IFERROR(VLOOKUP($A214,'Base TOTAL'!A:AJ,33,0), "-")</f>
        <v>-</v>
      </c>
      <c r="D214" s="146" t="str">
        <f>IFERROR(VLOOKUP($A214,'Base TOTAL'!A:AJ,34,0), "-")</f>
        <v>-</v>
      </c>
      <c r="E214" s="147" t="str">
        <f>IFERROR(VLOOKUP($A214,'Base TOTAL'!A:AJ,35,0), "-")</f>
        <v>-</v>
      </c>
      <c r="F214" s="133"/>
    </row>
    <row r="215" ht="30.0" customHeight="1">
      <c r="A215" s="144"/>
      <c r="B215" s="145" t="str">
        <f>IFERROR(VLOOKUP($A215,'Base TOTAL'!A:AJ,2,0), "-")</f>
        <v>-</v>
      </c>
      <c r="C215" s="145" t="str">
        <f>IFERROR(VLOOKUP($A215,'Base TOTAL'!A:AJ,33,0), "-")</f>
        <v>-</v>
      </c>
      <c r="D215" s="146" t="str">
        <f>IFERROR(VLOOKUP($A215,'Base TOTAL'!A:AJ,34,0), "-")</f>
        <v>-</v>
      </c>
      <c r="E215" s="147" t="str">
        <f>IFERROR(VLOOKUP($A215,'Base TOTAL'!A:AJ,35,0), "-")</f>
        <v>-</v>
      </c>
      <c r="F215" s="133"/>
    </row>
    <row r="216" ht="30.0" customHeight="1">
      <c r="A216" s="144"/>
      <c r="B216" s="145" t="str">
        <f>IFERROR(VLOOKUP($A216,'Base TOTAL'!A:AJ,2,0), "-")</f>
        <v>-</v>
      </c>
      <c r="C216" s="145" t="str">
        <f>IFERROR(VLOOKUP($A216,'Base TOTAL'!A:AJ,33,0), "-")</f>
        <v>-</v>
      </c>
      <c r="D216" s="146" t="str">
        <f>IFERROR(VLOOKUP($A216,'Base TOTAL'!A:AJ,34,0), "-")</f>
        <v>-</v>
      </c>
      <c r="E216" s="147" t="str">
        <f>IFERROR(VLOOKUP($A216,'Base TOTAL'!A:AJ,35,0), "-")</f>
        <v>-</v>
      </c>
      <c r="F216" s="133"/>
    </row>
    <row r="217" ht="30.0" customHeight="1">
      <c r="A217" s="144"/>
      <c r="B217" s="145" t="str">
        <f>IFERROR(VLOOKUP($A217,'Base TOTAL'!A:AJ,2,0), "-")</f>
        <v>-</v>
      </c>
      <c r="C217" s="145" t="str">
        <f>IFERROR(VLOOKUP($A217,'Base TOTAL'!A:AJ,33,0), "-")</f>
        <v>-</v>
      </c>
      <c r="D217" s="146" t="str">
        <f>IFERROR(VLOOKUP($A217,'Base TOTAL'!A:AJ,34,0), "-")</f>
        <v>-</v>
      </c>
      <c r="E217" s="147" t="str">
        <f>IFERROR(VLOOKUP($A217,'Base TOTAL'!A:AJ,35,0), "-")</f>
        <v>-</v>
      </c>
      <c r="F217" s="133"/>
    </row>
    <row r="218" ht="30.0" customHeight="1">
      <c r="A218" s="144"/>
      <c r="B218" s="145" t="str">
        <f>IFERROR(VLOOKUP($A218,'Base TOTAL'!A:AJ,2,0), "-")</f>
        <v>-</v>
      </c>
      <c r="C218" s="145" t="str">
        <f>IFERROR(VLOOKUP($A218,'Base TOTAL'!A:AJ,33,0), "-")</f>
        <v>-</v>
      </c>
      <c r="D218" s="146" t="str">
        <f>IFERROR(VLOOKUP($A218,'Base TOTAL'!A:AJ,34,0), "-")</f>
        <v>-</v>
      </c>
      <c r="E218" s="147" t="str">
        <f>IFERROR(VLOOKUP($A218,'Base TOTAL'!A:AJ,35,0), "-")</f>
        <v>-</v>
      </c>
      <c r="F218" s="133"/>
    </row>
    <row r="219" ht="30.0" customHeight="1">
      <c r="A219" s="144"/>
      <c r="B219" s="145" t="str">
        <f>IFERROR(VLOOKUP($A219,'Base TOTAL'!A:AJ,2,0), "-")</f>
        <v>-</v>
      </c>
      <c r="C219" s="145" t="str">
        <f>IFERROR(VLOOKUP($A219,'Base TOTAL'!A:AJ,33,0), "-")</f>
        <v>-</v>
      </c>
      <c r="D219" s="146" t="str">
        <f>IFERROR(VLOOKUP($A219,'Base TOTAL'!A:AJ,34,0), "-")</f>
        <v>-</v>
      </c>
      <c r="E219" s="147" t="str">
        <f>IFERROR(VLOOKUP($A219,'Base TOTAL'!A:AJ,35,0), "-")</f>
        <v>-</v>
      </c>
      <c r="F219" s="133"/>
    </row>
    <row r="220" ht="30.0" customHeight="1">
      <c r="A220" s="144"/>
      <c r="B220" s="145" t="str">
        <f>IFERROR(VLOOKUP($A220,'Base TOTAL'!A:AJ,2,0), "-")</f>
        <v>-</v>
      </c>
      <c r="C220" s="145" t="str">
        <f>IFERROR(VLOOKUP($A220,'Base TOTAL'!A:AJ,33,0), "-")</f>
        <v>-</v>
      </c>
      <c r="D220" s="146" t="str">
        <f>IFERROR(VLOOKUP($A220,'Base TOTAL'!A:AJ,34,0), "-")</f>
        <v>-</v>
      </c>
      <c r="E220" s="147" t="str">
        <f>IFERROR(VLOOKUP($A220,'Base TOTAL'!A:AJ,35,0), "-")</f>
        <v>-</v>
      </c>
      <c r="F220" s="133"/>
    </row>
    <row r="221" ht="30.0" customHeight="1">
      <c r="A221" s="144"/>
      <c r="B221" s="145" t="str">
        <f>IFERROR(VLOOKUP($A221,'Base TOTAL'!A:AJ,2,0), "-")</f>
        <v>-</v>
      </c>
      <c r="C221" s="145" t="str">
        <f>IFERROR(VLOOKUP($A221,'Base TOTAL'!A:AJ,33,0), "-")</f>
        <v>-</v>
      </c>
      <c r="D221" s="146" t="str">
        <f>IFERROR(VLOOKUP($A221,'Base TOTAL'!A:AJ,34,0), "-")</f>
        <v>-</v>
      </c>
      <c r="E221" s="147" t="str">
        <f>IFERROR(VLOOKUP($A221,'Base TOTAL'!A:AJ,35,0), "-")</f>
        <v>-</v>
      </c>
      <c r="F221" s="133"/>
    </row>
    <row r="222" ht="30.0" customHeight="1">
      <c r="A222" s="144"/>
      <c r="B222" s="145" t="str">
        <f>IFERROR(VLOOKUP($A222,'Base TOTAL'!A:AJ,2,0), "-")</f>
        <v>-</v>
      </c>
      <c r="C222" s="145" t="str">
        <f>IFERROR(VLOOKUP($A222,'Base TOTAL'!A:AJ,33,0), "-")</f>
        <v>-</v>
      </c>
      <c r="D222" s="146" t="str">
        <f>IFERROR(VLOOKUP($A222,'Base TOTAL'!A:AJ,34,0), "-")</f>
        <v>-</v>
      </c>
      <c r="E222" s="147" t="str">
        <f>IFERROR(VLOOKUP($A222,'Base TOTAL'!A:AJ,35,0), "-")</f>
        <v>-</v>
      </c>
      <c r="F222" s="133"/>
    </row>
    <row r="223" ht="30.0" customHeight="1">
      <c r="A223" s="144"/>
      <c r="B223" s="145" t="str">
        <f>IFERROR(VLOOKUP($A223,'Base TOTAL'!A:AJ,2,0), "-")</f>
        <v>-</v>
      </c>
      <c r="C223" s="145" t="str">
        <f>IFERROR(VLOOKUP($A223,'Base TOTAL'!A:AJ,33,0), "-")</f>
        <v>-</v>
      </c>
      <c r="D223" s="146" t="str">
        <f>IFERROR(VLOOKUP($A223,'Base TOTAL'!A:AJ,34,0), "-")</f>
        <v>-</v>
      </c>
      <c r="E223" s="147" t="str">
        <f>IFERROR(VLOOKUP($A223,'Base TOTAL'!A:AJ,35,0), "-")</f>
        <v>-</v>
      </c>
      <c r="F223" s="133"/>
    </row>
    <row r="224" ht="30.0" customHeight="1">
      <c r="A224" s="144"/>
      <c r="B224" s="145" t="str">
        <f>IFERROR(VLOOKUP($A224,'Base TOTAL'!A:AJ,2,0), "-")</f>
        <v>-</v>
      </c>
      <c r="C224" s="145" t="str">
        <f>IFERROR(VLOOKUP($A224,'Base TOTAL'!A:AJ,33,0), "-")</f>
        <v>-</v>
      </c>
      <c r="D224" s="146" t="str">
        <f>IFERROR(VLOOKUP($A224,'Base TOTAL'!A:AJ,34,0), "-")</f>
        <v>-</v>
      </c>
      <c r="E224" s="147" t="str">
        <f>IFERROR(VLOOKUP($A224,'Base TOTAL'!A:AJ,35,0), "-")</f>
        <v>-</v>
      </c>
      <c r="F224" s="133"/>
    </row>
    <row r="225" ht="30.0" customHeight="1">
      <c r="A225" s="144"/>
      <c r="B225" s="145" t="str">
        <f>IFERROR(VLOOKUP($A225,'Base TOTAL'!A:AJ,2,0), "-")</f>
        <v>-</v>
      </c>
      <c r="C225" s="145" t="str">
        <f>IFERROR(VLOOKUP($A225,'Base TOTAL'!A:AJ,33,0), "-")</f>
        <v>-</v>
      </c>
      <c r="D225" s="146" t="str">
        <f>IFERROR(VLOOKUP($A225,'Base TOTAL'!A:AJ,34,0), "-")</f>
        <v>-</v>
      </c>
      <c r="E225" s="147" t="str">
        <f>IFERROR(VLOOKUP($A225,'Base TOTAL'!A:AJ,35,0), "-")</f>
        <v>-</v>
      </c>
      <c r="F225" s="133"/>
    </row>
    <row r="226" ht="30.0" customHeight="1">
      <c r="A226" s="144"/>
      <c r="B226" s="145" t="str">
        <f>IFERROR(VLOOKUP($A226,'Base TOTAL'!A:AJ,2,0), "-")</f>
        <v>-</v>
      </c>
      <c r="C226" s="145" t="str">
        <f>IFERROR(VLOOKUP($A226,'Base TOTAL'!A:AJ,33,0), "-")</f>
        <v>-</v>
      </c>
      <c r="D226" s="146" t="str">
        <f>IFERROR(VLOOKUP($A226,'Base TOTAL'!A:AJ,34,0), "-")</f>
        <v>-</v>
      </c>
      <c r="E226" s="147" t="str">
        <f>IFERROR(VLOOKUP($A226,'Base TOTAL'!A:AJ,35,0), "-")</f>
        <v>-</v>
      </c>
      <c r="F226" s="133"/>
    </row>
    <row r="227" ht="30.0" customHeight="1">
      <c r="A227" s="144"/>
      <c r="B227" s="145" t="str">
        <f>IFERROR(VLOOKUP($A227,'Base TOTAL'!A:AJ,2,0), "-")</f>
        <v>-</v>
      </c>
      <c r="C227" s="145" t="str">
        <f>IFERROR(VLOOKUP($A227,'Base TOTAL'!A:AJ,33,0), "-")</f>
        <v>-</v>
      </c>
      <c r="D227" s="146" t="str">
        <f>IFERROR(VLOOKUP($A227,'Base TOTAL'!A:AJ,34,0), "-")</f>
        <v>-</v>
      </c>
      <c r="E227" s="147" t="str">
        <f>IFERROR(VLOOKUP($A227,'Base TOTAL'!A:AJ,35,0), "-")</f>
        <v>-</v>
      </c>
      <c r="F227" s="133"/>
    </row>
    <row r="228" ht="30.0" customHeight="1">
      <c r="A228" s="144"/>
      <c r="B228" s="145" t="str">
        <f>IFERROR(VLOOKUP($A228,'Base TOTAL'!A:AJ,2,0), "-")</f>
        <v>-</v>
      </c>
      <c r="C228" s="145" t="str">
        <f>IFERROR(VLOOKUP($A228,'Base TOTAL'!A:AJ,33,0), "-")</f>
        <v>-</v>
      </c>
      <c r="D228" s="146" t="str">
        <f>IFERROR(VLOOKUP($A228,'Base TOTAL'!A:AJ,34,0), "-")</f>
        <v>-</v>
      </c>
      <c r="E228" s="147" t="str">
        <f>IFERROR(VLOOKUP($A228,'Base TOTAL'!A:AJ,35,0), "-")</f>
        <v>-</v>
      </c>
      <c r="F228" s="133"/>
    </row>
    <row r="229" ht="30.0" customHeight="1">
      <c r="A229" s="144"/>
      <c r="B229" s="145" t="str">
        <f>IFERROR(VLOOKUP($A229,'Base TOTAL'!A:AJ,2,0), "-")</f>
        <v>-</v>
      </c>
      <c r="C229" s="145" t="str">
        <f>IFERROR(VLOOKUP($A229,'Base TOTAL'!A:AJ,33,0), "-")</f>
        <v>-</v>
      </c>
      <c r="D229" s="146" t="str">
        <f>IFERROR(VLOOKUP($A229,'Base TOTAL'!A:AJ,34,0), "-")</f>
        <v>-</v>
      </c>
      <c r="E229" s="147" t="str">
        <f>IFERROR(VLOOKUP($A229,'Base TOTAL'!A:AJ,35,0), "-")</f>
        <v>-</v>
      </c>
      <c r="F229" s="133"/>
    </row>
    <row r="230" ht="30.0" customHeight="1">
      <c r="A230" s="144"/>
      <c r="B230" s="145" t="str">
        <f>IFERROR(VLOOKUP($A230,'Base TOTAL'!A:AJ,2,0), "-")</f>
        <v>-</v>
      </c>
      <c r="C230" s="145" t="str">
        <f>IFERROR(VLOOKUP($A230,'Base TOTAL'!A:AJ,33,0), "-")</f>
        <v>-</v>
      </c>
      <c r="D230" s="146" t="str">
        <f>IFERROR(VLOOKUP($A230,'Base TOTAL'!A:AJ,34,0), "-")</f>
        <v>-</v>
      </c>
      <c r="E230" s="147" t="str">
        <f>IFERROR(VLOOKUP($A230,'Base TOTAL'!A:AJ,35,0), "-")</f>
        <v>-</v>
      </c>
      <c r="F230" s="133"/>
    </row>
    <row r="231" ht="30.0" customHeight="1">
      <c r="A231" s="144"/>
      <c r="B231" s="145" t="str">
        <f>IFERROR(VLOOKUP($A231,'Base TOTAL'!A:AJ,2,0), "-")</f>
        <v>-</v>
      </c>
      <c r="C231" s="145" t="str">
        <f>IFERROR(VLOOKUP($A231,'Base TOTAL'!A:AJ,33,0), "-")</f>
        <v>-</v>
      </c>
      <c r="D231" s="146" t="str">
        <f>IFERROR(VLOOKUP($A231,'Base TOTAL'!A:AJ,34,0), "-")</f>
        <v>-</v>
      </c>
      <c r="E231" s="147" t="str">
        <f>IFERROR(VLOOKUP($A231,'Base TOTAL'!A:AJ,35,0), "-")</f>
        <v>-</v>
      </c>
      <c r="F231" s="133"/>
    </row>
    <row r="232" ht="30.0" customHeight="1">
      <c r="A232" s="144"/>
      <c r="B232" s="145" t="str">
        <f>IFERROR(VLOOKUP($A232,'Base TOTAL'!A:AJ,2,0), "-")</f>
        <v>-</v>
      </c>
      <c r="C232" s="145" t="str">
        <f>IFERROR(VLOOKUP($A232,'Base TOTAL'!A:AJ,33,0), "-")</f>
        <v>-</v>
      </c>
      <c r="D232" s="146" t="str">
        <f>IFERROR(VLOOKUP($A232,'Base TOTAL'!A:AJ,34,0), "-")</f>
        <v>-</v>
      </c>
      <c r="E232" s="147" t="str">
        <f>IFERROR(VLOOKUP($A232,'Base TOTAL'!A:AJ,35,0), "-")</f>
        <v>-</v>
      </c>
      <c r="F232" s="133"/>
    </row>
    <row r="233" ht="30.0" customHeight="1">
      <c r="A233" s="144"/>
      <c r="B233" s="145" t="str">
        <f>IFERROR(VLOOKUP($A233,'Base TOTAL'!A:AJ,2,0), "-")</f>
        <v>-</v>
      </c>
      <c r="C233" s="145" t="str">
        <f>IFERROR(VLOOKUP($A233,'Base TOTAL'!A:AJ,33,0), "-")</f>
        <v>-</v>
      </c>
      <c r="D233" s="146" t="str">
        <f>IFERROR(VLOOKUP($A233,'Base TOTAL'!A:AJ,34,0), "-")</f>
        <v>-</v>
      </c>
      <c r="E233" s="147" t="str">
        <f>IFERROR(VLOOKUP($A233,'Base TOTAL'!A:AJ,35,0), "-")</f>
        <v>-</v>
      </c>
      <c r="F233" s="133"/>
    </row>
    <row r="234" ht="30.0" customHeight="1">
      <c r="A234" s="144"/>
      <c r="B234" s="145" t="str">
        <f>IFERROR(VLOOKUP($A234,'Base TOTAL'!A:AJ,2,0), "-")</f>
        <v>-</v>
      </c>
      <c r="C234" s="145" t="str">
        <f>IFERROR(VLOOKUP($A234,'Base TOTAL'!A:AJ,33,0), "-")</f>
        <v>-</v>
      </c>
      <c r="D234" s="146" t="str">
        <f>IFERROR(VLOOKUP($A234,'Base TOTAL'!A:AJ,34,0), "-")</f>
        <v>-</v>
      </c>
      <c r="E234" s="147" t="str">
        <f>IFERROR(VLOOKUP($A234,'Base TOTAL'!A:AJ,35,0), "-")</f>
        <v>-</v>
      </c>
      <c r="F234" s="133"/>
    </row>
    <row r="235" ht="30.0" customHeight="1">
      <c r="A235" s="144"/>
      <c r="B235" s="145" t="str">
        <f>IFERROR(VLOOKUP($A235,'Base TOTAL'!A:AJ,2,0), "-")</f>
        <v>-</v>
      </c>
      <c r="C235" s="145" t="str">
        <f>IFERROR(VLOOKUP($A235,'Base TOTAL'!A:AJ,33,0), "-")</f>
        <v>-</v>
      </c>
      <c r="D235" s="146" t="str">
        <f>IFERROR(VLOOKUP($A235,'Base TOTAL'!A:AJ,34,0), "-")</f>
        <v>-</v>
      </c>
      <c r="E235" s="147" t="str">
        <f>IFERROR(VLOOKUP($A235,'Base TOTAL'!A:AJ,35,0), "-")</f>
        <v>-</v>
      </c>
      <c r="F235" s="133"/>
    </row>
    <row r="236" ht="30.0" customHeight="1">
      <c r="A236" s="144"/>
      <c r="B236" s="145" t="str">
        <f>IFERROR(VLOOKUP($A236,'Base TOTAL'!A:AJ,2,0), "-")</f>
        <v>-</v>
      </c>
      <c r="C236" s="145" t="str">
        <f>IFERROR(VLOOKUP($A236,'Base TOTAL'!A:AJ,33,0), "-")</f>
        <v>-</v>
      </c>
      <c r="D236" s="146" t="str">
        <f>IFERROR(VLOOKUP($A236,'Base TOTAL'!A:AJ,34,0), "-")</f>
        <v>-</v>
      </c>
      <c r="E236" s="147" t="str">
        <f>IFERROR(VLOOKUP($A236,'Base TOTAL'!A:AJ,35,0), "-")</f>
        <v>-</v>
      </c>
      <c r="F236" s="133"/>
    </row>
    <row r="237" ht="30.0" customHeight="1">
      <c r="A237" s="144"/>
      <c r="B237" s="145" t="str">
        <f>IFERROR(VLOOKUP($A237,'Base TOTAL'!A:AJ,2,0), "-")</f>
        <v>-</v>
      </c>
      <c r="C237" s="145" t="str">
        <f>IFERROR(VLOOKUP($A237,'Base TOTAL'!A:AJ,33,0), "-")</f>
        <v>-</v>
      </c>
      <c r="D237" s="146" t="str">
        <f>IFERROR(VLOOKUP($A237,'Base TOTAL'!A:AJ,34,0), "-")</f>
        <v>-</v>
      </c>
      <c r="E237" s="147" t="str">
        <f>IFERROR(VLOOKUP($A237,'Base TOTAL'!A:AJ,35,0), "-")</f>
        <v>-</v>
      </c>
      <c r="F237" s="133"/>
    </row>
    <row r="238" ht="30.0" customHeight="1">
      <c r="A238" s="144"/>
      <c r="B238" s="145" t="str">
        <f>IFERROR(VLOOKUP($A238,'Base TOTAL'!A:AJ,2,0), "-")</f>
        <v>-</v>
      </c>
      <c r="C238" s="145" t="str">
        <f>IFERROR(VLOOKUP($A238,'Base TOTAL'!A:AJ,33,0), "-")</f>
        <v>-</v>
      </c>
      <c r="D238" s="146" t="str">
        <f>IFERROR(VLOOKUP($A238,'Base TOTAL'!A:AJ,34,0), "-")</f>
        <v>-</v>
      </c>
      <c r="E238" s="147" t="str">
        <f>IFERROR(VLOOKUP($A238,'Base TOTAL'!A:AJ,35,0), "-")</f>
        <v>-</v>
      </c>
      <c r="F238" s="133"/>
    </row>
    <row r="239" ht="30.0" customHeight="1">
      <c r="A239" s="144"/>
      <c r="B239" s="145" t="str">
        <f>IFERROR(VLOOKUP($A239,'Base TOTAL'!A:AJ,2,0), "-")</f>
        <v>-</v>
      </c>
      <c r="C239" s="145" t="str">
        <f>IFERROR(VLOOKUP($A239,'Base TOTAL'!A:AJ,33,0), "-")</f>
        <v>-</v>
      </c>
      <c r="D239" s="146" t="str">
        <f>IFERROR(VLOOKUP($A239,'Base TOTAL'!A:AJ,34,0), "-")</f>
        <v>-</v>
      </c>
      <c r="E239" s="147" t="str">
        <f>IFERROR(VLOOKUP($A239,'Base TOTAL'!A:AJ,35,0), "-")</f>
        <v>-</v>
      </c>
      <c r="F239" s="133"/>
    </row>
    <row r="240" ht="30.0" customHeight="1">
      <c r="A240" s="144"/>
      <c r="B240" s="145" t="str">
        <f>IFERROR(VLOOKUP($A240,'Base TOTAL'!A:AJ,2,0), "-")</f>
        <v>-</v>
      </c>
      <c r="C240" s="145" t="str">
        <f>IFERROR(VLOOKUP($A240,'Base TOTAL'!A:AJ,33,0), "-")</f>
        <v>-</v>
      </c>
      <c r="D240" s="146" t="str">
        <f>IFERROR(VLOOKUP($A240,'Base TOTAL'!A:AJ,34,0), "-")</f>
        <v>-</v>
      </c>
      <c r="E240" s="147" t="str">
        <f>IFERROR(VLOOKUP($A240,'Base TOTAL'!A:AJ,35,0), "-")</f>
        <v>-</v>
      </c>
      <c r="F240" s="133"/>
    </row>
    <row r="241" ht="30.0" customHeight="1">
      <c r="A241" s="144"/>
      <c r="B241" s="145" t="str">
        <f>IFERROR(VLOOKUP($A241,'Base TOTAL'!A:AJ,2,0), "-")</f>
        <v>-</v>
      </c>
      <c r="C241" s="145" t="str">
        <f>IFERROR(VLOOKUP($A241,'Base TOTAL'!A:AJ,33,0), "-")</f>
        <v>-</v>
      </c>
      <c r="D241" s="146" t="str">
        <f>IFERROR(VLOOKUP($A241,'Base TOTAL'!A:AJ,34,0), "-")</f>
        <v>-</v>
      </c>
      <c r="E241" s="147" t="str">
        <f>IFERROR(VLOOKUP($A241,'Base TOTAL'!A:AJ,35,0), "-")</f>
        <v>-</v>
      </c>
      <c r="F241" s="133"/>
    </row>
    <row r="242" ht="30.0" customHeight="1">
      <c r="A242" s="144"/>
      <c r="B242" s="145" t="str">
        <f>IFERROR(VLOOKUP($A242,'Base TOTAL'!A:AJ,2,0), "-")</f>
        <v>-</v>
      </c>
      <c r="C242" s="145" t="str">
        <f>IFERROR(VLOOKUP($A242,'Base TOTAL'!A:AJ,33,0), "-")</f>
        <v>-</v>
      </c>
      <c r="D242" s="146" t="str">
        <f>IFERROR(VLOOKUP($A242,'Base TOTAL'!A:AJ,34,0), "-")</f>
        <v>-</v>
      </c>
      <c r="E242" s="147" t="str">
        <f>IFERROR(VLOOKUP($A242,'Base TOTAL'!A:AJ,35,0), "-")</f>
        <v>-</v>
      </c>
      <c r="F242" s="133"/>
    </row>
    <row r="243" ht="30.0" customHeight="1">
      <c r="A243" s="144"/>
      <c r="B243" s="145" t="str">
        <f>IFERROR(VLOOKUP($A243,'Base TOTAL'!A:AJ,2,0), "-")</f>
        <v>-</v>
      </c>
      <c r="C243" s="145" t="str">
        <f>IFERROR(VLOOKUP($A243,'Base TOTAL'!A:AJ,33,0), "-")</f>
        <v>-</v>
      </c>
      <c r="D243" s="146" t="str">
        <f>IFERROR(VLOOKUP($A243,'Base TOTAL'!A:AJ,34,0), "-")</f>
        <v>-</v>
      </c>
      <c r="E243" s="147" t="str">
        <f>IFERROR(VLOOKUP($A243,'Base TOTAL'!A:AJ,35,0), "-")</f>
        <v>-</v>
      </c>
      <c r="F243" s="133"/>
    </row>
    <row r="244" ht="30.0" customHeight="1">
      <c r="A244" s="144"/>
      <c r="B244" s="145" t="str">
        <f>IFERROR(VLOOKUP($A244,'Base TOTAL'!A:AJ,2,0), "-")</f>
        <v>-</v>
      </c>
      <c r="C244" s="145" t="str">
        <f>IFERROR(VLOOKUP($A244,'Base TOTAL'!A:AJ,33,0), "-")</f>
        <v>-</v>
      </c>
      <c r="D244" s="146" t="str">
        <f>IFERROR(VLOOKUP($A244,'Base TOTAL'!A:AJ,34,0), "-")</f>
        <v>-</v>
      </c>
      <c r="E244" s="147" t="str">
        <f>IFERROR(VLOOKUP($A244,'Base TOTAL'!A:AJ,35,0), "-")</f>
        <v>-</v>
      </c>
      <c r="F244" s="133"/>
    </row>
    <row r="245" ht="30.0" customHeight="1">
      <c r="A245" s="144"/>
      <c r="B245" s="145" t="str">
        <f>IFERROR(VLOOKUP($A245,'Base TOTAL'!A:AJ,2,0), "-")</f>
        <v>-</v>
      </c>
      <c r="C245" s="145" t="str">
        <f>IFERROR(VLOOKUP($A245,'Base TOTAL'!A:AJ,33,0), "-")</f>
        <v>-</v>
      </c>
      <c r="D245" s="146" t="str">
        <f>IFERROR(VLOOKUP($A245,'Base TOTAL'!A:AJ,34,0), "-")</f>
        <v>-</v>
      </c>
      <c r="E245" s="147" t="str">
        <f>IFERROR(VLOOKUP($A245,'Base TOTAL'!A:AJ,35,0), "-")</f>
        <v>-</v>
      </c>
      <c r="F245" s="133"/>
    </row>
    <row r="246" ht="30.0" customHeight="1">
      <c r="A246" s="144"/>
      <c r="B246" s="145" t="str">
        <f>IFERROR(VLOOKUP($A246,'Base TOTAL'!A:AJ,2,0), "-")</f>
        <v>-</v>
      </c>
      <c r="C246" s="145" t="str">
        <f>IFERROR(VLOOKUP($A246,'Base TOTAL'!A:AJ,33,0), "-")</f>
        <v>-</v>
      </c>
      <c r="D246" s="146" t="str">
        <f>IFERROR(VLOOKUP($A246,'Base TOTAL'!A:AJ,34,0), "-")</f>
        <v>-</v>
      </c>
      <c r="E246" s="147" t="str">
        <f>IFERROR(VLOOKUP($A246,'Base TOTAL'!A:AJ,35,0), "-")</f>
        <v>-</v>
      </c>
      <c r="F246" s="133"/>
    </row>
    <row r="247" ht="30.0" customHeight="1">
      <c r="A247" s="144"/>
      <c r="B247" s="145" t="str">
        <f>IFERROR(VLOOKUP($A247,'Base TOTAL'!A:AJ,2,0), "-")</f>
        <v>-</v>
      </c>
      <c r="C247" s="145" t="str">
        <f>IFERROR(VLOOKUP($A247,'Base TOTAL'!A:AJ,33,0), "-")</f>
        <v>-</v>
      </c>
      <c r="D247" s="146" t="str">
        <f>IFERROR(VLOOKUP($A247,'Base TOTAL'!A:AJ,34,0), "-")</f>
        <v>-</v>
      </c>
      <c r="E247" s="147" t="str">
        <f>IFERROR(VLOOKUP($A247,'Base TOTAL'!A:AJ,35,0), "-")</f>
        <v>-</v>
      </c>
      <c r="F247" s="133"/>
    </row>
    <row r="248" ht="30.0" customHeight="1">
      <c r="A248" s="144"/>
      <c r="B248" s="145" t="str">
        <f>IFERROR(VLOOKUP($A248,'Base TOTAL'!A:AJ,2,0), "-")</f>
        <v>-</v>
      </c>
      <c r="C248" s="145" t="str">
        <f>IFERROR(VLOOKUP($A248,'Base TOTAL'!A:AJ,33,0), "-")</f>
        <v>-</v>
      </c>
      <c r="D248" s="146" t="str">
        <f>IFERROR(VLOOKUP($A248,'Base TOTAL'!A:AJ,34,0), "-")</f>
        <v>-</v>
      </c>
      <c r="E248" s="147" t="str">
        <f>IFERROR(VLOOKUP($A248,'Base TOTAL'!A:AJ,35,0), "-")</f>
        <v>-</v>
      </c>
      <c r="F248" s="133"/>
    </row>
    <row r="249" ht="30.0" customHeight="1">
      <c r="A249" s="144"/>
      <c r="B249" s="145" t="str">
        <f>IFERROR(VLOOKUP($A249,'Base TOTAL'!A:AJ,2,0), "-")</f>
        <v>-</v>
      </c>
      <c r="C249" s="145" t="str">
        <f>IFERROR(VLOOKUP($A249,'Base TOTAL'!A:AJ,33,0), "-")</f>
        <v>-</v>
      </c>
      <c r="D249" s="146" t="str">
        <f>IFERROR(VLOOKUP($A249,'Base TOTAL'!A:AJ,34,0), "-")</f>
        <v>-</v>
      </c>
      <c r="E249" s="147" t="str">
        <f>IFERROR(VLOOKUP($A249,'Base TOTAL'!A:AJ,35,0), "-")</f>
        <v>-</v>
      </c>
      <c r="F249" s="133"/>
    </row>
    <row r="250" ht="30.0" customHeight="1">
      <c r="A250" s="144"/>
      <c r="B250" s="145" t="str">
        <f>IFERROR(VLOOKUP($A250,'Base TOTAL'!A:AJ,2,0), "-")</f>
        <v>-</v>
      </c>
      <c r="C250" s="145" t="str">
        <f>IFERROR(VLOOKUP($A250,'Base TOTAL'!A:AJ,33,0), "-")</f>
        <v>-</v>
      </c>
      <c r="D250" s="146" t="str">
        <f>IFERROR(VLOOKUP($A250,'Base TOTAL'!A:AJ,34,0), "-")</f>
        <v>-</v>
      </c>
      <c r="E250" s="147" t="str">
        <f>IFERROR(VLOOKUP($A250,'Base TOTAL'!A:AJ,35,0), "-")</f>
        <v>-</v>
      </c>
      <c r="F250" s="133"/>
    </row>
    <row r="251" ht="30.0" customHeight="1">
      <c r="A251" s="144"/>
      <c r="B251" s="145" t="str">
        <f>IFERROR(VLOOKUP($A251,'Base TOTAL'!A:AJ,2,0), "-")</f>
        <v>-</v>
      </c>
      <c r="C251" s="145" t="str">
        <f>IFERROR(VLOOKUP($A251,'Base TOTAL'!A:AJ,33,0), "-")</f>
        <v>-</v>
      </c>
      <c r="D251" s="146" t="str">
        <f>IFERROR(VLOOKUP($A251,'Base TOTAL'!A:AJ,34,0), "-")</f>
        <v>-</v>
      </c>
      <c r="E251" s="147" t="str">
        <f>IFERROR(VLOOKUP($A251,'Base TOTAL'!A:AJ,35,0), "-")</f>
        <v>-</v>
      </c>
      <c r="F251" s="133"/>
    </row>
    <row r="252" ht="30.0" customHeight="1">
      <c r="A252" s="144"/>
      <c r="B252" s="145" t="str">
        <f>IFERROR(VLOOKUP($A252,'Base TOTAL'!A:AJ,2,0), "-")</f>
        <v>-</v>
      </c>
      <c r="C252" s="145" t="str">
        <f>IFERROR(VLOOKUP($A252,'Base TOTAL'!A:AJ,33,0), "-")</f>
        <v>-</v>
      </c>
      <c r="D252" s="146" t="str">
        <f>IFERROR(VLOOKUP($A252,'Base TOTAL'!A:AJ,34,0), "-")</f>
        <v>-</v>
      </c>
      <c r="E252" s="147" t="str">
        <f>IFERROR(VLOOKUP($A252,'Base TOTAL'!A:AJ,35,0), "-")</f>
        <v>-</v>
      </c>
      <c r="F252" s="133"/>
    </row>
    <row r="253" ht="30.0" customHeight="1">
      <c r="A253" s="144"/>
      <c r="B253" s="145" t="str">
        <f>IFERROR(VLOOKUP($A253,'Base TOTAL'!A:AJ,2,0), "-")</f>
        <v>-</v>
      </c>
      <c r="C253" s="145" t="str">
        <f>IFERROR(VLOOKUP($A253,'Base TOTAL'!A:AJ,33,0), "-")</f>
        <v>-</v>
      </c>
      <c r="D253" s="146" t="str">
        <f>IFERROR(VLOOKUP($A253,'Base TOTAL'!A:AJ,34,0), "-")</f>
        <v>-</v>
      </c>
      <c r="E253" s="147" t="str">
        <f>IFERROR(VLOOKUP($A253,'Base TOTAL'!A:AJ,35,0), "-")</f>
        <v>-</v>
      </c>
      <c r="F253" s="133"/>
    </row>
    <row r="254" ht="30.0" customHeight="1">
      <c r="A254" s="144"/>
      <c r="B254" s="145" t="str">
        <f>IFERROR(VLOOKUP($A254,'Base TOTAL'!A:AJ,2,0), "-")</f>
        <v>-</v>
      </c>
      <c r="C254" s="145" t="str">
        <f>IFERROR(VLOOKUP($A254,'Base TOTAL'!A:AJ,33,0), "-")</f>
        <v>-</v>
      </c>
      <c r="D254" s="146" t="str">
        <f>IFERROR(VLOOKUP($A254,'Base TOTAL'!A:AJ,34,0), "-")</f>
        <v>-</v>
      </c>
      <c r="E254" s="147" t="str">
        <f>IFERROR(VLOOKUP($A254,'Base TOTAL'!A:AJ,35,0), "-")</f>
        <v>-</v>
      </c>
      <c r="F254" s="133"/>
    </row>
    <row r="255" ht="30.0" customHeight="1">
      <c r="A255" s="144"/>
      <c r="B255" s="145" t="str">
        <f>IFERROR(VLOOKUP($A255,'Base TOTAL'!A:AJ,2,0), "-")</f>
        <v>-</v>
      </c>
      <c r="C255" s="145" t="str">
        <f>IFERROR(VLOOKUP($A255,'Base TOTAL'!A:AJ,33,0), "-")</f>
        <v>-</v>
      </c>
      <c r="D255" s="146" t="str">
        <f>IFERROR(VLOOKUP($A255,'Base TOTAL'!A:AJ,34,0), "-")</f>
        <v>-</v>
      </c>
      <c r="E255" s="147" t="str">
        <f>IFERROR(VLOOKUP($A255,'Base TOTAL'!A:AJ,35,0), "-")</f>
        <v>-</v>
      </c>
      <c r="F255" s="133"/>
    </row>
    <row r="256" ht="30.0" customHeight="1">
      <c r="A256" s="144"/>
      <c r="B256" s="145" t="str">
        <f>IFERROR(VLOOKUP($A256,'Base TOTAL'!A:AJ,2,0), "-")</f>
        <v>-</v>
      </c>
      <c r="C256" s="145" t="str">
        <f>IFERROR(VLOOKUP($A256,'Base TOTAL'!A:AJ,33,0), "-")</f>
        <v>-</v>
      </c>
      <c r="D256" s="146" t="str">
        <f>IFERROR(VLOOKUP($A256,'Base TOTAL'!A:AJ,34,0), "-")</f>
        <v>-</v>
      </c>
      <c r="E256" s="147" t="str">
        <f>IFERROR(VLOOKUP($A256,'Base TOTAL'!A:AJ,35,0), "-")</f>
        <v>-</v>
      </c>
      <c r="F256" s="133"/>
    </row>
    <row r="257" ht="30.0" customHeight="1">
      <c r="A257" s="144"/>
      <c r="B257" s="145" t="str">
        <f>IFERROR(VLOOKUP($A257,'Base TOTAL'!A:AJ,2,0), "-")</f>
        <v>-</v>
      </c>
      <c r="C257" s="145" t="str">
        <f>IFERROR(VLOOKUP($A257,'Base TOTAL'!A:AJ,33,0), "-")</f>
        <v>-</v>
      </c>
      <c r="D257" s="146" t="str">
        <f>IFERROR(VLOOKUP($A257,'Base TOTAL'!A:AJ,34,0), "-")</f>
        <v>-</v>
      </c>
      <c r="E257" s="147" t="str">
        <f>IFERROR(VLOOKUP($A257,'Base TOTAL'!A:AJ,35,0), "-")</f>
        <v>-</v>
      </c>
      <c r="F257" s="133"/>
    </row>
    <row r="258" ht="30.0" customHeight="1">
      <c r="A258" s="144"/>
      <c r="B258" s="145" t="str">
        <f>IFERROR(VLOOKUP($A258,'Base TOTAL'!A:AJ,2,0), "-")</f>
        <v>-</v>
      </c>
      <c r="C258" s="145" t="str">
        <f>IFERROR(VLOOKUP($A258,'Base TOTAL'!A:AJ,33,0), "-")</f>
        <v>-</v>
      </c>
      <c r="D258" s="146" t="str">
        <f>IFERROR(VLOOKUP($A258,'Base TOTAL'!A:AJ,34,0), "-")</f>
        <v>-</v>
      </c>
      <c r="E258" s="147" t="str">
        <f>IFERROR(VLOOKUP($A258,'Base TOTAL'!A:AJ,35,0), "-")</f>
        <v>-</v>
      </c>
      <c r="F258" s="133"/>
    </row>
    <row r="259" ht="30.0" customHeight="1">
      <c r="A259" s="144"/>
      <c r="B259" s="145" t="str">
        <f>IFERROR(VLOOKUP($A259,'Base TOTAL'!A:AJ,2,0), "-")</f>
        <v>-</v>
      </c>
      <c r="C259" s="145" t="str">
        <f>IFERROR(VLOOKUP($A259,'Base TOTAL'!A:AJ,33,0), "-")</f>
        <v>-</v>
      </c>
      <c r="D259" s="146" t="str">
        <f>IFERROR(VLOOKUP($A259,'Base TOTAL'!A:AJ,34,0), "-")</f>
        <v>-</v>
      </c>
      <c r="E259" s="147" t="str">
        <f>IFERROR(VLOOKUP($A259,'Base TOTAL'!A:AJ,35,0), "-")</f>
        <v>-</v>
      </c>
      <c r="F259" s="133"/>
    </row>
    <row r="260" ht="30.0" customHeight="1">
      <c r="A260" s="144"/>
      <c r="B260" s="145" t="str">
        <f>IFERROR(VLOOKUP($A260,'Base TOTAL'!A:AJ,2,0), "-")</f>
        <v>-</v>
      </c>
      <c r="C260" s="145" t="str">
        <f>IFERROR(VLOOKUP($A260,'Base TOTAL'!A:AJ,33,0), "-")</f>
        <v>-</v>
      </c>
      <c r="D260" s="146" t="str">
        <f>IFERROR(VLOOKUP($A260,'Base TOTAL'!A:AJ,34,0), "-")</f>
        <v>-</v>
      </c>
      <c r="E260" s="147" t="str">
        <f>IFERROR(VLOOKUP($A260,'Base TOTAL'!A:AJ,35,0), "-")</f>
        <v>-</v>
      </c>
      <c r="F260" s="133"/>
    </row>
    <row r="261" ht="30.0" customHeight="1">
      <c r="A261" s="144"/>
      <c r="B261" s="145" t="str">
        <f>IFERROR(VLOOKUP($A261,'Base TOTAL'!A:AJ,2,0), "-")</f>
        <v>-</v>
      </c>
      <c r="C261" s="145" t="str">
        <f>IFERROR(VLOOKUP($A261,'Base TOTAL'!A:AJ,33,0), "-")</f>
        <v>-</v>
      </c>
      <c r="D261" s="146" t="str">
        <f>IFERROR(VLOOKUP($A261,'Base TOTAL'!A:AJ,34,0), "-")</f>
        <v>-</v>
      </c>
      <c r="E261" s="147" t="str">
        <f>IFERROR(VLOOKUP($A261,'Base TOTAL'!A:AJ,35,0), "-")</f>
        <v>-</v>
      </c>
      <c r="F261" s="133"/>
    </row>
    <row r="262" ht="30.0" customHeight="1">
      <c r="A262" s="144"/>
      <c r="B262" s="145" t="str">
        <f>IFERROR(VLOOKUP($A262,'Base TOTAL'!A:AJ,2,0), "-")</f>
        <v>-</v>
      </c>
      <c r="C262" s="145" t="str">
        <f>IFERROR(VLOOKUP($A262,'Base TOTAL'!A:AJ,33,0), "-")</f>
        <v>-</v>
      </c>
      <c r="D262" s="146" t="str">
        <f>IFERROR(VLOOKUP($A262,'Base TOTAL'!A:AJ,34,0), "-")</f>
        <v>-</v>
      </c>
      <c r="E262" s="147" t="str">
        <f>IFERROR(VLOOKUP($A262,'Base TOTAL'!A:AJ,35,0), "-")</f>
        <v>-</v>
      </c>
      <c r="F262" s="133"/>
    </row>
    <row r="263" ht="30.0" customHeight="1">
      <c r="A263" s="144"/>
      <c r="B263" s="145" t="str">
        <f>IFERROR(VLOOKUP($A263,'Base TOTAL'!A:AJ,2,0), "-")</f>
        <v>-</v>
      </c>
      <c r="C263" s="145" t="str">
        <f>IFERROR(VLOOKUP($A263,'Base TOTAL'!A:AJ,33,0), "-")</f>
        <v>-</v>
      </c>
      <c r="D263" s="146" t="str">
        <f>IFERROR(VLOOKUP($A263,'Base TOTAL'!A:AJ,34,0), "-")</f>
        <v>-</v>
      </c>
      <c r="E263" s="147" t="str">
        <f>IFERROR(VLOOKUP($A263,'Base TOTAL'!A:AJ,35,0), "-")</f>
        <v>-</v>
      </c>
      <c r="F263" s="133"/>
    </row>
    <row r="264" ht="30.0" customHeight="1">
      <c r="A264" s="144"/>
      <c r="B264" s="145" t="str">
        <f>IFERROR(VLOOKUP($A264,'Base TOTAL'!A:AJ,2,0), "-")</f>
        <v>-</v>
      </c>
      <c r="C264" s="145" t="str">
        <f>IFERROR(VLOOKUP($A264,'Base TOTAL'!A:AJ,33,0), "-")</f>
        <v>-</v>
      </c>
      <c r="D264" s="146" t="str">
        <f>IFERROR(VLOOKUP($A264,'Base TOTAL'!A:AJ,34,0), "-")</f>
        <v>-</v>
      </c>
      <c r="E264" s="147" t="str">
        <f>IFERROR(VLOOKUP($A264,'Base TOTAL'!A:AJ,35,0), "-")</f>
        <v>-</v>
      </c>
      <c r="F264" s="133"/>
    </row>
    <row r="265" ht="30.0" customHeight="1">
      <c r="A265" s="144"/>
      <c r="B265" s="145" t="str">
        <f>IFERROR(VLOOKUP($A265,'Base TOTAL'!A:AJ,2,0), "-")</f>
        <v>-</v>
      </c>
      <c r="C265" s="145" t="str">
        <f>IFERROR(VLOOKUP($A265,'Base TOTAL'!A:AJ,33,0), "-")</f>
        <v>-</v>
      </c>
      <c r="D265" s="146" t="str">
        <f>IFERROR(VLOOKUP($A265,'Base TOTAL'!A:AJ,34,0), "-")</f>
        <v>-</v>
      </c>
      <c r="E265" s="147" t="str">
        <f>IFERROR(VLOOKUP($A265,'Base TOTAL'!A:AJ,35,0), "-")</f>
        <v>-</v>
      </c>
      <c r="F265" s="133"/>
    </row>
    <row r="266" ht="30.0" customHeight="1">
      <c r="A266" s="144"/>
      <c r="B266" s="145" t="str">
        <f>IFERROR(VLOOKUP($A266,'Base TOTAL'!A:AJ,2,0), "-")</f>
        <v>-</v>
      </c>
      <c r="C266" s="145" t="str">
        <f>IFERROR(VLOOKUP($A266,'Base TOTAL'!A:AJ,33,0), "-")</f>
        <v>-</v>
      </c>
      <c r="D266" s="146" t="str">
        <f>IFERROR(VLOOKUP($A266,'Base TOTAL'!A:AJ,34,0), "-")</f>
        <v>-</v>
      </c>
      <c r="E266" s="147" t="str">
        <f>IFERROR(VLOOKUP($A266,'Base TOTAL'!A:AJ,35,0), "-")</f>
        <v>-</v>
      </c>
      <c r="F266" s="133"/>
    </row>
    <row r="267" ht="30.0" customHeight="1">
      <c r="A267" s="144"/>
      <c r="B267" s="145" t="str">
        <f>IFERROR(VLOOKUP($A267,'Base TOTAL'!A:AJ,2,0), "-")</f>
        <v>-</v>
      </c>
      <c r="C267" s="145" t="str">
        <f>IFERROR(VLOOKUP($A267,'Base TOTAL'!A:AJ,33,0), "-")</f>
        <v>-</v>
      </c>
      <c r="D267" s="146" t="str">
        <f>IFERROR(VLOOKUP($A267,'Base TOTAL'!A:AJ,34,0), "-")</f>
        <v>-</v>
      </c>
      <c r="E267" s="147" t="str">
        <f>IFERROR(VLOOKUP($A267,'Base TOTAL'!A:AJ,35,0), "-")</f>
        <v>-</v>
      </c>
      <c r="F267" s="133"/>
    </row>
    <row r="268" ht="30.0" customHeight="1">
      <c r="A268" s="144"/>
      <c r="B268" s="145" t="str">
        <f>IFERROR(VLOOKUP($A268,'Base TOTAL'!A:AJ,2,0), "-")</f>
        <v>-</v>
      </c>
      <c r="C268" s="145" t="str">
        <f>IFERROR(VLOOKUP($A268,'Base TOTAL'!A:AJ,33,0), "-")</f>
        <v>-</v>
      </c>
      <c r="D268" s="146" t="str">
        <f>IFERROR(VLOOKUP($A268,'Base TOTAL'!A:AJ,34,0), "-")</f>
        <v>-</v>
      </c>
      <c r="E268" s="147" t="str">
        <f>IFERROR(VLOOKUP($A268,'Base TOTAL'!A:AJ,35,0), "-")</f>
        <v>-</v>
      </c>
      <c r="F268" s="133"/>
    </row>
    <row r="269" ht="30.0" customHeight="1">
      <c r="A269" s="144"/>
      <c r="B269" s="145" t="str">
        <f>IFERROR(VLOOKUP($A269,'Base TOTAL'!A:AJ,2,0), "-")</f>
        <v>-</v>
      </c>
      <c r="C269" s="145" t="str">
        <f>IFERROR(VLOOKUP($A269,'Base TOTAL'!A:AJ,33,0), "-")</f>
        <v>-</v>
      </c>
      <c r="D269" s="146" t="str">
        <f>IFERROR(VLOOKUP($A269,'Base TOTAL'!A:AJ,34,0), "-")</f>
        <v>-</v>
      </c>
      <c r="E269" s="147" t="str">
        <f>IFERROR(VLOOKUP($A269,'Base TOTAL'!A:AJ,35,0), "-")</f>
        <v>-</v>
      </c>
      <c r="F269" s="133"/>
    </row>
    <row r="270" ht="30.0" customHeight="1">
      <c r="A270" s="144"/>
      <c r="B270" s="145" t="str">
        <f>IFERROR(VLOOKUP($A270,'Base TOTAL'!A:AJ,2,0), "-")</f>
        <v>-</v>
      </c>
      <c r="C270" s="145" t="str">
        <f>IFERROR(VLOOKUP($A270,'Base TOTAL'!A:AJ,33,0), "-")</f>
        <v>-</v>
      </c>
      <c r="D270" s="146" t="str">
        <f>IFERROR(VLOOKUP($A270,'Base TOTAL'!A:AJ,34,0), "-")</f>
        <v>-</v>
      </c>
      <c r="E270" s="147" t="str">
        <f>IFERROR(VLOOKUP($A270,'Base TOTAL'!A:AJ,35,0), "-")</f>
        <v>-</v>
      </c>
      <c r="F270" s="133"/>
    </row>
    <row r="271" ht="30.0" customHeight="1">
      <c r="A271" s="144"/>
      <c r="B271" s="145" t="str">
        <f>IFERROR(VLOOKUP($A271,'Base TOTAL'!A:AJ,2,0), "-")</f>
        <v>-</v>
      </c>
      <c r="C271" s="145" t="str">
        <f>IFERROR(VLOOKUP($A271,'Base TOTAL'!A:AJ,33,0), "-")</f>
        <v>-</v>
      </c>
      <c r="D271" s="146" t="str">
        <f>IFERROR(VLOOKUP($A271,'Base TOTAL'!A:AJ,34,0), "-")</f>
        <v>-</v>
      </c>
      <c r="E271" s="147" t="str">
        <f>IFERROR(VLOOKUP($A271,'Base TOTAL'!A:AJ,35,0), "-")</f>
        <v>-</v>
      </c>
      <c r="F271" s="133"/>
    </row>
    <row r="272" ht="30.0" customHeight="1">
      <c r="A272" s="144"/>
      <c r="B272" s="145" t="str">
        <f>IFERROR(VLOOKUP($A272,'Base TOTAL'!A:AJ,2,0), "-")</f>
        <v>-</v>
      </c>
      <c r="C272" s="145" t="str">
        <f>IFERROR(VLOOKUP($A272,'Base TOTAL'!A:AJ,33,0), "-")</f>
        <v>-</v>
      </c>
      <c r="D272" s="146" t="str">
        <f>IFERROR(VLOOKUP($A272,'Base TOTAL'!A:AJ,34,0), "-")</f>
        <v>-</v>
      </c>
      <c r="E272" s="147" t="str">
        <f>IFERROR(VLOOKUP($A272,'Base TOTAL'!A:AJ,35,0), "-")</f>
        <v>-</v>
      </c>
      <c r="F272" s="133"/>
    </row>
    <row r="273" ht="30.0" customHeight="1">
      <c r="A273" s="144"/>
      <c r="B273" s="145" t="str">
        <f>IFERROR(VLOOKUP($A273,'Base TOTAL'!A:AJ,2,0), "-")</f>
        <v>-</v>
      </c>
      <c r="C273" s="145" t="str">
        <f>IFERROR(VLOOKUP($A273,'Base TOTAL'!A:AJ,33,0), "-")</f>
        <v>-</v>
      </c>
      <c r="D273" s="146" t="str">
        <f>IFERROR(VLOOKUP($A273,'Base TOTAL'!A:AJ,34,0), "-")</f>
        <v>-</v>
      </c>
      <c r="E273" s="147" t="str">
        <f>IFERROR(VLOOKUP($A273,'Base TOTAL'!A:AJ,35,0), "-")</f>
        <v>-</v>
      </c>
      <c r="F273" s="133"/>
    </row>
    <row r="274" ht="30.0" customHeight="1">
      <c r="A274" s="144"/>
      <c r="B274" s="145" t="str">
        <f>IFERROR(VLOOKUP($A274,'Base TOTAL'!A:AJ,2,0), "-")</f>
        <v>-</v>
      </c>
      <c r="C274" s="145" t="str">
        <f>IFERROR(VLOOKUP($A274,'Base TOTAL'!A:AJ,33,0), "-")</f>
        <v>-</v>
      </c>
      <c r="D274" s="146" t="str">
        <f>IFERROR(VLOOKUP($A274,'Base TOTAL'!A:AJ,34,0), "-")</f>
        <v>-</v>
      </c>
      <c r="E274" s="147" t="str">
        <f>IFERROR(VLOOKUP($A274,'Base TOTAL'!A:AJ,35,0), "-")</f>
        <v>-</v>
      </c>
      <c r="F274" s="133"/>
    </row>
    <row r="275" ht="30.0" customHeight="1">
      <c r="A275" s="144"/>
      <c r="B275" s="145" t="str">
        <f>IFERROR(VLOOKUP($A275,'Base TOTAL'!A:AJ,2,0), "-")</f>
        <v>-</v>
      </c>
      <c r="C275" s="145" t="str">
        <f>IFERROR(VLOOKUP($A275,'Base TOTAL'!A:AJ,33,0), "-")</f>
        <v>-</v>
      </c>
      <c r="D275" s="146" t="str">
        <f>IFERROR(VLOOKUP($A275,'Base TOTAL'!A:AJ,34,0), "-")</f>
        <v>-</v>
      </c>
      <c r="E275" s="147" t="str">
        <f>IFERROR(VLOOKUP($A275,'Base TOTAL'!A:AJ,35,0), "-")</f>
        <v>-</v>
      </c>
      <c r="F275" s="133"/>
    </row>
    <row r="276" ht="30.0" customHeight="1">
      <c r="A276" s="144"/>
      <c r="B276" s="145" t="str">
        <f>IFERROR(VLOOKUP($A276,'Base TOTAL'!A:AJ,2,0), "-")</f>
        <v>-</v>
      </c>
      <c r="C276" s="145" t="str">
        <f>IFERROR(VLOOKUP($A276,'Base TOTAL'!A:AJ,33,0), "-")</f>
        <v>-</v>
      </c>
      <c r="D276" s="146" t="str">
        <f>IFERROR(VLOOKUP($A276,'Base TOTAL'!A:AJ,34,0), "-")</f>
        <v>-</v>
      </c>
      <c r="E276" s="147" t="str">
        <f>IFERROR(VLOOKUP($A276,'Base TOTAL'!A:AJ,35,0), "-")</f>
        <v>-</v>
      </c>
      <c r="F276" s="133"/>
    </row>
    <row r="277" ht="30.0" customHeight="1">
      <c r="A277" s="144"/>
      <c r="B277" s="145" t="str">
        <f>IFERROR(VLOOKUP($A277,'Base TOTAL'!A:AJ,2,0), "-")</f>
        <v>-</v>
      </c>
      <c r="C277" s="145" t="str">
        <f>IFERROR(VLOOKUP($A277,'Base TOTAL'!A:AJ,33,0), "-")</f>
        <v>-</v>
      </c>
      <c r="D277" s="146" t="str">
        <f>IFERROR(VLOOKUP($A277,'Base TOTAL'!A:AJ,34,0), "-")</f>
        <v>-</v>
      </c>
      <c r="E277" s="147" t="str">
        <f>IFERROR(VLOOKUP($A277,'Base TOTAL'!A:AJ,35,0), "-")</f>
        <v>-</v>
      </c>
      <c r="F277" s="133"/>
    </row>
    <row r="278" ht="30.0" customHeight="1">
      <c r="A278" s="144"/>
      <c r="B278" s="145" t="str">
        <f>IFERROR(VLOOKUP($A278,'Base TOTAL'!A:AJ,2,0), "-")</f>
        <v>-</v>
      </c>
      <c r="C278" s="145" t="str">
        <f>IFERROR(VLOOKUP($A278,'Base TOTAL'!A:AJ,33,0), "-")</f>
        <v>-</v>
      </c>
      <c r="D278" s="146" t="str">
        <f>IFERROR(VLOOKUP($A278,'Base TOTAL'!A:AJ,34,0), "-")</f>
        <v>-</v>
      </c>
      <c r="E278" s="147" t="str">
        <f>IFERROR(VLOOKUP($A278,'Base TOTAL'!A:AJ,35,0), "-")</f>
        <v>-</v>
      </c>
      <c r="F278" s="133"/>
    </row>
    <row r="279" ht="30.0" customHeight="1">
      <c r="A279" s="144"/>
      <c r="B279" s="145" t="str">
        <f>IFERROR(VLOOKUP($A279,'Base TOTAL'!A:AJ,2,0), "-")</f>
        <v>-</v>
      </c>
      <c r="C279" s="145" t="str">
        <f>IFERROR(VLOOKUP($A279,'Base TOTAL'!A:AJ,33,0), "-")</f>
        <v>-</v>
      </c>
      <c r="D279" s="146" t="str">
        <f>IFERROR(VLOOKUP($A279,'Base TOTAL'!A:AJ,34,0), "-")</f>
        <v>-</v>
      </c>
      <c r="E279" s="147" t="str">
        <f>IFERROR(VLOOKUP($A279,'Base TOTAL'!A:AJ,35,0), "-")</f>
        <v>-</v>
      </c>
      <c r="F279" s="133"/>
    </row>
    <row r="280" ht="30.0" customHeight="1">
      <c r="A280" s="144"/>
      <c r="B280" s="145" t="str">
        <f>IFERROR(VLOOKUP($A280,'Base TOTAL'!A:AJ,2,0), "-")</f>
        <v>-</v>
      </c>
      <c r="C280" s="145" t="str">
        <f>IFERROR(VLOOKUP($A280,'Base TOTAL'!A:AJ,33,0), "-")</f>
        <v>-</v>
      </c>
      <c r="D280" s="146" t="str">
        <f>IFERROR(VLOOKUP($A280,'Base TOTAL'!A:AJ,34,0), "-")</f>
        <v>-</v>
      </c>
      <c r="E280" s="147" t="str">
        <f>IFERROR(VLOOKUP($A280,'Base TOTAL'!A:AJ,35,0), "-")</f>
        <v>-</v>
      </c>
      <c r="F280" s="133"/>
    </row>
    <row r="281" ht="30.0" customHeight="1">
      <c r="A281" s="144"/>
      <c r="B281" s="145" t="str">
        <f>IFERROR(VLOOKUP($A281,'Base TOTAL'!A:AJ,2,0), "-")</f>
        <v>-</v>
      </c>
      <c r="C281" s="145" t="str">
        <f>IFERROR(VLOOKUP($A281,'Base TOTAL'!A:AJ,33,0), "-")</f>
        <v>-</v>
      </c>
      <c r="D281" s="146" t="str">
        <f>IFERROR(VLOOKUP($A281,'Base TOTAL'!A:AJ,34,0), "-")</f>
        <v>-</v>
      </c>
      <c r="E281" s="147" t="str">
        <f>IFERROR(VLOOKUP($A281,'Base TOTAL'!A:AJ,35,0), "-")</f>
        <v>-</v>
      </c>
      <c r="F281" s="133"/>
    </row>
    <row r="282" ht="30.0" customHeight="1">
      <c r="A282" s="144"/>
      <c r="B282" s="145" t="str">
        <f>IFERROR(VLOOKUP($A282,'Base TOTAL'!A:AJ,2,0), "-")</f>
        <v>-</v>
      </c>
      <c r="C282" s="145" t="str">
        <f>IFERROR(VLOOKUP($A282,'Base TOTAL'!A:AJ,33,0), "-")</f>
        <v>-</v>
      </c>
      <c r="D282" s="146" t="str">
        <f>IFERROR(VLOOKUP($A282,'Base TOTAL'!A:AJ,34,0), "-")</f>
        <v>-</v>
      </c>
      <c r="E282" s="147" t="str">
        <f>IFERROR(VLOOKUP($A282,'Base TOTAL'!A:AJ,35,0), "-")</f>
        <v>-</v>
      </c>
      <c r="F282" s="133"/>
    </row>
    <row r="283" ht="30.0" customHeight="1">
      <c r="A283" s="144"/>
      <c r="B283" s="145" t="str">
        <f>IFERROR(VLOOKUP($A283,'Base TOTAL'!A:AJ,2,0), "-")</f>
        <v>-</v>
      </c>
      <c r="C283" s="145" t="str">
        <f>IFERROR(VLOOKUP($A283,'Base TOTAL'!A:AJ,33,0), "-")</f>
        <v>-</v>
      </c>
      <c r="D283" s="146" t="str">
        <f>IFERROR(VLOOKUP($A283,'Base TOTAL'!A:AJ,34,0), "-")</f>
        <v>-</v>
      </c>
      <c r="E283" s="147" t="str">
        <f>IFERROR(VLOOKUP($A283,'Base TOTAL'!A:AJ,35,0), "-")</f>
        <v>-</v>
      </c>
      <c r="F283" s="133"/>
    </row>
    <row r="284" ht="30.0" customHeight="1">
      <c r="A284" s="144"/>
      <c r="B284" s="145" t="str">
        <f>IFERROR(VLOOKUP($A284,'Base TOTAL'!A:AJ,2,0), "-")</f>
        <v>-</v>
      </c>
      <c r="C284" s="145" t="str">
        <f>IFERROR(VLOOKUP($A284,'Base TOTAL'!A:AJ,33,0), "-")</f>
        <v>-</v>
      </c>
      <c r="D284" s="146" t="str">
        <f>IFERROR(VLOOKUP($A284,'Base TOTAL'!A:AJ,34,0), "-")</f>
        <v>-</v>
      </c>
      <c r="E284" s="147" t="str">
        <f>IFERROR(VLOOKUP($A284,'Base TOTAL'!A:AJ,35,0), "-")</f>
        <v>-</v>
      </c>
      <c r="F284" s="133"/>
    </row>
    <row r="285" ht="30.0" customHeight="1">
      <c r="A285" s="144"/>
      <c r="B285" s="145" t="str">
        <f>IFERROR(VLOOKUP($A285,'Base TOTAL'!A:AJ,2,0), "-")</f>
        <v>-</v>
      </c>
      <c r="C285" s="145" t="str">
        <f>IFERROR(VLOOKUP($A285,'Base TOTAL'!A:AJ,33,0), "-")</f>
        <v>-</v>
      </c>
      <c r="D285" s="146" t="str">
        <f>IFERROR(VLOOKUP($A285,'Base TOTAL'!A:AJ,34,0), "-")</f>
        <v>-</v>
      </c>
      <c r="E285" s="147" t="str">
        <f>IFERROR(VLOOKUP($A285,'Base TOTAL'!A:AJ,35,0), "-")</f>
        <v>-</v>
      </c>
      <c r="F285" s="133"/>
    </row>
    <row r="286" ht="30.0" customHeight="1">
      <c r="A286" s="144"/>
      <c r="B286" s="145" t="str">
        <f>IFERROR(VLOOKUP($A286,'Base TOTAL'!A:AJ,2,0), "-")</f>
        <v>-</v>
      </c>
      <c r="C286" s="145" t="str">
        <f>IFERROR(VLOOKUP($A286,'Base TOTAL'!A:AJ,33,0), "-")</f>
        <v>-</v>
      </c>
      <c r="D286" s="146" t="str">
        <f>IFERROR(VLOOKUP($A286,'Base TOTAL'!A:AJ,34,0), "-")</f>
        <v>-</v>
      </c>
      <c r="E286" s="147" t="str">
        <f>IFERROR(VLOOKUP($A286,'Base TOTAL'!A:AJ,35,0), "-")</f>
        <v>-</v>
      </c>
      <c r="F286" s="133"/>
    </row>
    <row r="287" ht="30.0" customHeight="1">
      <c r="A287" s="144"/>
      <c r="B287" s="145" t="str">
        <f>IFERROR(VLOOKUP($A287,'Base TOTAL'!A:AJ,2,0), "-")</f>
        <v>-</v>
      </c>
      <c r="C287" s="145" t="str">
        <f>IFERROR(VLOOKUP($A287,'Base TOTAL'!A:AJ,33,0), "-")</f>
        <v>-</v>
      </c>
      <c r="D287" s="146" t="str">
        <f>IFERROR(VLOOKUP($A287,'Base TOTAL'!A:AJ,34,0), "-")</f>
        <v>-</v>
      </c>
      <c r="E287" s="147" t="str">
        <f>IFERROR(VLOOKUP($A287,'Base TOTAL'!A:AJ,35,0), "-")</f>
        <v>-</v>
      </c>
      <c r="F287" s="133"/>
    </row>
    <row r="288" ht="30.0" customHeight="1">
      <c r="A288" s="144"/>
      <c r="B288" s="145" t="str">
        <f>IFERROR(VLOOKUP($A288,'Base TOTAL'!A:AJ,2,0), "-")</f>
        <v>-</v>
      </c>
      <c r="C288" s="145" t="str">
        <f>IFERROR(VLOOKUP($A288,'Base TOTAL'!A:AJ,33,0), "-")</f>
        <v>-</v>
      </c>
      <c r="D288" s="146" t="str">
        <f>IFERROR(VLOOKUP($A288,'Base TOTAL'!A:AJ,34,0), "-")</f>
        <v>-</v>
      </c>
      <c r="E288" s="147" t="str">
        <f>IFERROR(VLOOKUP($A288,'Base TOTAL'!A:AJ,35,0), "-")</f>
        <v>-</v>
      </c>
      <c r="F288" s="133"/>
    </row>
    <row r="289" ht="30.0" customHeight="1">
      <c r="A289" s="144"/>
      <c r="B289" s="145" t="str">
        <f>IFERROR(VLOOKUP($A289,'Base TOTAL'!A:AJ,2,0), "-")</f>
        <v>-</v>
      </c>
      <c r="C289" s="145" t="str">
        <f>IFERROR(VLOOKUP($A289,'Base TOTAL'!A:AJ,33,0), "-")</f>
        <v>-</v>
      </c>
      <c r="D289" s="146" t="str">
        <f>IFERROR(VLOOKUP($A289,'Base TOTAL'!A:AJ,34,0), "-")</f>
        <v>-</v>
      </c>
      <c r="E289" s="147" t="str">
        <f>IFERROR(VLOOKUP($A289,'Base TOTAL'!A:AJ,35,0), "-")</f>
        <v>-</v>
      </c>
      <c r="F289" s="133"/>
    </row>
    <row r="290" ht="30.0" customHeight="1">
      <c r="A290" s="144"/>
      <c r="B290" s="145" t="str">
        <f>IFERROR(VLOOKUP($A290,'Base TOTAL'!A:AJ,2,0), "-")</f>
        <v>-</v>
      </c>
      <c r="C290" s="145" t="str">
        <f>IFERROR(VLOOKUP($A290,'Base TOTAL'!A:AJ,33,0), "-")</f>
        <v>-</v>
      </c>
      <c r="D290" s="146" t="str">
        <f>IFERROR(VLOOKUP($A290,'Base TOTAL'!A:AJ,34,0), "-")</f>
        <v>-</v>
      </c>
      <c r="E290" s="147" t="str">
        <f>IFERROR(VLOOKUP($A290,'Base TOTAL'!A:AJ,35,0), "-")</f>
        <v>-</v>
      </c>
      <c r="F290" s="133"/>
    </row>
    <row r="291" ht="30.0" customHeight="1">
      <c r="A291" s="144"/>
      <c r="B291" s="145" t="str">
        <f>IFERROR(VLOOKUP($A291,'Base TOTAL'!A:AJ,2,0), "-")</f>
        <v>-</v>
      </c>
      <c r="C291" s="145" t="str">
        <f>IFERROR(VLOOKUP($A291,'Base TOTAL'!A:AJ,33,0), "-")</f>
        <v>-</v>
      </c>
      <c r="D291" s="146" t="str">
        <f>IFERROR(VLOOKUP($A291,'Base TOTAL'!A:AJ,34,0), "-")</f>
        <v>-</v>
      </c>
      <c r="E291" s="147" t="str">
        <f>IFERROR(VLOOKUP($A291,'Base TOTAL'!A:AJ,35,0), "-")</f>
        <v>-</v>
      </c>
      <c r="F291" s="133"/>
    </row>
    <row r="292" ht="30.0" customHeight="1">
      <c r="A292" s="144"/>
      <c r="B292" s="145" t="str">
        <f>IFERROR(VLOOKUP($A292,'Base TOTAL'!A:AJ,2,0), "-")</f>
        <v>-</v>
      </c>
      <c r="C292" s="145" t="str">
        <f>IFERROR(VLOOKUP($A292,'Base TOTAL'!A:AJ,33,0), "-")</f>
        <v>-</v>
      </c>
      <c r="D292" s="146" t="str">
        <f>IFERROR(VLOOKUP($A292,'Base TOTAL'!A:AJ,34,0), "-")</f>
        <v>-</v>
      </c>
      <c r="E292" s="147" t="str">
        <f>IFERROR(VLOOKUP($A292,'Base TOTAL'!A:AJ,35,0), "-")</f>
        <v>-</v>
      </c>
      <c r="F292" s="133"/>
    </row>
    <row r="293" ht="30.0" customHeight="1">
      <c r="A293" s="144"/>
      <c r="B293" s="145" t="str">
        <f>IFERROR(VLOOKUP($A293,'Base TOTAL'!A:AJ,2,0), "-")</f>
        <v>-</v>
      </c>
      <c r="C293" s="145" t="str">
        <f>IFERROR(VLOOKUP($A293,'Base TOTAL'!A:AJ,33,0), "-")</f>
        <v>-</v>
      </c>
      <c r="D293" s="146" t="str">
        <f>IFERROR(VLOOKUP($A293,'Base TOTAL'!A:AJ,34,0), "-")</f>
        <v>-</v>
      </c>
      <c r="E293" s="147" t="str">
        <f>IFERROR(VLOOKUP($A293,'Base TOTAL'!A:AJ,35,0), "-")</f>
        <v>-</v>
      </c>
      <c r="F293" s="133"/>
    </row>
    <row r="294" ht="30.0" customHeight="1">
      <c r="A294" s="144"/>
      <c r="B294" s="145" t="str">
        <f>IFERROR(VLOOKUP($A294,'Base TOTAL'!A:AJ,2,0), "-")</f>
        <v>-</v>
      </c>
      <c r="C294" s="145" t="str">
        <f>IFERROR(VLOOKUP($A294,'Base TOTAL'!A:AJ,33,0), "-")</f>
        <v>-</v>
      </c>
      <c r="D294" s="146" t="str">
        <f>IFERROR(VLOOKUP($A294,'Base TOTAL'!A:AJ,34,0), "-")</f>
        <v>-</v>
      </c>
      <c r="E294" s="147" t="str">
        <f>IFERROR(VLOOKUP($A294,'Base TOTAL'!A:AJ,35,0), "-")</f>
        <v>-</v>
      </c>
      <c r="F294" s="133"/>
    </row>
    <row r="295" ht="30.0" customHeight="1">
      <c r="A295" s="144"/>
      <c r="B295" s="145" t="str">
        <f>IFERROR(VLOOKUP($A295,'Base TOTAL'!A:AJ,2,0), "-")</f>
        <v>-</v>
      </c>
      <c r="C295" s="145" t="str">
        <f>IFERROR(VLOOKUP($A295,'Base TOTAL'!A:AJ,33,0), "-")</f>
        <v>-</v>
      </c>
      <c r="D295" s="146" t="str">
        <f>IFERROR(VLOOKUP($A295,'Base TOTAL'!A:AJ,34,0), "-")</f>
        <v>-</v>
      </c>
      <c r="E295" s="147" t="str">
        <f>IFERROR(VLOOKUP($A295,'Base TOTAL'!A:AJ,35,0), "-")</f>
        <v>-</v>
      </c>
      <c r="F295" s="133"/>
    </row>
    <row r="296" ht="30.0" customHeight="1">
      <c r="A296" s="144"/>
      <c r="B296" s="145" t="str">
        <f>IFERROR(VLOOKUP($A296,'Base TOTAL'!A:AJ,2,0), "-")</f>
        <v>-</v>
      </c>
      <c r="C296" s="145" t="str">
        <f>IFERROR(VLOOKUP($A296,'Base TOTAL'!A:AJ,33,0), "-")</f>
        <v>-</v>
      </c>
      <c r="D296" s="146" t="str">
        <f>IFERROR(VLOOKUP($A296,'Base TOTAL'!A:AJ,34,0), "-")</f>
        <v>-</v>
      </c>
      <c r="E296" s="147" t="str">
        <f>IFERROR(VLOOKUP($A296,'Base TOTAL'!A:AJ,35,0), "-")</f>
        <v>-</v>
      </c>
      <c r="F296" s="133"/>
    </row>
    <row r="297" ht="30.0" customHeight="1">
      <c r="A297" s="144"/>
      <c r="B297" s="145" t="str">
        <f>IFERROR(VLOOKUP($A297,'Base TOTAL'!A:AJ,2,0), "-")</f>
        <v>-</v>
      </c>
      <c r="C297" s="145" t="str">
        <f>IFERROR(VLOOKUP($A297,'Base TOTAL'!A:AJ,33,0), "-")</f>
        <v>-</v>
      </c>
      <c r="D297" s="146" t="str">
        <f>IFERROR(VLOOKUP($A297,'Base TOTAL'!A:AJ,34,0), "-")</f>
        <v>-</v>
      </c>
      <c r="E297" s="147" t="str">
        <f>IFERROR(VLOOKUP($A297,'Base TOTAL'!A:AJ,35,0), "-")</f>
        <v>-</v>
      </c>
      <c r="F297" s="133"/>
    </row>
    <row r="298" ht="30.0" customHeight="1">
      <c r="A298" s="144"/>
      <c r="B298" s="145" t="str">
        <f>IFERROR(VLOOKUP($A298,'Base TOTAL'!A:AJ,2,0), "-")</f>
        <v>-</v>
      </c>
      <c r="C298" s="145" t="str">
        <f>IFERROR(VLOOKUP($A298,'Base TOTAL'!A:AJ,33,0), "-")</f>
        <v>-</v>
      </c>
      <c r="D298" s="146" t="str">
        <f>IFERROR(VLOOKUP($A298,'Base TOTAL'!A:AJ,34,0), "-")</f>
        <v>-</v>
      </c>
      <c r="E298" s="147" t="str">
        <f>IFERROR(VLOOKUP($A298,'Base TOTAL'!A:AJ,35,0), "-")</f>
        <v>-</v>
      </c>
      <c r="F298" s="133"/>
    </row>
    <row r="299" ht="30.0" customHeight="1">
      <c r="A299" s="144"/>
      <c r="B299" s="145" t="str">
        <f>IFERROR(VLOOKUP($A299,'Base TOTAL'!A:AJ,2,0), "-")</f>
        <v>-</v>
      </c>
      <c r="C299" s="145" t="str">
        <f>IFERROR(VLOOKUP($A299,'Base TOTAL'!A:AJ,33,0), "-")</f>
        <v>-</v>
      </c>
      <c r="D299" s="146" t="str">
        <f>IFERROR(VLOOKUP($A299,'Base TOTAL'!A:AJ,34,0), "-")</f>
        <v>-</v>
      </c>
      <c r="E299" s="147" t="str">
        <f>IFERROR(VLOOKUP($A299,'Base TOTAL'!A:AJ,35,0), "-")</f>
        <v>-</v>
      </c>
      <c r="F299" s="133"/>
    </row>
    <row r="300" ht="30.0" customHeight="1">
      <c r="A300" s="144"/>
      <c r="B300" s="145" t="str">
        <f>IFERROR(VLOOKUP($A300,'Base TOTAL'!A:AJ,2,0), "-")</f>
        <v>-</v>
      </c>
      <c r="C300" s="145" t="str">
        <f>IFERROR(VLOOKUP($A300,'Base TOTAL'!A:AJ,33,0), "-")</f>
        <v>-</v>
      </c>
      <c r="D300" s="146" t="str">
        <f>IFERROR(VLOOKUP($A300,'Base TOTAL'!A:AJ,34,0), "-")</f>
        <v>-</v>
      </c>
      <c r="E300" s="147" t="str">
        <f>IFERROR(VLOOKUP($A300,'Base TOTAL'!A:AJ,35,0), "-")</f>
        <v>-</v>
      </c>
      <c r="F300" s="133"/>
    </row>
    <row r="301" ht="30.0" customHeight="1">
      <c r="A301" s="144"/>
      <c r="B301" s="145" t="str">
        <f>IFERROR(VLOOKUP($A301,'Base TOTAL'!A:AJ,2,0), "-")</f>
        <v>-</v>
      </c>
      <c r="C301" s="145" t="str">
        <f>IFERROR(VLOOKUP($A301,'Base TOTAL'!A:AJ,33,0), "-")</f>
        <v>-</v>
      </c>
      <c r="D301" s="146" t="str">
        <f>IFERROR(VLOOKUP($A301,'Base TOTAL'!A:AJ,34,0), "-")</f>
        <v>-</v>
      </c>
      <c r="E301" s="147" t="str">
        <f>IFERROR(VLOOKUP($A301,'Base TOTAL'!A:AJ,35,0), "-")</f>
        <v>-</v>
      </c>
      <c r="F301" s="133"/>
    </row>
    <row r="302" ht="30.0" customHeight="1">
      <c r="A302" s="144"/>
      <c r="B302" s="145" t="str">
        <f>IFERROR(VLOOKUP($A302,'Base TOTAL'!A:AJ,2,0), "-")</f>
        <v>-</v>
      </c>
      <c r="C302" s="145" t="str">
        <f>IFERROR(VLOOKUP($A302,'Base TOTAL'!A:AJ,33,0), "-")</f>
        <v>-</v>
      </c>
      <c r="D302" s="146" t="str">
        <f>IFERROR(VLOOKUP($A302,'Base TOTAL'!A:AJ,34,0), "-")</f>
        <v>-</v>
      </c>
      <c r="E302" s="147" t="str">
        <f>IFERROR(VLOOKUP($A302,'Base TOTAL'!A:AJ,35,0), "-")</f>
        <v>-</v>
      </c>
      <c r="F302" s="133"/>
    </row>
    <row r="303" ht="30.0" customHeight="1">
      <c r="A303" s="144"/>
      <c r="B303" s="145" t="str">
        <f>IFERROR(VLOOKUP($A303,'Base TOTAL'!A:AJ,2,0), "-")</f>
        <v>-</v>
      </c>
      <c r="C303" s="145" t="str">
        <f>IFERROR(VLOOKUP($A303,'Base TOTAL'!A:AJ,33,0), "-")</f>
        <v>-</v>
      </c>
      <c r="D303" s="146" t="str">
        <f>IFERROR(VLOOKUP($A303,'Base TOTAL'!A:AJ,34,0), "-")</f>
        <v>-</v>
      </c>
      <c r="E303" s="147" t="str">
        <f>IFERROR(VLOOKUP($A303,'Base TOTAL'!A:AJ,35,0), "-")</f>
        <v>-</v>
      </c>
      <c r="F303" s="133"/>
    </row>
    <row r="304" ht="30.0" customHeight="1">
      <c r="A304" s="144"/>
      <c r="B304" s="145" t="str">
        <f>IFERROR(VLOOKUP($A304,'Base TOTAL'!A:AJ,2,0), "-")</f>
        <v>-</v>
      </c>
      <c r="C304" s="145" t="str">
        <f>IFERROR(VLOOKUP($A304,'Base TOTAL'!A:AJ,33,0), "-")</f>
        <v>-</v>
      </c>
      <c r="D304" s="146" t="str">
        <f>IFERROR(VLOOKUP($A304,'Base TOTAL'!A:AJ,34,0), "-")</f>
        <v>-</v>
      </c>
      <c r="E304" s="147" t="str">
        <f>IFERROR(VLOOKUP($A304,'Base TOTAL'!A:AJ,35,0), "-")</f>
        <v>-</v>
      </c>
      <c r="F304" s="133"/>
    </row>
    <row r="305" ht="30.0" customHeight="1">
      <c r="A305" s="144"/>
      <c r="B305" s="145" t="str">
        <f>IFERROR(VLOOKUP($A305,'Base TOTAL'!A:AJ,2,0), "-")</f>
        <v>-</v>
      </c>
      <c r="C305" s="145" t="str">
        <f>IFERROR(VLOOKUP($A305,'Base TOTAL'!A:AJ,33,0), "-")</f>
        <v>-</v>
      </c>
      <c r="D305" s="146" t="str">
        <f>IFERROR(VLOOKUP($A305,'Base TOTAL'!A:AJ,34,0), "-")</f>
        <v>-</v>
      </c>
      <c r="E305" s="147" t="str">
        <f>IFERROR(VLOOKUP($A305,'Base TOTAL'!A:AJ,35,0), "-")</f>
        <v>-</v>
      </c>
      <c r="F305" s="133"/>
    </row>
    <row r="306" ht="30.0" customHeight="1">
      <c r="A306" s="144"/>
      <c r="B306" s="145" t="str">
        <f>IFERROR(VLOOKUP($A306,'Base TOTAL'!A:AJ,2,0), "-")</f>
        <v>-</v>
      </c>
      <c r="C306" s="145" t="str">
        <f>IFERROR(VLOOKUP($A306,'Base TOTAL'!A:AJ,33,0), "-")</f>
        <v>-</v>
      </c>
      <c r="D306" s="146" t="str">
        <f>IFERROR(VLOOKUP($A306,'Base TOTAL'!A:AJ,34,0), "-")</f>
        <v>-</v>
      </c>
      <c r="E306" s="147" t="str">
        <f>IFERROR(VLOOKUP($A306,'Base TOTAL'!A:AJ,35,0), "-")</f>
        <v>-</v>
      </c>
      <c r="F306" s="133"/>
    </row>
    <row r="307" ht="30.0" customHeight="1">
      <c r="A307" s="144"/>
      <c r="B307" s="145" t="str">
        <f>IFERROR(VLOOKUP($A307,'Base TOTAL'!A:AJ,2,0), "-")</f>
        <v>-</v>
      </c>
      <c r="C307" s="145" t="str">
        <f>IFERROR(VLOOKUP($A307,'Base TOTAL'!A:AJ,33,0), "-")</f>
        <v>-</v>
      </c>
      <c r="D307" s="146" t="str">
        <f>IFERROR(VLOOKUP($A307,'Base TOTAL'!A:AJ,34,0), "-")</f>
        <v>-</v>
      </c>
      <c r="E307" s="147" t="str">
        <f>IFERROR(VLOOKUP($A307,'Base TOTAL'!A:AJ,35,0), "-")</f>
        <v>-</v>
      </c>
      <c r="F307" s="133"/>
    </row>
    <row r="308" ht="30.0" customHeight="1">
      <c r="A308" s="144"/>
      <c r="B308" s="145" t="str">
        <f>IFERROR(VLOOKUP($A308,'Base TOTAL'!A:AJ,2,0), "-")</f>
        <v>-</v>
      </c>
      <c r="C308" s="145" t="str">
        <f>IFERROR(VLOOKUP($A308,'Base TOTAL'!A:AJ,33,0), "-")</f>
        <v>-</v>
      </c>
      <c r="D308" s="146" t="str">
        <f>IFERROR(VLOOKUP($A308,'Base TOTAL'!A:AJ,34,0), "-")</f>
        <v>-</v>
      </c>
      <c r="E308" s="147" t="str">
        <f>IFERROR(VLOOKUP($A308,'Base TOTAL'!A:AJ,35,0), "-")</f>
        <v>-</v>
      </c>
      <c r="F308" s="133"/>
    </row>
    <row r="309" ht="30.0" customHeight="1">
      <c r="A309" s="144"/>
      <c r="B309" s="145" t="str">
        <f>IFERROR(VLOOKUP($A309,'Base TOTAL'!A:AJ,2,0), "-")</f>
        <v>-</v>
      </c>
      <c r="C309" s="145" t="str">
        <f>IFERROR(VLOOKUP($A309,'Base TOTAL'!A:AJ,33,0), "-")</f>
        <v>-</v>
      </c>
      <c r="D309" s="146" t="str">
        <f>IFERROR(VLOOKUP($A309,'Base TOTAL'!A:AJ,34,0), "-")</f>
        <v>-</v>
      </c>
      <c r="E309" s="147" t="str">
        <f>IFERROR(VLOOKUP($A309,'Base TOTAL'!A:AJ,35,0), "-")</f>
        <v>-</v>
      </c>
      <c r="F309" s="133"/>
    </row>
    <row r="310" ht="30.0" customHeight="1">
      <c r="A310" s="144"/>
      <c r="B310" s="145" t="str">
        <f>IFERROR(VLOOKUP($A310,'Base TOTAL'!A:AJ,2,0), "-")</f>
        <v>-</v>
      </c>
      <c r="C310" s="145" t="str">
        <f>IFERROR(VLOOKUP($A310,'Base TOTAL'!A:AJ,33,0), "-")</f>
        <v>-</v>
      </c>
      <c r="D310" s="146" t="str">
        <f>IFERROR(VLOOKUP($A310,'Base TOTAL'!A:AJ,34,0), "-")</f>
        <v>-</v>
      </c>
      <c r="E310" s="147" t="str">
        <f>IFERROR(VLOOKUP($A310,'Base TOTAL'!A:AJ,35,0), "-")</f>
        <v>-</v>
      </c>
      <c r="F310" s="133"/>
    </row>
    <row r="311" ht="30.0" customHeight="1">
      <c r="A311" s="144"/>
      <c r="B311" s="145" t="str">
        <f>IFERROR(VLOOKUP($A311,'Base TOTAL'!A:AJ,2,0), "-")</f>
        <v>-</v>
      </c>
      <c r="C311" s="145" t="str">
        <f>IFERROR(VLOOKUP($A311,'Base TOTAL'!A:AJ,33,0), "-")</f>
        <v>-</v>
      </c>
      <c r="D311" s="146" t="str">
        <f>IFERROR(VLOOKUP($A311,'Base TOTAL'!A:AJ,34,0), "-")</f>
        <v>-</v>
      </c>
      <c r="E311" s="147" t="str">
        <f>IFERROR(VLOOKUP($A311,'Base TOTAL'!A:AJ,35,0), "-")</f>
        <v>-</v>
      </c>
      <c r="F311" s="133"/>
    </row>
    <row r="312" ht="30.0" customHeight="1">
      <c r="A312" s="144"/>
      <c r="B312" s="145" t="str">
        <f>IFERROR(VLOOKUP($A312,'Base TOTAL'!A:AJ,2,0), "-")</f>
        <v>-</v>
      </c>
      <c r="C312" s="145" t="str">
        <f>IFERROR(VLOOKUP($A312,'Base TOTAL'!A:AJ,33,0), "-")</f>
        <v>-</v>
      </c>
      <c r="D312" s="146" t="str">
        <f>IFERROR(VLOOKUP($A312,'Base TOTAL'!A:AJ,34,0), "-")</f>
        <v>-</v>
      </c>
      <c r="E312" s="147" t="str">
        <f>IFERROR(VLOOKUP($A312,'Base TOTAL'!A:AJ,35,0), "-")</f>
        <v>-</v>
      </c>
      <c r="F312" s="133"/>
    </row>
    <row r="313" ht="30.0" customHeight="1">
      <c r="A313" s="144"/>
      <c r="B313" s="145" t="str">
        <f>IFERROR(VLOOKUP($A313,'Base TOTAL'!A:AJ,2,0), "-")</f>
        <v>-</v>
      </c>
      <c r="C313" s="145" t="str">
        <f>IFERROR(VLOOKUP($A313,'Base TOTAL'!A:AJ,33,0), "-")</f>
        <v>-</v>
      </c>
      <c r="D313" s="146" t="str">
        <f>IFERROR(VLOOKUP($A313,'Base TOTAL'!A:AJ,34,0), "-")</f>
        <v>-</v>
      </c>
      <c r="E313" s="147" t="str">
        <f>IFERROR(VLOOKUP($A313,'Base TOTAL'!A:AJ,35,0), "-")</f>
        <v>-</v>
      </c>
      <c r="F313" s="133"/>
    </row>
    <row r="314" ht="30.0" customHeight="1">
      <c r="A314" s="144"/>
      <c r="B314" s="145" t="str">
        <f>IFERROR(VLOOKUP($A314,'Base TOTAL'!A:AJ,2,0), "-")</f>
        <v>-</v>
      </c>
      <c r="C314" s="145" t="str">
        <f>IFERROR(VLOOKUP($A314,'Base TOTAL'!A:AJ,33,0), "-")</f>
        <v>-</v>
      </c>
      <c r="D314" s="146" t="str">
        <f>IFERROR(VLOOKUP($A314,'Base TOTAL'!A:AJ,34,0), "-")</f>
        <v>-</v>
      </c>
      <c r="E314" s="147" t="str">
        <f>IFERROR(VLOOKUP($A314,'Base TOTAL'!A:AJ,35,0), "-")</f>
        <v>-</v>
      </c>
      <c r="F314" s="133"/>
    </row>
    <row r="315" ht="30.0" customHeight="1">
      <c r="A315" s="144"/>
      <c r="B315" s="145" t="str">
        <f>IFERROR(VLOOKUP($A315,'Base TOTAL'!A:AJ,2,0), "-")</f>
        <v>-</v>
      </c>
      <c r="C315" s="145" t="str">
        <f>IFERROR(VLOOKUP($A315,'Base TOTAL'!A:AJ,33,0), "-")</f>
        <v>-</v>
      </c>
      <c r="D315" s="146" t="str">
        <f>IFERROR(VLOOKUP($A315,'Base TOTAL'!A:AJ,34,0), "-")</f>
        <v>-</v>
      </c>
      <c r="E315" s="147" t="str">
        <f>IFERROR(VLOOKUP($A315,'Base TOTAL'!A:AJ,35,0), "-")</f>
        <v>-</v>
      </c>
      <c r="F315" s="133"/>
    </row>
    <row r="316" ht="30.0" customHeight="1">
      <c r="A316" s="144"/>
      <c r="B316" s="145" t="str">
        <f>IFERROR(VLOOKUP($A316,'Base TOTAL'!A:AJ,2,0), "-")</f>
        <v>-</v>
      </c>
      <c r="C316" s="145" t="str">
        <f>IFERROR(VLOOKUP($A316,'Base TOTAL'!A:AJ,33,0), "-")</f>
        <v>-</v>
      </c>
      <c r="D316" s="146" t="str">
        <f>IFERROR(VLOOKUP($A316,'Base TOTAL'!A:AJ,34,0), "-")</f>
        <v>-</v>
      </c>
      <c r="E316" s="147" t="str">
        <f>IFERROR(VLOOKUP($A316,'Base TOTAL'!A:AJ,35,0), "-")</f>
        <v>-</v>
      </c>
      <c r="F316" s="133"/>
    </row>
    <row r="317" ht="30.0" customHeight="1">
      <c r="A317" s="144"/>
      <c r="B317" s="145" t="str">
        <f>IFERROR(VLOOKUP($A317,'Base TOTAL'!A:AJ,2,0), "-")</f>
        <v>-</v>
      </c>
      <c r="C317" s="145" t="str">
        <f>IFERROR(VLOOKUP($A317,'Base TOTAL'!A:AJ,33,0), "-")</f>
        <v>-</v>
      </c>
      <c r="D317" s="146" t="str">
        <f>IFERROR(VLOOKUP($A317,'Base TOTAL'!A:AJ,34,0), "-")</f>
        <v>-</v>
      </c>
      <c r="E317" s="147" t="str">
        <f>IFERROR(VLOOKUP($A317,'Base TOTAL'!A:AJ,35,0), "-")</f>
        <v>-</v>
      </c>
      <c r="F317" s="133"/>
    </row>
    <row r="318" ht="30.0" customHeight="1">
      <c r="A318" s="144"/>
      <c r="B318" s="145" t="str">
        <f>IFERROR(VLOOKUP($A318,'Base TOTAL'!A:AJ,2,0), "-")</f>
        <v>-</v>
      </c>
      <c r="C318" s="145" t="str">
        <f>IFERROR(VLOOKUP($A318,'Base TOTAL'!A:AJ,33,0), "-")</f>
        <v>-</v>
      </c>
      <c r="D318" s="146" t="str">
        <f>IFERROR(VLOOKUP($A318,'Base TOTAL'!A:AJ,34,0), "-")</f>
        <v>-</v>
      </c>
      <c r="E318" s="147" t="str">
        <f>IFERROR(VLOOKUP($A318,'Base TOTAL'!A:AJ,35,0), "-")</f>
        <v>-</v>
      </c>
      <c r="F318" s="133"/>
    </row>
    <row r="319" ht="30.0" customHeight="1">
      <c r="A319" s="144"/>
      <c r="B319" s="145" t="str">
        <f>IFERROR(VLOOKUP($A319,'Base TOTAL'!A:AJ,2,0), "-")</f>
        <v>-</v>
      </c>
      <c r="C319" s="145" t="str">
        <f>IFERROR(VLOOKUP($A319,'Base TOTAL'!A:AJ,33,0), "-")</f>
        <v>-</v>
      </c>
      <c r="D319" s="146" t="str">
        <f>IFERROR(VLOOKUP($A319,'Base TOTAL'!A:AJ,34,0), "-")</f>
        <v>-</v>
      </c>
      <c r="E319" s="147" t="str">
        <f>IFERROR(VLOOKUP($A319,'Base TOTAL'!A:AJ,35,0), "-")</f>
        <v>-</v>
      </c>
      <c r="F319" s="133"/>
    </row>
    <row r="320" ht="30.0" customHeight="1">
      <c r="A320" s="144"/>
      <c r="B320" s="145" t="str">
        <f>IFERROR(VLOOKUP($A320,'Base TOTAL'!A:AJ,2,0), "-")</f>
        <v>-</v>
      </c>
      <c r="C320" s="145" t="str">
        <f>IFERROR(VLOOKUP($A320,'Base TOTAL'!A:AJ,33,0), "-")</f>
        <v>-</v>
      </c>
      <c r="D320" s="146" t="str">
        <f>IFERROR(VLOOKUP($A320,'Base TOTAL'!A:AJ,34,0), "-")</f>
        <v>-</v>
      </c>
      <c r="E320" s="147" t="str">
        <f>IFERROR(VLOOKUP($A320,'Base TOTAL'!A:AJ,35,0), "-")</f>
        <v>-</v>
      </c>
      <c r="F320" s="133"/>
    </row>
    <row r="321" ht="30.0" customHeight="1">
      <c r="A321" s="144"/>
      <c r="B321" s="145" t="str">
        <f>IFERROR(VLOOKUP($A321,'Base TOTAL'!A:AJ,2,0), "-")</f>
        <v>-</v>
      </c>
      <c r="C321" s="145" t="str">
        <f>IFERROR(VLOOKUP($A321,'Base TOTAL'!A:AJ,33,0), "-")</f>
        <v>-</v>
      </c>
      <c r="D321" s="146" t="str">
        <f>IFERROR(VLOOKUP($A321,'Base TOTAL'!A:AJ,34,0), "-")</f>
        <v>-</v>
      </c>
      <c r="E321" s="147" t="str">
        <f>IFERROR(VLOOKUP($A321,'Base TOTAL'!A:AJ,35,0), "-")</f>
        <v>-</v>
      </c>
      <c r="F321" s="133"/>
    </row>
    <row r="322" ht="30.0" customHeight="1">
      <c r="A322" s="144"/>
      <c r="B322" s="145" t="str">
        <f>IFERROR(VLOOKUP($A322,'Base TOTAL'!A:AJ,2,0), "-")</f>
        <v>-</v>
      </c>
      <c r="C322" s="145" t="str">
        <f>IFERROR(VLOOKUP($A322,'Base TOTAL'!A:AJ,33,0), "-")</f>
        <v>-</v>
      </c>
      <c r="D322" s="146" t="str">
        <f>IFERROR(VLOOKUP($A322,'Base TOTAL'!A:AJ,34,0), "-")</f>
        <v>-</v>
      </c>
      <c r="E322" s="147" t="str">
        <f>IFERROR(VLOOKUP($A322,'Base TOTAL'!A:AJ,35,0), "-")</f>
        <v>-</v>
      </c>
      <c r="F322" s="133"/>
    </row>
    <row r="323" ht="30.0" customHeight="1">
      <c r="A323" s="144"/>
      <c r="B323" s="145" t="str">
        <f>IFERROR(VLOOKUP($A323,'Base TOTAL'!A:AJ,2,0), "-")</f>
        <v>-</v>
      </c>
      <c r="C323" s="145" t="str">
        <f>IFERROR(VLOOKUP($A323,'Base TOTAL'!A:AJ,33,0), "-")</f>
        <v>-</v>
      </c>
      <c r="D323" s="146" t="str">
        <f>IFERROR(VLOOKUP($A323,'Base TOTAL'!A:AJ,34,0), "-")</f>
        <v>-</v>
      </c>
      <c r="E323" s="147" t="str">
        <f>IFERROR(VLOOKUP($A323,'Base TOTAL'!A:AJ,35,0), "-")</f>
        <v>-</v>
      </c>
      <c r="F323" s="133"/>
    </row>
    <row r="324" ht="30.0" customHeight="1">
      <c r="A324" s="144"/>
      <c r="B324" s="145" t="str">
        <f>IFERROR(VLOOKUP($A324,'Base TOTAL'!A:AJ,2,0), "-")</f>
        <v>-</v>
      </c>
      <c r="C324" s="145" t="str">
        <f>IFERROR(VLOOKUP($A324,'Base TOTAL'!A:AJ,33,0), "-")</f>
        <v>-</v>
      </c>
      <c r="D324" s="146" t="str">
        <f>IFERROR(VLOOKUP($A324,'Base TOTAL'!A:AJ,34,0), "-")</f>
        <v>-</v>
      </c>
      <c r="E324" s="147" t="str">
        <f>IFERROR(VLOOKUP($A324,'Base TOTAL'!A:AJ,35,0), "-")</f>
        <v>-</v>
      </c>
      <c r="F324" s="133"/>
    </row>
    <row r="325" ht="30.0" customHeight="1">
      <c r="A325" s="144"/>
      <c r="B325" s="145" t="str">
        <f>IFERROR(VLOOKUP($A325,'Base TOTAL'!A:AJ,2,0), "-")</f>
        <v>-</v>
      </c>
      <c r="C325" s="145" t="str">
        <f>IFERROR(VLOOKUP($A325,'Base TOTAL'!A:AJ,33,0), "-")</f>
        <v>-</v>
      </c>
      <c r="D325" s="146" t="str">
        <f>IFERROR(VLOOKUP($A325,'Base TOTAL'!A:AJ,34,0), "-")</f>
        <v>-</v>
      </c>
      <c r="E325" s="147" t="str">
        <f>IFERROR(VLOOKUP($A325,'Base TOTAL'!A:AJ,35,0), "-")</f>
        <v>-</v>
      </c>
      <c r="F325" s="133"/>
    </row>
    <row r="326" ht="30.0" customHeight="1">
      <c r="A326" s="144"/>
      <c r="B326" s="145" t="str">
        <f>IFERROR(VLOOKUP($A326,'Base TOTAL'!A:AJ,2,0), "-")</f>
        <v>-</v>
      </c>
      <c r="C326" s="145" t="str">
        <f>IFERROR(VLOOKUP($A326,'Base TOTAL'!A:AJ,33,0), "-")</f>
        <v>-</v>
      </c>
      <c r="D326" s="146" t="str">
        <f>IFERROR(VLOOKUP($A326,'Base TOTAL'!A:AJ,34,0), "-")</f>
        <v>-</v>
      </c>
      <c r="E326" s="147" t="str">
        <f>IFERROR(VLOOKUP($A326,'Base TOTAL'!A:AJ,35,0), "-")</f>
        <v>-</v>
      </c>
      <c r="F326" s="133"/>
    </row>
    <row r="327" ht="30.0" customHeight="1">
      <c r="A327" s="144"/>
      <c r="B327" s="145" t="str">
        <f>IFERROR(VLOOKUP($A327,'Base TOTAL'!A:AJ,2,0), "-")</f>
        <v>-</v>
      </c>
      <c r="C327" s="145" t="str">
        <f>IFERROR(VLOOKUP($A327,'Base TOTAL'!A:AJ,33,0), "-")</f>
        <v>-</v>
      </c>
      <c r="D327" s="146" t="str">
        <f>IFERROR(VLOOKUP($A327,'Base TOTAL'!A:AJ,34,0), "-")</f>
        <v>-</v>
      </c>
      <c r="E327" s="147" t="str">
        <f>IFERROR(VLOOKUP($A327,'Base TOTAL'!A:AJ,35,0), "-")</f>
        <v>-</v>
      </c>
      <c r="F327" s="133"/>
    </row>
    <row r="328" ht="30.0" customHeight="1">
      <c r="A328" s="144"/>
      <c r="B328" s="145" t="str">
        <f>IFERROR(VLOOKUP($A328,'Base TOTAL'!A:AJ,2,0), "-")</f>
        <v>-</v>
      </c>
      <c r="C328" s="145" t="str">
        <f>IFERROR(VLOOKUP($A328,'Base TOTAL'!A:AJ,33,0), "-")</f>
        <v>-</v>
      </c>
      <c r="D328" s="146" t="str">
        <f>IFERROR(VLOOKUP($A328,'Base TOTAL'!A:AJ,34,0), "-")</f>
        <v>-</v>
      </c>
      <c r="E328" s="147" t="str">
        <f>IFERROR(VLOOKUP($A328,'Base TOTAL'!A:AJ,35,0), "-")</f>
        <v>-</v>
      </c>
      <c r="F328" s="133"/>
    </row>
    <row r="329" ht="30.0" customHeight="1">
      <c r="A329" s="144"/>
      <c r="B329" s="145" t="str">
        <f>IFERROR(VLOOKUP($A329,'Base TOTAL'!A:AJ,2,0), "-")</f>
        <v>-</v>
      </c>
      <c r="C329" s="145" t="str">
        <f>IFERROR(VLOOKUP($A329,'Base TOTAL'!A:AJ,33,0), "-")</f>
        <v>-</v>
      </c>
      <c r="D329" s="146" t="str">
        <f>IFERROR(VLOOKUP($A329,'Base TOTAL'!A:AJ,34,0), "-")</f>
        <v>-</v>
      </c>
      <c r="E329" s="147" t="str">
        <f>IFERROR(VLOOKUP($A329,'Base TOTAL'!A:AJ,35,0), "-")</f>
        <v>-</v>
      </c>
      <c r="F329" s="133"/>
    </row>
    <row r="330" ht="30.0" customHeight="1">
      <c r="A330" s="144"/>
      <c r="B330" s="145" t="str">
        <f>IFERROR(VLOOKUP($A330,'Base TOTAL'!A:AJ,2,0), "-")</f>
        <v>-</v>
      </c>
      <c r="C330" s="145" t="str">
        <f>IFERROR(VLOOKUP($A330,'Base TOTAL'!A:AJ,33,0), "-")</f>
        <v>-</v>
      </c>
      <c r="D330" s="146" t="str">
        <f>IFERROR(VLOOKUP($A330,'Base TOTAL'!A:AJ,34,0), "-")</f>
        <v>-</v>
      </c>
      <c r="E330" s="147" t="str">
        <f>IFERROR(VLOOKUP($A330,'Base TOTAL'!A:AJ,35,0), "-")</f>
        <v>-</v>
      </c>
      <c r="F330" s="133"/>
    </row>
    <row r="331" ht="30.0" customHeight="1">
      <c r="A331" s="144"/>
      <c r="B331" s="145" t="str">
        <f>IFERROR(VLOOKUP($A331,'Base TOTAL'!A:AJ,2,0), "-")</f>
        <v>-</v>
      </c>
      <c r="C331" s="145" t="str">
        <f>IFERROR(VLOOKUP($A331,'Base TOTAL'!A:AJ,33,0), "-")</f>
        <v>-</v>
      </c>
      <c r="D331" s="146" t="str">
        <f>IFERROR(VLOOKUP($A331,'Base TOTAL'!A:AJ,34,0), "-")</f>
        <v>-</v>
      </c>
      <c r="E331" s="147" t="str">
        <f>IFERROR(VLOOKUP($A331,'Base TOTAL'!A:AJ,35,0), "-")</f>
        <v>-</v>
      </c>
      <c r="F331" s="133"/>
    </row>
    <row r="332" ht="30.0" customHeight="1">
      <c r="A332" s="144"/>
      <c r="B332" s="145" t="str">
        <f>IFERROR(VLOOKUP($A332,'Base TOTAL'!A:AJ,2,0), "-")</f>
        <v>-</v>
      </c>
      <c r="C332" s="145" t="str">
        <f>IFERROR(VLOOKUP($A332,'Base TOTAL'!A:AJ,33,0), "-")</f>
        <v>-</v>
      </c>
      <c r="D332" s="146" t="str">
        <f>IFERROR(VLOOKUP($A332,'Base TOTAL'!A:AJ,34,0), "-")</f>
        <v>-</v>
      </c>
      <c r="E332" s="147" t="str">
        <f>IFERROR(VLOOKUP($A332,'Base TOTAL'!A:AJ,35,0), "-")</f>
        <v>-</v>
      </c>
      <c r="F332" s="133"/>
    </row>
    <row r="333" ht="30.0" customHeight="1">
      <c r="A333" s="144"/>
      <c r="B333" s="145" t="str">
        <f>IFERROR(VLOOKUP($A333,'Base TOTAL'!A:AJ,2,0), "-")</f>
        <v>-</v>
      </c>
      <c r="C333" s="145" t="str">
        <f>IFERROR(VLOOKUP($A333,'Base TOTAL'!A:AJ,33,0), "-")</f>
        <v>-</v>
      </c>
      <c r="D333" s="146" t="str">
        <f>IFERROR(VLOOKUP($A333,'Base TOTAL'!A:AJ,34,0), "-")</f>
        <v>-</v>
      </c>
      <c r="E333" s="147" t="str">
        <f>IFERROR(VLOOKUP($A333,'Base TOTAL'!A:AJ,35,0), "-")</f>
        <v>-</v>
      </c>
      <c r="F333" s="133"/>
    </row>
    <row r="334" ht="30.0" customHeight="1">
      <c r="A334" s="144"/>
      <c r="B334" s="145" t="str">
        <f>IFERROR(VLOOKUP($A334,'Base TOTAL'!A:AJ,2,0), "-")</f>
        <v>-</v>
      </c>
      <c r="C334" s="145" t="str">
        <f>IFERROR(VLOOKUP($A334,'Base TOTAL'!A:AJ,33,0), "-")</f>
        <v>-</v>
      </c>
      <c r="D334" s="146" t="str">
        <f>IFERROR(VLOOKUP($A334,'Base TOTAL'!A:AJ,34,0), "-")</f>
        <v>-</v>
      </c>
      <c r="E334" s="147" t="str">
        <f>IFERROR(VLOOKUP($A334,'Base TOTAL'!A:AJ,35,0), "-")</f>
        <v>-</v>
      </c>
      <c r="F334" s="133"/>
    </row>
    <row r="335" ht="30.0" customHeight="1">
      <c r="A335" s="144"/>
      <c r="B335" s="145" t="str">
        <f>IFERROR(VLOOKUP($A335,'Base TOTAL'!A:AJ,2,0), "-")</f>
        <v>-</v>
      </c>
      <c r="C335" s="145" t="str">
        <f>IFERROR(VLOOKUP($A335,'Base TOTAL'!A:AJ,33,0), "-")</f>
        <v>-</v>
      </c>
      <c r="D335" s="146" t="str">
        <f>IFERROR(VLOOKUP($A335,'Base TOTAL'!A:AJ,34,0), "-")</f>
        <v>-</v>
      </c>
      <c r="E335" s="147" t="str">
        <f>IFERROR(VLOOKUP($A335,'Base TOTAL'!A:AJ,35,0), "-")</f>
        <v>-</v>
      </c>
      <c r="F335" s="133"/>
    </row>
    <row r="336" ht="30.0" customHeight="1">
      <c r="A336" s="144"/>
      <c r="B336" s="145" t="str">
        <f>IFERROR(VLOOKUP($A336,'Base TOTAL'!A:AJ,2,0), "-")</f>
        <v>-</v>
      </c>
      <c r="C336" s="145" t="str">
        <f>IFERROR(VLOOKUP($A336,'Base TOTAL'!A:AJ,33,0), "-")</f>
        <v>-</v>
      </c>
      <c r="D336" s="146" t="str">
        <f>IFERROR(VLOOKUP($A336,'Base TOTAL'!A:AJ,34,0), "-")</f>
        <v>-</v>
      </c>
      <c r="E336" s="147" t="str">
        <f>IFERROR(VLOOKUP($A336,'Base TOTAL'!A:AJ,35,0), "-")</f>
        <v>-</v>
      </c>
      <c r="F336" s="133"/>
    </row>
    <row r="337" ht="30.0" customHeight="1">
      <c r="A337" s="144"/>
      <c r="B337" s="145" t="str">
        <f>IFERROR(VLOOKUP($A337,'Base TOTAL'!A:AJ,2,0), "-")</f>
        <v>-</v>
      </c>
      <c r="C337" s="145" t="str">
        <f>IFERROR(VLOOKUP($A337,'Base TOTAL'!A:AJ,33,0), "-")</f>
        <v>-</v>
      </c>
      <c r="D337" s="146" t="str">
        <f>IFERROR(VLOOKUP($A337,'Base TOTAL'!A:AJ,34,0), "-")</f>
        <v>-</v>
      </c>
      <c r="E337" s="147" t="str">
        <f>IFERROR(VLOOKUP($A337,'Base TOTAL'!A:AJ,35,0), "-")</f>
        <v>-</v>
      </c>
      <c r="F337" s="133"/>
    </row>
    <row r="338" ht="30.0" customHeight="1">
      <c r="A338" s="144"/>
      <c r="B338" s="145" t="str">
        <f>IFERROR(VLOOKUP($A338,'Base TOTAL'!A:AJ,2,0), "-")</f>
        <v>-</v>
      </c>
      <c r="C338" s="145" t="str">
        <f>IFERROR(VLOOKUP($A338,'Base TOTAL'!A:AJ,33,0), "-")</f>
        <v>-</v>
      </c>
      <c r="D338" s="146" t="str">
        <f>IFERROR(VLOOKUP($A338,'Base TOTAL'!A:AJ,34,0), "-")</f>
        <v>-</v>
      </c>
      <c r="E338" s="147" t="str">
        <f>IFERROR(VLOOKUP($A338,'Base TOTAL'!A:AJ,35,0), "-")</f>
        <v>-</v>
      </c>
      <c r="F338" s="133"/>
    </row>
    <row r="339" ht="30.0" customHeight="1">
      <c r="A339" s="144"/>
      <c r="B339" s="145" t="str">
        <f>IFERROR(VLOOKUP($A339,'Base TOTAL'!A:AJ,2,0), "-")</f>
        <v>-</v>
      </c>
      <c r="C339" s="145" t="str">
        <f>IFERROR(VLOOKUP($A339,'Base TOTAL'!A:AJ,33,0), "-")</f>
        <v>-</v>
      </c>
      <c r="D339" s="146" t="str">
        <f>IFERROR(VLOOKUP($A339,'Base TOTAL'!A:AJ,34,0), "-")</f>
        <v>-</v>
      </c>
      <c r="E339" s="147" t="str">
        <f>IFERROR(VLOOKUP($A339,'Base TOTAL'!A:AJ,35,0), "-")</f>
        <v>-</v>
      </c>
      <c r="F339" s="133"/>
    </row>
    <row r="340" ht="30.0" customHeight="1">
      <c r="A340" s="144"/>
      <c r="B340" s="145" t="str">
        <f>IFERROR(VLOOKUP($A340,'Base TOTAL'!A:AJ,2,0), "-")</f>
        <v>-</v>
      </c>
      <c r="C340" s="145" t="str">
        <f>IFERROR(VLOOKUP($A340,'Base TOTAL'!A:AJ,33,0), "-")</f>
        <v>-</v>
      </c>
      <c r="D340" s="146" t="str">
        <f>IFERROR(VLOOKUP($A340,'Base TOTAL'!A:AJ,34,0), "-")</f>
        <v>-</v>
      </c>
      <c r="E340" s="147" t="str">
        <f>IFERROR(VLOOKUP($A340,'Base TOTAL'!A:AJ,35,0), "-")</f>
        <v>-</v>
      </c>
      <c r="F340" s="133"/>
    </row>
    <row r="341" ht="30.0" customHeight="1">
      <c r="A341" s="144"/>
      <c r="B341" s="145" t="str">
        <f>IFERROR(VLOOKUP($A341,'Base TOTAL'!A:AJ,2,0), "-")</f>
        <v>-</v>
      </c>
      <c r="C341" s="145" t="str">
        <f>IFERROR(VLOOKUP($A341,'Base TOTAL'!A:AJ,33,0), "-")</f>
        <v>-</v>
      </c>
      <c r="D341" s="146" t="str">
        <f>IFERROR(VLOOKUP($A341,'Base TOTAL'!A:AJ,34,0), "-")</f>
        <v>-</v>
      </c>
      <c r="E341" s="147" t="str">
        <f>IFERROR(VLOOKUP($A341,'Base TOTAL'!A:AJ,35,0), "-")</f>
        <v>-</v>
      </c>
      <c r="F341" s="133"/>
    </row>
    <row r="342" ht="30.0" customHeight="1">
      <c r="A342" s="144"/>
      <c r="B342" s="145" t="str">
        <f>IFERROR(VLOOKUP($A342,'Base TOTAL'!A:AJ,2,0), "-")</f>
        <v>-</v>
      </c>
      <c r="C342" s="145" t="str">
        <f>IFERROR(VLOOKUP($A342,'Base TOTAL'!A:AJ,33,0), "-")</f>
        <v>-</v>
      </c>
      <c r="D342" s="146" t="str">
        <f>IFERROR(VLOOKUP($A342,'Base TOTAL'!A:AJ,34,0), "-")</f>
        <v>-</v>
      </c>
      <c r="E342" s="147" t="str">
        <f>IFERROR(VLOOKUP($A342,'Base TOTAL'!A:AJ,35,0), "-")</f>
        <v>-</v>
      </c>
      <c r="F342" s="133"/>
    </row>
    <row r="343" ht="30.0" customHeight="1">
      <c r="A343" s="144"/>
      <c r="B343" s="145" t="str">
        <f>IFERROR(VLOOKUP($A343,'Base TOTAL'!A:AJ,2,0), "-")</f>
        <v>-</v>
      </c>
      <c r="C343" s="145" t="str">
        <f>IFERROR(VLOOKUP($A343,'Base TOTAL'!A:AJ,33,0), "-")</f>
        <v>-</v>
      </c>
      <c r="D343" s="146" t="str">
        <f>IFERROR(VLOOKUP($A343,'Base TOTAL'!A:AJ,34,0), "-")</f>
        <v>-</v>
      </c>
      <c r="E343" s="147" t="str">
        <f>IFERROR(VLOOKUP($A343,'Base TOTAL'!A:AJ,35,0), "-")</f>
        <v>-</v>
      </c>
      <c r="F343" s="133"/>
    </row>
    <row r="344" ht="30.0" customHeight="1">
      <c r="A344" s="144"/>
      <c r="B344" s="145" t="str">
        <f>IFERROR(VLOOKUP($A344,'Base TOTAL'!A:AJ,2,0), "-")</f>
        <v>-</v>
      </c>
      <c r="C344" s="145" t="str">
        <f>IFERROR(VLOOKUP($A344,'Base TOTAL'!A:AJ,33,0), "-")</f>
        <v>-</v>
      </c>
      <c r="D344" s="146" t="str">
        <f>IFERROR(VLOOKUP($A344,'Base TOTAL'!A:AJ,34,0), "-")</f>
        <v>-</v>
      </c>
      <c r="E344" s="147" t="str">
        <f>IFERROR(VLOOKUP($A344,'Base TOTAL'!A:AJ,35,0), "-")</f>
        <v>-</v>
      </c>
      <c r="F344" s="133"/>
    </row>
    <row r="345" ht="30.0" customHeight="1">
      <c r="A345" s="144"/>
      <c r="B345" s="145" t="str">
        <f>IFERROR(VLOOKUP($A345,'Base TOTAL'!A:AJ,2,0), "-")</f>
        <v>-</v>
      </c>
      <c r="C345" s="145" t="str">
        <f>IFERROR(VLOOKUP($A345,'Base TOTAL'!A:AJ,33,0), "-")</f>
        <v>-</v>
      </c>
      <c r="D345" s="146" t="str">
        <f>IFERROR(VLOOKUP($A345,'Base TOTAL'!A:AJ,34,0), "-")</f>
        <v>-</v>
      </c>
      <c r="E345" s="147" t="str">
        <f>IFERROR(VLOOKUP($A345,'Base TOTAL'!A:AJ,35,0), "-")</f>
        <v>-</v>
      </c>
      <c r="F345" s="133"/>
    </row>
    <row r="346" ht="30.0" customHeight="1">
      <c r="A346" s="144"/>
      <c r="B346" s="145" t="str">
        <f>IFERROR(VLOOKUP($A346,'Base TOTAL'!A:AJ,2,0), "-")</f>
        <v>-</v>
      </c>
      <c r="C346" s="145" t="str">
        <f>IFERROR(VLOOKUP($A346,'Base TOTAL'!A:AJ,33,0), "-")</f>
        <v>-</v>
      </c>
      <c r="D346" s="146" t="str">
        <f>IFERROR(VLOOKUP($A346,'Base TOTAL'!A:AJ,34,0), "-")</f>
        <v>-</v>
      </c>
      <c r="E346" s="147" t="str">
        <f>IFERROR(VLOOKUP($A346,'Base TOTAL'!A:AJ,35,0), "-")</f>
        <v>-</v>
      </c>
      <c r="F346" s="133"/>
    </row>
    <row r="347" ht="30.0" customHeight="1">
      <c r="A347" s="144"/>
      <c r="B347" s="145" t="str">
        <f>IFERROR(VLOOKUP($A347,'Base TOTAL'!A:AJ,2,0), "-")</f>
        <v>-</v>
      </c>
      <c r="C347" s="145" t="str">
        <f>IFERROR(VLOOKUP($A347,'Base TOTAL'!A:AJ,33,0), "-")</f>
        <v>-</v>
      </c>
      <c r="D347" s="146" t="str">
        <f>IFERROR(VLOOKUP($A347,'Base TOTAL'!A:AJ,34,0), "-")</f>
        <v>-</v>
      </c>
      <c r="E347" s="147" t="str">
        <f>IFERROR(VLOOKUP($A347,'Base TOTAL'!A:AJ,35,0), "-")</f>
        <v>-</v>
      </c>
      <c r="F347" s="133"/>
    </row>
    <row r="348" ht="30.0" customHeight="1">
      <c r="A348" s="144"/>
      <c r="B348" s="145" t="str">
        <f>IFERROR(VLOOKUP($A348,'Base TOTAL'!A:AJ,2,0), "-")</f>
        <v>-</v>
      </c>
      <c r="C348" s="145" t="str">
        <f>IFERROR(VLOOKUP($A348,'Base TOTAL'!A:AJ,33,0), "-")</f>
        <v>-</v>
      </c>
      <c r="D348" s="146" t="str">
        <f>IFERROR(VLOOKUP($A348,'Base TOTAL'!A:AJ,34,0), "-")</f>
        <v>-</v>
      </c>
      <c r="E348" s="147" t="str">
        <f>IFERROR(VLOOKUP($A348,'Base TOTAL'!A:AJ,35,0), "-")</f>
        <v>-</v>
      </c>
      <c r="F348" s="133"/>
    </row>
    <row r="349" ht="30.0" customHeight="1">
      <c r="A349" s="144"/>
      <c r="B349" s="145" t="str">
        <f>IFERROR(VLOOKUP($A349,'Base TOTAL'!A:AJ,2,0), "-")</f>
        <v>-</v>
      </c>
      <c r="C349" s="145" t="str">
        <f>IFERROR(VLOOKUP($A349,'Base TOTAL'!A:AJ,33,0), "-")</f>
        <v>-</v>
      </c>
      <c r="D349" s="146" t="str">
        <f>IFERROR(VLOOKUP($A349,'Base TOTAL'!A:AJ,34,0), "-")</f>
        <v>-</v>
      </c>
      <c r="E349" s="147" t="str">
        <f>IFERROR(VLOOKUP($A349,'Base TOTAL'!A:AJ,35,0), "-")</f>
        <v>-</v>
      </c>
      <c r="F349" s="133"/>
    </row>
    <row r="350" ht="30.0" customHeight="1">
      <c r="A350" s="144"/>
      <c r="B350" s="145" t="str">
        <f>IFERROR(VLOOKUP($A350,'Base TOTAL'!A:AJ,2,0), "-")</f>
        <v>-</v>
      </c>
      <c r="C350" s="145" t="str">
        <f>IFERROR(VLOOKUP($A350,'Base TOTAL'!A:AJ,33,0), "-")</f>
        <v>-</v>
      </c>
      <c r="D350" s="146" t="str">
        <f>IFERROR(VLOOKUP($A350,'Base TOTAL'!A:AJ,34,0), "-")</f>
        <v>-</v>
      </c>
      <c r="E350" s="147" t="str">
        <f>IFERROR(VLOOKUP($A350,'Base TOTAL'!A:AJ,35,0), "-")</f>
        <v>-</v>
      </c>
      <c r="F350" s="133"/>
    </row>
    <row r="351" ht="30.0" customHeight="1">
      <c r="A351" s="144"/>
      <c r="B351" s="145" t="str">
        <f>IFERROR(VLOOKUP($A351,'Base TOTAL'!A:AJ,2,0), "-")</f>
        <v>-</v>
      </c>
      <c r="C351" s="145" t="str">
        <f>IFERROR(VLOOKUP($A351,'Base TOTAL'!A:AJ,33,0), "-")</f>
        <v>-</v>
      </c>
      <c r="D351" s="146" t="str">
        <f>IFERROR(VLOOKUP($A351,'Base TOTAL'!A:AJ,34,0), "-")</f>
        <v>-</v>
      </c>
      <c r="E351" s="147" t="str">
        <f>IFERROR(VLOOKUP($A351,'Base TOTAL'!A:AJ,35,0), "-")</f>
        <v>-</v>
      </c>
      <c r="F351" s="133"/>
    </row>
    <row r="352" ht="30.0" customHeight="1">
      <c r="A352" s="144"/>
      <c r="B352" s="145" t="str">
        <f>IFERROR(VLOOKUP($A352,'Base TOTAL'!A:AJ,2,0), "-")</f>
        <v>-</v>
      </c>
      <c r="C352" s="145" t="str">
        <f>IFERROR(VLOOKUP($A352,'Base TOTAL'!A:AJ,33,0), "-")</f>
        <v>-</v>
      </c>
      <c r="D352" s="146" t="str">
        <f>IFERROR(VLOOKUP($A352,'Base TOTAL'!A:AJ,34,0), "-")</f>
        <v>-</v>
      </c>
      <c r="E352" s="147" t="str">
        <f>IFERROR(VLOOKUP($A352,'Base TOTAL'!A:AJ,35,0), "-")</f>
        <v>-</v>
      </c>
      <c r="F352" s="133"/>
    </row>
    <row r="353" ht="30.0" customHeight="1">
      <c r="A353" s="144"/>
      <c r="B353" s="145" t="str">
        <f>IFERROR(VLOOKUP($A353,'Base TOTAL'!A:AJ,2,0), "-")</f>
        <v>-</v>
      </c>
      <c r="C353" s="145" t="str">
        <f>IFERROR(VLOOKUP($A353,'Base TOTAL'!A:AJ,33,0), "-")</f>
        <v>-</v>
      </c>
      <c r="D353" s="146" t="str">
        <f>IFERROR(VLOOKUP($A353,'Base TOTAL'!A:AJ,34,0), "-")</f>
        <v>-</v>
      </c>
      <c r="E353" s="147" t="str">
        <f>IFERROR(VLOOKUP($A353,'Base TOTAL'!A:AJ,35,0), "-")</f>
        <v>-</v>
      </c>
      <c r="F353" s="133"/>
    </row>
    <row r="354" ht="30.0" customHeight="1">
      <c r="A354" s="144"/>
      <c r="B354" s="145" t="str">
        <f>IFERROR(VLOOKUP($A354,'Base TOTAL'!A:AJ,2,0), "-")</f>
        <v>-</v>
      </c>
      <c r="C354" s="145" t="str">
        <f>IFERROR(VLOOKUP($A354,'Base TOTAL'!A:AJ,33,0), "-")</f>
        <v>-</v>
      </c>
      <c r="D354" s="146" t="str">
        <f>IFERROR(VLOOKUP($A354,'Base TOTAL'!A:AJ,34,0), "-")</f>
        <v>-</v>
      </c>
      <c r="E354" s="147" t="str">
        <f>IFERROR(VLOOKUP($A354,'Base TOTAL'!A:AJ,35,0), "-")</f>
        <v>-</v>
      </c>
      <c r="F354" s="133"/>
    </row>
    <row r="355" ht="30.0" customHeight="1">
      <c r="A355" s="144"/>
      <c r="B355" s="145" t="str">
        <f>IFERROR(VLOOKUP($A355,'Base TOTAL'!A:AJ,2,0), "-")</f>
        <v>-</v>
      </c>
      <c r="C355" s="145" t="str">
        <f>IFERROR(VLOOKUP($A355,'Base TOTAL'!A:AJ,33,0), "-")</f>
        <v>-</v>
      </c>
      <c r="D355" s="146" t="str">
        <f>IFERROR(VLOOKUP($A355,'Base TOTAL'!A:AJ,34,0), "-")</f>
        <v>-</v>
      </c>
      <c r="E355" s="147" t="str">
        <f>IFERROR(VLOOKUP($A355,'Base TOTAL'!A:AJ,35,0), "-")</f>
        <v>-</v>
      </c>
      <c r="F355" s="133"/>
    </row>
    <row r="356" ht="30.0" customHeight="1">
      <c r="A356" s="144"/>
      <c r="B356" s="145" t="str">
        <f>IFERROR(VLOOKUP($A356,'Base TOTAL'!A:AJ,2,0), "-")</f>
        <v>-</v>
      </c>
      <c r="C356" s="145" t="str">
        <f>IFERROR(VLOOKUP($A356,'Base TOTAL'!A:AJ,33,0), "-")</f>
        <v>-</v>
      </c>
      <c r="D356" s="146" t="str">
        <f>IFERROR(VLOOKUP($A356,'Base TOTAL'!A:AJ,34,0), "-")</f>
        <v>-</v>
      </c>
      <c r="E356" s="147" t="str">
        <f>IFERROR(VLOOKUP($A356,'Base TOTAL'!A:AJ,35,0), "-")</f>
        <v>-</v>
      </c>
      <c r="F356" s="133"/>
    </row>
    <row r="357" ht="30.0" customHeight="1">
      <c r="A357" s="144"/>
      <c r="B357" s="145" t="str">
        <f>IFERROR(VLOOKUP($A357,'Base TOTAL'!A:AJ,2,0), "-")</f>
        <v>-</v>
      </c>
      <c r="C357" s="145" t="str">
        <f>IFERROR(VLOOKUP($A357,'Base TOTAL'!A:AJ,33,0), "-")</f>
        <v>-</v>
      </c>
      <c r="D357" s="146" t="str">
        <f>IFERROR(VLOOKUP($A357,'Base TOTAL'!A:AJ,34,0), "-")</f>
        <v>-</v>
      </c>
      <c r="E357" s="147" t="str">
        <f>IFERROR(VLOOKUP($A357,'Base TOTAL'!A:AJ,35,0), "-")</f>
        <v>-</v>
      </c>
      <c r="F357" s="133"/>
    </row>
    <row r="358" ht="30.0" customHeight="1">
      <c r="A358" s="144"/>
      <c r="B358" s="145" t="str">
        <f>IFERROR(VLOOKUP($A358,'Base TOTAL'!A:AJ,2,0), "-")</f>
        <v>-</v>
      </c>
      <c r="C358" s="145" t="str">
        <f>IFERROR(VLOOKUP($A358,'Base TOTAL'!A:AJ,33,0), "-")</f>
        <v>-</v>
      </c>
      <c r="D358" s="146" t="str">
        <f>IFERROR(VLOOKUP($A358,'Base TOTAL'!A:AJ,34,0), "-")</f>
        <v>-</v>
      </c>
      <c r="E358" s="147" t="str">
        <f>IFERROR(VLOOKUP($A358,'Base TOTAL'!A:AJ,35,0), "-")</f>
        <v>-</v>
      </c>
      <c r="F358" s="133"/>
    </row>
    <row r="359" ht="30.0" customHeight="1">
      <c r="A359" s="144"/>
      <c r="B359" s="145" t="str">
        <f>IFERROR(VLOOKUP($A359,'Base TOTAL'!A:AJ,2,0), "-")</f>
        <v>-</v>
      </c>
      <c r="C359" s="145" t="str">
        <f>IFERROR(VLOOKUP($A359,'Base TOTAL'!A:AJ,33,0), "-")</f>
        <v>-</v>
      </c>
      <c r="D359" s="146" t="str">
        <f>IFERROR(VLOOKUP($A359,'Base TOTAL'!A:AJ,34,0), "-")</f>
        <v>-</v>
      </c>
      <c r="E359" s="147" t="str">
        <f>IFERROR(VLOOKUP($A359,'Base TOTAL'!A:AJ,35,0), "-")</f>
        <v>-</v>
      </c>
      <c r="F359" s="133"/>
    </row>
    <row r="360" ht="30.0" customHeight="1">
      <c r="A360" s="144"/>
      <c r="B360" s="145" t="str">
        <f>IFERROR(VLOOKUP($A360,'Base TOTAL'!A:AJ,2,0), "-")</f>
        <v>-</v>
      </c>
      <c r="C360" s="145" t="str">
        <f>IFERROR(VLOOKUP($A360,'Base TOTAL'!A:AJ,33,0), "-")</f>
        <v>-</v>
      </c>
      <c r="D360" s="146" t="str">
        <f>IFERROR(VLOOKUP($A360,'Base TOTAL'!A:AJ,34,0), "-")</f>
        <v>-</v>
      </c>
      <c r="E360" s="147" t="str">
        <f>IFERROR(VLOOKUP($A360,'Base TOTAL'!A:AJ,35,0), "-")</f>
        <v>-</v>
      </c>
      <c r="F360" s="133"/>
    </row>
    <row r="361" ht="30.0" customHeight="1">
      <c r="A361" s="144"/>
      <c r="B361" s="145" t="str">
        <f>IFERROR(VLOOKUP($A361,'Base TOTAL'!A:AJ,2,0), "-")</f>
        <v>-</v>
      </c>
      <c r="C361" s="145" t="str">
        <f>IFERROR(VLOOKUP($A361,'Base TOTAL'!A:AJ,33,0), "-")</f>
        <v>-</v>
      </c>
      <c r="D361" s="146" t="str">
        <f>IFERROR(VLOOKUP($A361,'Base TOTAL'!A:AJ,34,0), "-")</f>
        <v>-</v>
      </c>
      <c r="E361" s="147" t="str">
        <f>IFERROR(VLOOKUP($A361,'Base TOTAL'!A:AJ,35,0), "-")</f>
        <v>-</v>
      </c>
      <c r="F361" s="133"/>
    </row>
    <row r="362" ht="30.0" customHeight="1">
      <c r="A362" s="144"/>
      <c r="B362" s="145" t="str">
        <f>IFERROR(VLOOKUP($A362,'Base TOTAL'!A:AJ,2,0), "-")</f>
        <v>-</v>
      </c>
      <c r="C362" s="145" t="str">
        <f>IFERROR(VLOOKUP($A362,'Base TOTAL'!A:AJ,33,0), "-")</f>
        <v>-</v>
      </c>
      <c r="D362" s="146" t="str">
        <f>IFERROR(VLOOKUP($A362,'Base TOTAL'!A:AJ,34,0), "-")</f>
        <v>-</v>
      </c>
      <c r="E362" s="147" t="str">
        <f>IFERROR(VLOOKUP($A362,'Base TOTAL'!A:AJ,35,0), "-")</f>
        <v>-</v>
      </c>
      <c r="F362" s="133"/>
    </row>
    <row r="363" ht="30.0" customHeight="1">
      <c r="A363" s="144"/>
      <c r="B363" s="145" t="str">
        <f>IFERROR(VLOOKUP($A363,'Base TOTAL'!A:AJ,2,0), "-")</f>
        <v>-</v>
      </c>
      <c r="C363" s="145" t="str">
        <f>IFERROR(VLOOKUP($A363,'Base TOTAL'!A:AJ,33,0), "-")</f>
        <v>-</v>
      </c>
      <c r="D363" s="146" t="str">
        <f>IFERROR(VLOOKUP($A363,'Base TOTAL'!A:AJ,34,0), "-")</f>
        <v>-</v>
      </c>
      <c r="E363" s="147" t="str">
        <f>IFERROR(VLOOKUP($A363,'Base TOTAL'!A:AJ,35,0), "-")</f>
        <v>-</v>
      </c>
      <c r="F363" s="133"/>
    </row>
    <row r="364" ht="30.0" customHeight="1">
      <c r="A364" s="144"/>
      <c r="B364" s="145" t="str">
        <f>IFERROR(VLOOKUP($A364,'Base TOTAL'!A:AJ,2,0), "-")</f>
        <v>-</v>
      </c>
      <c r="C364" s="145" t="str">
        <f>IFERROR(VLOOKUP($A364,'Base TOTAL'!A:AJ,33,0), "-")</f>
        <v>-</v>
      </c>
      <c r="D364" s="146" t="str">
        <f>IFERROR(VLOOKUP($A364,'Base TOTAL'!A:AJ,34,0), "-")</f>
        <v>-</v>
      </c>
      <c r="E364" s="147" t="str">
        <f>IFERROR(VLOOKUP($A364,'Base TOTAL'!A:AJ,35,0), "-")</f>
        <v>-</v>
      </c>
      <c r="F364" s="133"/>
    </row>
    <row r="365" ht="30.0" customHeight="1">
      <c r="A365" s="144"/>
      <c r="B365" s="145" t="str">
        <f>IFERROR(VLOOKUP($A365,'Base TOTAL'!A:AJ,2,0), "-")</f>
        <v>-</v>
      </c>
      <c r="C365" s="145" t="str">
        <f>IFERROR(VLOOKUP($A365,'Base TOTAL'!A:AJ,33,0), "-")</f>
        <v>-</v>
      </c>
      <c r="D365" s="146" t="str">
        <f>IFERROR(VLOOKUP($A365,'Base TOTAL'!A:AJ,34,0), "-")</f>
        <v>-</v>
      </c>
      <c r="E365" s="147" t="str">
        <f>IFERROR(VLOOKUP($A365,'Base TOTAL'!A:AJ,35,0), "-")</f>
        <v>-</v>
      </c>
      <c r="F365" s="133"/>
    </row>
    <row r="366" ht="30.0" customHeight="1">
      <c r="A366" s="144"/>
      <c r="B366" s="145" t="str">
        <f>IFERROR(VLOOKUP($A366,'Base TOTAL'!A:AJ,2,0), "-")</f>
        <v>-</v>
      </c>
      <c r="C366" s="145" t="str">
        <f>IFERROR(VLOOKUP($A366,'Base TOTAL'!A:AJ,33,0), "-")</f>
        <v>-</v>
      </c>
      <c r="D366" s="146" t="str">
        <f>IFERROR(VLOOKUP($A366,'Base TOTAL'!A:AJ,34,0), "-")</f>
        <v>-</v>
      </c>
      <c r="E366" s="147" t="str">
        <f>IFERROR(VLOOKUP($A366,'Base TOTAL'!A:AJ,35,0), "-")</f>
        <v>-</v>
      </c>
      <c r="F366" s="133"/>
    </row>
    <row r="367" ht="30.0" customHeight="1">
      <c r="A367" s="144"/>
      <c r="B367" s="145" t="str">
        <f>IFERROR(VLOOKUP($A367,'Base TOTAL'!A:AJ,2,0), "-")</f>
        <v>-</v>
      </c>
      <c r="C367" s="145" t="str">
        <f>IFERROR(VLOOKUP($A367,'Base TOTAL'!A:AJ,33,0), "-")</f>
        <v>-</v>
      </c>
      <c r="D367" s="146" t="str">
        <f>IFERROR(VLOOKUP($A367,'Base TOTAL'!A:AJ,34,0), "-")</f>
        <v>-</v>
      </c>
      <c r="E367" s="147" t="str">
        <f>IFERROR(VLOOKUP($A367,'Base TOTAL'!A:AJ,35,0), "-")</f>
        <v>-</v>
      </c>
      <c r="F367" s="133"/>
    </row>
    <row r="368" ht="30.0" customHeight="1">
      <c r="A368" s="144"/>
      <c r="B368" s="145" t="str">
        <f>IFERROR(VLOOKUP($A368,'Base TOTAL'!A:AJ,2,0), "-")</f>
        <v>-</v>
      </c>
      <c r="C368" s="145" t="str">
        <f>IFERROR(VLOOKUP($A368,'Base TOTAL'!A:AJ,33,0), "-")</f>
        <v>-</v>
      </c>
      <c r="D368" s="146" t="str">
        <f>IFERROR(VLOOKUP($A368,'Base TOTAL'!A:AJ,34,0), "-")</f>
        <v>-</v>
      </c>
      <c r="E368" s="147" t="str">
        <f>IFERROR(VLOOKUP($A368,'Base TOTAL'!A:AJ,35,0), "-")</f>
        <v>-</v>
      </c>
      <c r="F368" s="133"/>
    </row>
    <row r="369" ht="30.0" customHeight="1">
      <c r="A369" s="144"/>
      <c r="B369" s="145" t="str">
        <f>IFERROR(VLOOKUP($A369,'Base TOTAL'!A:AJ,2,0), "-")</f>
        <v>-</v>
      </c>
      <c r="C369" s="145" t="str">
        <f>IFERROR(VLOOKUP($A369,'Base TOTAL'!A:AJ,33,0), "-")</f>
        <v>-</v>
      </c>
      <c r="D369" s="146" t="str">
        <f>IFERROR(VLOOKUP($A369,'Base TOTAL'!A:AJ,34,0), "-")</f>
        <v>-</v>
      </c>
      <c r="E369" s="147" t="str">
        <f>IFERROR(VLOOKUP($A369,'Base TOTAL'!A:AJ,35,0), "-")</f>
        <v>-</v>
      </c>
      <c r="F369" s="133"/>
    </row>
    <row r="370" ht="30.0" customHeight="1">
      <c r="A370" s="144"/>
      <c r="B370" s="145" t="str">
        <f>IFERROR(VLOOKUP($A370,'Base TOTAL'!A:AJ,2,0), "-")</f>
        <v>-</v>
      </c>
      <c r="C370" s="145" t="str">
        <f>IFERROR(VLOOKUP($A370,'Base TOTAL'!A:AJ,33,0), "-")</f>
        <v>-</v>
      </c>
      <c r="D370" s="146" t="str">
        <f>IFERROR(VLOOKUP($A370,'Base TOTAL'!A:AJ,34,0), "-")</f>
        <v>-</v>
      </c>
      <c r="E370" s="147" t="str">
        <f>IFERROR(VLOOKUP($A370,'Base TOTAL'!A:AJ,35,0), "-")</f>
        <v>-</v>
      </c>
      <c r="F370" s="133"/>
    </row>
    <row r="371" ht="30.0" customHeight="1">
      <c r="A371" s="144"/>
      <c r="B371" s="145" t="str">
        <f>IFERROR(VLOOKUP($A371,'Base TOTAL'!A:AJ,2,0), "-")</f>
        <v>-</v>
      </c>
      <c r="C371" s="145" t="str">
        <f>IFERROR(VLOOKUP($A371,'Base TOTAL'!A:AJ,33,0), "-")</f>
        <v>-</v>
      </c>
      <c r="D371" s="146" t="str">
        <f>IFERROR(VLOOKUP($A371,'Base TOTAL'!A:AJ,34,0), "-")</f>
        <v>-</v>
      </c>
      <c r="E371" s="147" t="str">
        <f>IFERROR(VLOOKUP($A371,'Base TOTAL'!A:AJ,35,0), "-")</f>
        <v>-</v>
      </c>
      <c r="F371" s="133"/>
    </row>
    <row r="372" ht="30.0" customHeight="1">
      <c r="A372" s="144"/>
      <c r="B372" s="145" t="str">
        <f>IFERROR(VLOOKUP($A372,'Base TOTAL'!A:AJ,2,0), "-")</f>
        <v>-</v>
      </c>
      <c r="C372" s="145" t="str">
        <f>IFERROR(VLOOKUP($A372,'Base TOTAL'!A:AJ,33,0), "-")</f>
        <v>-</v>
      </c>
      <c r="D372" s="146" t="str">
        <f>IFERROR(VLOOKUP($A372,'Base TOTAL'!A:AJ,34,0), "-")</f>
        <v>-</v>
      </c>
      <c r="E372" s="147" t="str">
        <f>IFERROR(VLOOKUP($A372,'Base TOTAL'!A:AJ,35,0), "-")</f>
        <v>-</v>
      </c>
      <c r="F372" s="133"/>
    </row>
    <row r="373" ht="30.0" customHeight="1">
      <c r="A373" s="144"/>
      <c r="B373" s="145" t="str">
        <f>IFERROR(VLOOKUP($A373,'Base TOTAL'!A:AJ,2,0), "-")</f>
        <v>-</v>
      </c>
      <c r="C373" s="145" t="str">
        <f>IFERROR(VLOOKUP($A373,'Base TOTAL'!A:AJ,33,0), "-")</f>
        <v>-</v>
      </c>
      <c r="D373" s="146" t="str">
        <f>IFERROR(VLOOKUP($A373,'Base TOTAL'!A:AJ,34,0), "-")</f>
        <v>-</v>
      </c>
      <c r="E373" s="147" t="str">
        <f>IFERROR(VLOOKUP($A373,'Base TOTAL'!A:AJ,35,0), "-")</f>
        <v>-</v>
      </c>
      <c r="F373" s="133"/>
    </row>
    <row r="374" ht="30.0" customHeight="1">
      <c r="A374" s="144"/>
      <c r="B374" s="145" t="str">
        <f>IFERROR(VLOOKUP($A374,'Base TOTAL'!A:AJ,2,0), "-")</f>
        <v>-</v>
      </c>
      <c r="C374" s="145" t="str">
        <f>IFERROR(VLOOKUP($A374,'Base TOTAL'!A:AJ,33,0), "-")</f>
        <v>-</v>
      </c>
      <c r="D374" s="146" t="str">
        <f>IFERROR(VLOOKUP($A374,'Base TOTAL'!A:AJ,34,0), "-")</f>
        <v>-</v>
      </c>
      <c r="E374" s="147" t="str">
        <f>IFERROR(VLOOKUP($A374,'Base TOTAL'!A:AJ,35,0), "-")</f>
        <v>-</v>
      </c>
      <c r="F374" s="133"/>
    </row>
    <row r="375" ht="30.0" customHeight="1">
      <c r="A375" s="144"/>
      <c r="B375" s="145" t="str">
        <f>IFERROR(VLOOKUP($A375,'Base TOTAL'!A:AJ,2,0), "-")</f>
        <v>-</v>
      </c>
      <c r="C375" s="145" t="str">
        <f>IFERROR(VLOOKUP($A375,'Base TOTAL'!A:AJ,33,0), "-")</f>
        <v>-</v>
      </c>
      <c r="D375" s="146" t="str">
        <f>IFERROR(VLOOKUP($A375,'Base TOTAL'!A:AJ,34,0), "-")</f>
        <v>-</v>
      </c>
      <c r="E375" s="147" t="str">
        <f>IFERROR(VLOOKUP($A375,'Base TOTAL'!A:AJ,35,0), "-")</f>
        <v>-</v>
      </c>
      <c r="F375" s="133"/>
    </row>
    <row r="376" ht="30.0" customHeight="1">
      <c r="A376" s="144"/>
      <c r="B376" s="145" t="str">
        <f>IFERROR(VLOOKUP($A376,'Base TOTAL'!A:AJ,2,0), "-")</f>
        <v>-</v>
      </c>
      <c r="C376" s="145" t="str">
        <f>IFERROR(VLOOKUP($A376,'Base TOTAL'!A:AJ,33,0), "-")</f>
        <v>-</v>
      </c>
      <c r="D376" s="146" t="str">
        <f>IFERROR(VLOOKUP($A376,'Base TOTAL'!A:AJ,34,0), "-")</f>
        <v>-</v>
      </c>
      <c r="E376" s="147" t="str">
        <f>IFERROR(VLOOKUP($A376,'Base TOTAL'!A:AJ,35,0), "-")</f>
        <v>-</v>
      </c>
      <c r="F376" s="133"/>
    </row>
    <row r="377" ht="30.0" customHeight="1">
      <c r="A377" s="144"/>
      <c r="B377" s="145" t="str">
        <f>IFERROR(VLOOKUP($A377,'Base TOTAL'!A:AJ,2,0), "-")</f>
        <v>-</v>
      </c>
      <c r="C377" s="145" t="str">
        <f>IFERROR(VLOOKUP($A377,'Base TOTAL'!A:AJ,33,0), "-")</f>
        <v>-</v>
      </c>
      <c r="D377" s="146" t="str">
        <f>IFERROR(VLOOKUP($A377,'Base TOTAL'!A:AJ,34,0), "-")</f>
        <v>-</v>
      </c>
      <c r="E377" s="147" t="str">
        <f>IFERROR(VLOOKUP($A377,'Base TOTAL'!A:AJ,35,0), "-")</f>
        <v>-</v>
      </c>
      <c r="F377" s="133"/>
    </row>
    <row r="378" ht="30.0" customHeight="1">
      <c r="A378" s="144"/>
      <c r="B378" s="145" t="str">
        <f>IFERROR(VLOOKUP($A378,'Base TOTAL'!A:AJ,2,0), "-")</f>
        <v>-</v>
      </c>
      <c r="C378" s="145" t="str">
        <f>IFERROR(VLOOKUP($A378,'Base TOTAL'!A:AJ,33,0), "-")</f>
        <v>-</v>
      </c>
      <c r="D378" s="146" t="str">
        <f>IFERROR(VLOOKUP($A378,'Base TOTAL'!A:AJ,34,0), "-")</f>
        <v>-</v>
      </c>
      <c r="E378" s="147" t="str">
        <f>IFERROR(VLOOKUP($A378,'Base TOTAL'!A:AJ,35,0), "-")</f>
        <v>-</v>
      </c>
      <c r="F378" s="133"/>
    </row>
    <row r="379" ht="30.0" customHeight="1">
      <c r="A379" s="144"/>
      <c r="B379" s="145" t="str">
        <f>IFERROR(VLOOKUP($A379,'Base TOTAL'!A:AJ,2,0), "-")</f>
        <v>-</v>
      </c>
      <c r="C379" s="145" t="str">
        <f>IFERROR(VLOOKUP($A379,'Base TOTAL'!A:AJ,33,0), "-")</f>
        <v>-</v>
      </c>
      <c r="D379" s="146" t="str">
        <f>IFERROR(VLOOKUP($A379,'Base TOTAL'!A:AJ,34,0), "-")</f>
        <v>-</v>
      </c>
      <c r="E379" s="147" t="str">
        <f>IFERROR(VLOOKUP($A379,'Base TOTAL'!A:AJ,35,0), "-")</f>
        <v>-</v>
      </c>
      <c r="F379" s="133"/>
    </row>
    <row r="380" ht="30.0" customHeight="1">
      <c r="A380" s="144"/>
      <c r="B380" s="145" t="str">
        <f>IFERROR(VLOOKUP($A380,'Base TOTAL'!A:AJ,2,0), "-")</f>
        <v>-</v>
      </c>
      <c r="C380" s="145" t="str">
        <f>IFERROR(VLOOKUP($A380,'Base TOTAL'!A:AJ,33,0), "-")</f>
        <v>-</v>
      </c>
      <c r="D380" s="146" t="str">
        <f>IFERROR(VLOOKUP($A380,'Base TOTAL'!A:AJ,34,0), "-")</f>
        <v>-</v>
      </c>
      <c r="E380" s="147" t="str">
        <f>IFERROR(VLOOKUP($A380,'Base TOTAL'!A:AJ,35,0), "-")</f>
        <v>-</v>
      </c>
      <c r="F380" s="133"/>
    </row>
    <row r="381" ht="30.0" customHeight="1">
      <c r="A381" s="144"/>
      <c r="B381" s="145" t="str">
        <f>IFERROR(VLOOKUP($A381,'Base TOTAL'!A:AJ,2,0), "-")</f>
        <v>-</v>
      </c>
      <c r="C381" s="145" t="str">
        <f>IFERROR(VLOOKUP($A381,'Base TOTAL'!A:AJ,33,0), "-")</f>
        <v>-</v>
      </c>
      <c r="D381" s="146" t="str">
        <f>IFERROR(VLOOKUP($A381,'Base TOTAL'!A:AJ,34,0), "-")</f>
        <v>-</v>
      </c>
      <c r="E381" s="147" t="str">
        <f>IFERROR(VLOOKUP($A381,'Base TOTAL'!A:AJ,35,0), "-")</f>
        <v>-</v>
      </c>
      <c r="F381" s="133"/>
    </row>
    <row r="382" ht="30.0" customHeight="1">
      <c r="A382" s="144"/>
      <c r="B382" s="145" t="str">
        <f>IFERROR(VLOOKUP($A382,'Base TOTAL'!A:AJ,2,0), "-")</f>
        <v>-</v>
      </c>
      <c r="C382" s="145" t="str">
        <f>IFERROR(VLOOKUP($A382,'Base TOTAL'!A:AJ,33,0), "-")</f>
        <v>-</v>
      </c>
      <c r="D382" s="146" t="str">
        <f>IFERROR(VLOOKUP($A382,'Base TOTAL'!A:AJ,34,0), "-")</f>
        <v>-</v>
      </c>
      <c r="E382" s="147" t="str">
        <f>IFERROR(VLOOKUP($A382,'Base TOTAL'!A:AJ,35,0), "-")</f>
        <v>-</v>
      </c>
      <c r="F382" s="133"/>
    </row>
    <row r="383" ht="30.0" customHeight="1">
      <c r="A383" s="144"/>
      <c r="B383" s="145" t="str">
        <f>IFERROR(VLOOKUP($A383,'Base TOTAL'!A:AJ,2,0), "-")</f>
        <v>-</v>
      </c>
      <c r="C383" s="145" t="str">
        <f>IFERROR(VLOOKUP($A383,'Base TOTAL'!A:AJ,33,0), "-")</f>
        <v>-</v>
      </c>
      <c r="D383" s="146" t="str">
        <f>IFERROR(VLOOKUP($A383,'Base TOTAL'!A:AJ,34,0), "-")</f>
        <v>-</v>
      </c>
      <c r="E383" s="147" t="str">
        <f>IFERROR(VLOOKUP($A383,'Base TOTAL'!A:AJ,35,0), "-")</f>
        <v>-</v>
      </c>
      <c r="F383" s="133"/>
    </row>
    <row r="384" ht="30.0" customHeight="1">
      <c r="A384" s="144"/>
      <c r="B384" s="145" t="str">
        <f>IFERROR(VLOOKUP($A384,'Base TOTAL'!A:AJ,2,0), "-")</f>
        <v>-</v>
      </c>
      <c r="C384" s="145" t="str">
        <f>IFERROR(VLOOKUP($A384,'Base TOTAL'!A:AJ,33,0), "-")</f>
        <v>-</v>
      </c>
      <c r="D384" s="146" t="str">
        <f>IFERROR(VLOOKUP($A384,'Base TOTAL'!A:AJ,34,0), "-")</f>
        <v>-</v>
      </c>
      <c r="E384" s="147" t="str">
        <f>IFERROR(VLOOKUP($A384,'Base TOTAL'!A:AJ,35,0), "-")</f>
        <v>-</v>
      </c>
      <c r="F384" s="133"/>
    </row>
    <row r="385" ht="30.0" customHeight="1">
      <c r="A385" s="144"/>
      <c r="B385" s="145" t="str">
        <f>IFERROR(VLOOKUP($A385,'Base TOTAL'!A:AJ,2,0), "-")</f>
        <v>-</v>
      </c>
      <c r="C385" s="145" t="str">
        <f>IFERROR(VLOOKUP($A385,'Base TOTAL'!A:AJ,33,0), "-")</f>
        <v>-</v>
      </c>
      <c r="D385" s="146" t="str">
        <f>IFERROR(VLOOKUP($A385,'Base TOTAL'!A:AJ,34,0), "-")</f>
        <v>-</v>
      </c>
      <c r="E385" s="147" t="str">
        <f>IFERROR(VLOOKUP($A385,'Base TOTAL'!A:AJ,35,0), "-")</f>
        <v>-</v>
      </c>
      <c r="F385" s="133"/>
    </row>
    <row r="386" ht="30.0" customHeight="1">
      <c r="A386" s="144"/>
      <c r="B386" s="145" t="str">
        <f>IFERROR(VLOOKUP($A386,'Base TOTAL'!A:AJ,2,0), "-")</f>
        <v>-</v>
      </c>
      <c r="C386" s="145" t="str">
        <f>IFERROR(VLOOKUP($A386,'Base TOTAL'!A:AJ,33,0), "-")</f>
        <v>-</v>
      </c>
      <c r="D386" s="146" t="str">
        <f>IFERROR(VLOOKUP($A386,'Base TOTAL'!A:AJ,34,0), "-")</f>
        <v>-</v>
      </c>
      <c r="E386" s="147" t="str">
        <f>IFERROR(VLOOKUP($A386,'Base TOTAL'!A:AJ,35,0), "-")</f>
        <v>-</v>
      </c>
      <c r="F386" s="133"/>
    </row>
    <row r="387" ht="30.0" customHeight="1">
      <c r="A387" s="144"/>
      <c r="B387" s="145" t="str">
        <f>IFERROR(VLOOKUP($A387,'Base TOTAL'!A:AJ,2,0), "-")</f>
        <v>-</v>
      </c>
      <c r="C387" s="145" t="str">
        <f>IFERROR(VLOOKUP($A387,'Base TOTAL'!A:AJ,33,0), "-")</f>
        <v>-</v>
      </c>
      <c r="D387" s="146" t="str">
        <f>IFERROR(VLOOKUP($A387,'Base TOTAL'!A:AJ,34,0), "-")</f>
        <v>-</v>
      </c>
      <c r="E387" s="147" t="str">
        <f>IFERROR(VLOOKUP($A387,'Base TOTAL'!A:AJ,35,0), "-")</f>
        <v>-</v>
      </c>
      <c r="F387" s="133"/>
    </row>
    <row r="388" ht="30.0" customHeight="1">
      <c r="A388" s="144"/>
      <c r="B388" s="145" t="str">
        <f>IFERROR(VLOOKUP($A388,'Base TOTAL'!A:AJ,2,0), "-")</f>
        <v>-</v>
      </c>
      <c r="C388" s="145" t="str">
        <f>IFERROR(VLOOKUP($A388,'Base TOTAL'!A:AJ,33,0), "-")</f>
        <v>-</v>
      </c>
      <c r="D388" s="146" t="str">
        <f>IFERROR(VLOOKUP($A388,'Base TOTAL'!A:AJ,34,0), "-")</f>
        <v>-</v>
      </c>
      <c r="E388" s="147" t="str">
        <f>IFERROR(VLOOKUP($A388,'Base TOTAL'!A:AJ,35,0), "-")</f>
        <v>-</v>
      </c>
      <c r="F388" s="133"/>
    </row>
    <row r="389" ht="30.0" customHeight="1">
      <c r="A389" s="144"/>
      <c r="B389" s="145" t="str">
        <f>IFERROR(VLOOKUP($A389,'Base TOTAL'!A:AJ,2,0), "-")</f>
        <v>-</v>
      </c>
      <c r="C389" s="145" t="str">
        <f>IFERROR(VLOOKUP($A389,'Base TOTAL'!A:AJ,33,0), "-")</f>
        <v>-</v>
      </c>
      <c r="D389" s="146" t="str">
        <f>IFERROR(VLOOKUP($A389,'Base TOTAL'!A:AJ,34,0), "-")</f>
        <v>-</v>
      </c>
      <c r="E389" s="147" t="str">
        <f>IFERROR(VLOOKUP($A389,'Base TOTAL'!A:AJ,35,0), "-")</f>
        <v>-</v>
      </c>
      <c r="F389" s="133"/>
    </row>
    <row r="390" ht="30.0" customHeight="1">
      <c r="A390" s="144"/>
      <c r="B390" s="145" t="str">
        <f>IFERROR(VLOOKUP($A390,'Base TOTAL'!A:AJ,2,0), "-")</f>
        <v>-</v>
      </c>
      <c r="C390" s="145" t="str">
        <f>IFERROR(VLOOKUP($A390,'Base TOTAL'!A:AJ,33,0), "-")</f>
        <v>-</v>
      </c>
      <c r="D390" s="146" t="str">
        <f>IFERROR(VLOOKUP($A390,'Base TOTAL'!A:AJ,34,0), "-")</f>
        <v>-</v>
      </c>
      <c r="E390" s="147" t="str">
        <f>IFERROR(VLOOKUP($A390,'Base TOTAL'!A:AJ,35,0), "-")</f>
        <v>-</v>
      </c>
      <c r="F390" s="133"/>
    </row>
    <row r="391" ht="30.0" customHeight="1">
      <c r="A391" s="144"/>
      <c r="B391" s="145" t="str">
        <f>IFERROR(VLOOKUP($A391,'Base TOTAL'!A:AJ,2,0), "-")</f>
        <v>-</v>
      </c>
      <c r="C391" s="145" t="str">
        <f>IFERROR(VLOOKUP($A391,'Base TOTAL'!A:AJ,33,0), "-")</f>
        <v>-</v>
      </c>
      <c r="D391" s="146" t="str">
        <f>IFERROR(VLOOKUP($A391,'Base TOTAL'!A:AJ,34,0), "-")</f>
        <v>-</v>
      </c>
      <c r="E391" s="147" t="str">
        <f>IFERROR(VLOOKUP($A391,'Base TOTAL'!A:AJ,35,0), "-")</f>
        <v>-</v>
      </c>
      <c r="F391" s="133"/>
    </row>
    <row r="392" ht="30.0" customHeight="1">
      <c r="A392" s="144"/>
      <c r="B392" s="145" t="str">
        <f>IFERROR(VLOOKUP($A392,'Base TOTAL'!A:AJ,2,0), "-")</f>
        <v>-</v>
      </c>
      <c r="C392" s="145" t="str">
        <f>IFERROR(VLOOKUP($A392,'Base TOTAL'!A:AJ,33,0), "-")</f>
        <v>-</v>
      </c>
      <c r="D392" s="146" t="str">
        <f>IFERROR(VLOOKUP($A392,'Base TOTAL'!A:AJ,34,0), "-")</f>
        <v>-</v>
      </c>
      <c r="E392" s="147" t="str">
        <f>IFERROR(VLOOKUP($A392,'Base TOTAL'!A:AJ,35,0), "-")</f>
        <v>-</v>
      </c>
      <c r="F392" s="133"/>
    </row>
    <row r="393" ht="30.0" customHeight="1">
      <c r="A393" s="144"/>
      <c r="B393" s="145" t="str">
        <f>IFERROR(VLOOKUP($A393,'Base TOTAL'!A:AJ,2,0), "-")</f>
        <v>-</v>
      </c>
      <c r="C393" s="145" t="str">
        <f>IFERROR(VLOOKUP($A393,'Base TOTAL'!A:AJ,33,0), "-")</f>
        <v>-</v>
      </c>
      <c r="D393" s="146" t="str">
        <f>IFERROR(VLOOKUP($A393,'Base TOTAL'!A:AJ,34,0), "-")</f>
        <v>-</v>
      </c>
      <c r="E393" s="147" t="str">
        <f>IFERROR(VLOOKUP($A393,'Base TOTAL'!A:AJ,35,0), "-")</f>
        <v>-</v>
      </c>
      <c r="F393" s="133"/>
    </row>
    <row r="394" ht="30.0" customHeight="1">
      <c r="A394" s="144"/>
      <c r="B394" s="145" t="str">
        <f>IFERROR(VLOOKUP($A394,'Base TOTAL'!A:AJ,2,0), "-")</f>
        <v>-</v>
      </c>
      <c r="C394" s="145" t="str">
        <f>IFERROR(VLOOKUP($A394,'Base TOTAL'!A:AJ,33,0), "-")</f>
        <v>-</v>
      </c>
      <c r="D394" s="146" t="str">
        <f>IFERROR(VLOOKUP($A394,'Base TOTAL'!A:AJ,34,0), "-")</f>
        <v>-</v>
      </c>
      <c r="E394" s="147" t="str">
        <f>IFERROR(VLOOKUP($A394,'Base TOTAL'!A:AJ,35,0), "-")</f>
        <v>-</v>
      </c>
      <c r="F394" s="133"/>
    </row>
    <row r="395" ht="30.0" customHeight="1">
      <c r="A395" s="144"/>
      <c r="B395" s="145" t="str">
        <f>IFERROR(VLOOKUP($A395,'Base TOTAL'!A:AJ,2,0), "-")</f>
        <v>-</v>
      </c>
      <c r="C395" s="145" t="str">
        <f>IFERROR(VLOOKUP($A395,'Base TOTAL'!A:AJ,33,0), "-")</f>
        <v>-</v>
      </c>
      <c r="D395" s="146" t="str">
        <f>IFERROR(VLOOKUP($A395,'Base TOTAL'!A:AJ,34,0), "-")</f>
        <v>-</v>
      </c>
      <c r="E395" s="147" t="str">
        <f>IFERROR(VLOOKUP($A395,'Base TOTAL'!A:AJ,35,0), "-")</f>
        <v>-</v>
      </c>
      <c r="F395" s="133"/>
    </row>
    <row r="396" ht="30.0" customHeight="1">
      <c r="A396" s="144"/>
      <c r="B396" s="145" t="str">
        <f>IFERROR(VLOOKUP($A396,'Base TOTAL'!A:AJ,2,0), "-")</f>
        <v>-</v>
      </c>
      <c r="C396" s="145" t="str">
        <f>IFERROR(VLOOKUP($A396,'Base TOTAL'!A:AJ,33,0), "-")</f>
        <v>-</v>
      </c>
      <c r="D396" s="146" t="str">
        <f>IFERROR(VLOOKUP($A396,'Base TOTAL'!A:AJ,34,0), "-")</f>
        <v>-</v>
      </c>
      <c r="E396" s="147" t="str">
        <f>IFERROR(VLOOKUP($A396,'Base TOTAL'!A:AJ,35,0), "-")</f>
        <v>-</v>
      </c>
      <c r="F396" s="133"/>
    </row>
    <row r="397" ht="30.0" customHeight="1">
      <c r="A397" s="144"/>
      <c r="B397" s="145" t="str">
        <f>IFERROR(VLOOKUP($A397,'Base TOTAL'!A:AJ,2,0), "-")</f>
        <v>-</v>
      </c>
      <c r="C397" s="145" t="str">
        <f>IFERROR(VLOOKUP($A397,'Base TOTAL'!A:AJ,33,0), "-")</f>
        <v>-</v>
      </c>
      <c r="D397" s="146" t="str">
        <f>IFERROR(VLOOKUP($A397,'Base TOTAL'!A:AJ,34,0), "-")</f>
        <v>-</v>
      </c>
      <c r="E397" s="147" t="str">
        <f>IFERROR(VLOOKUP($A397,'Base TOTAL'!A:AJ,35,0), "-")</f>
        <v>-</v>
      </c>
      <c r="F397" s="133"/>
    </row>
    <row r="398" ht="30.0" customHeight="1">
      <c r="A398" s="144"/>
      <c r="B398" s="145" t="str">
        <f>IFERROR(VLOOKUP($A398,'Base TOTAL'!A:AJ,2,0), "-")</f>
        <v>-</v>
      </c>
      <c r="C398" s="145" t="str">
        <f>IFERROR(VLOOKUP($A398,'Base TOTAL'!A:AJ,33,0), "-")</f>
        <v>-</v>
      </c>
      <c r="D398" s="146" t="str">
        <f>IFERROR(VLOOKUP($A398,'Base TOTAL'!A:AJ,34,0), "-")</f>
        <v>-</v>
      </c>
      <c r="E398" s="147" t="str">
        <f>IFERROR(VLOOKUP($A398,'Base TOTAL'!A:AJ,35,0), "-")</f>
        <v>-</v>
      </c>
      <c r="F398" s="133"/>
    </row>
    <row r="399" ht="30.0" customHeight="1">
      <c r="A399" s="144"/>
      <c r="B399" s="145" t="str">
        <f>IFERROR(VLOOKUP($A399,'Base TOTAL'!A:AJ,2,0), "-")</f>
        <v>-</v>
      </c>
      <c r="C399" s="145" t="str">
        <f>IFERROR(VLOOKUP($A399,'Base TOTAL'!A:AJ,33,0), "-")</f>
        <v>-</v>
      </c>
      <c r="D399" s="146" t="str">
        <f>IFERROR(VLOOKUP($A399,'Base TOTAL'!A:AJ,34,0), "-")</f>
        <v>-</v>
      </c>
      <c r="E399" s="147" t="str">
        <f>IFERROR(VLOOKUP($A399,'Base TOTAL'!A:AJ,35,0), "-")</f>
        <v>-</v>
      </c>
      <c r="F399" s="133"/>
    </row>
    <row r="400" ht="30.0" customHeight="1">
      <c r="A400" s="144"/>
      <c r="B400" s="145" t="str">
        <f>IFERROR(VLOOKUP($A400,'Base TOTAL'!A:AJ,2,0), "-")</f>
        <v>-</v>
      </c>
      <c r="C400" s="145" t="str">
        <f>IFERROR(VLOOKUP($A400,'Base TOTAL'!A:AJ,33,0), "-")</f>
        <v>-</v>
      </c>
      <c r="D400" s="146" t="str">
        <f>IFERROR(VLOOKUP($A400,'Base TOTAL'!A:AJ,34,0), "-")</f>
        <v>-</v>
      </c>
      <c r="E400" s="147" t="str">
        <f>IFERROR(VLOOKUP($A400,'Base TOTAL'!A:AJ,35,0), "-")</f>
        <v>-</v>
      </c>
      <c r="F400" s="133"/>
    </row>
    <row r="401" ht="30.0" customHeight="1">
      <c r="A401" s="144"/>
      <c r="B401" s="145" t="str">
        <f>IFERROR(VLOOKUP($A401,'Base TOTAL'!A:AJ,2,0), "-")</f>
        <v>-</v>
      </c>
      <c r="C401" s="145" t="str">
        <f>IFERROR(VLOOKUP($A401,'Base TOTAL'!A:AJ,33,0), "-")</f>
        <v>-</v>
      </c>
      <c r="D401" s="146" t="str">
        <f>IFERROR(VLOOKUP($A401,'Base TOTAL'!A:AJ,34,0), "-")</f>
        <v>-</v>
      </c>
      <c r="E401" s="147" t="str">
        <f>IFERROR(VLOOKUP($A401,'Base TOTAL'!A:AJ,35,0), "-")</f>
        <v>-</v>
      </c>
      <c r="F401" s="133"/>
    </row>
    <row r="402" ht="30.0" customHeight="1">
      <c r="A402" s="144"/>
      <c r="B402" s="145" t="str">
        <f>IFERROR(VLOOKUP($A402,'Base TOTAL'!A:AJ,2,0), "-")</f>
        <v>-</v>
      </c>
      <c r="C402" s="145" t="str">
        <f>IFERROR(VLOOKUP($A402,'Base TOTAL'!A:AJ,33,0), "-")</f>
        <v>-</v>
      </c>
      <c r="D402" s="146" t="str">
        <f>IFERROR(VLOOKUP($A402,'Base TOTAL'!A:AJ,34,0), "-")</f>
        <v>-</v>
      </c>
      <c r="E402" s="147" t="str">
        <f>IFERROR(VLOOKUP($A402,'Base TOTAL'!A:AJ,35,0), "-")</f>
        <v>-</v>
      </c>
      <c r="F402" s="133"/>
    </row>
    <row r="403" ht="30.0" customHeight="1">
      <c r="A403" s="144"/>
      <c r="B403" s="145" t="str">
        <f>IFERROR(VLOOKUP($A403,'Base TOTAL'!A:AJ,2,0), "-")</f>
        <v>-</v>
      </c>
      <c r="C403" s="145" t="str">
        <f>IFERROR(VLOOKUP($A403,'Base TOTAL'!A:AJ,33,0), "-")</f>
        <v>-</v>
      </c>
      <c r="D403" s="146" t="str">
        <f>IFERROR(VLOOKUP($A403,'Base TOTAL'!A:AJ,34,0), "-")</f>
        <v>-</v>
      </c>
      <c r="E403" s="147" t="str">
        <f>IFERROR(VLOOKUP($A403,'Base TOTAL'!A:AJ,35,0), "-")</f>
        <v>-</v>
      </c>
      <c r="F403" s="133"/>
    </row>
    <row r="404" ht="30.0" customHeight="1">
      <c r="A404" s="144"/>
      <c r="B404" s="145" t="str">
        <f>IFERROR(VLOOKUP($A404,'Base TOTAL'!A:AJ,2,0), "-")</f>
        <v>-</v>
      </c>
      <c r="C404" s="145" t="str">
        <f>IFERROR(VLOOKUP($A404,'Base TOTAL'!A:AJ,33,0), "-")</f>
        <v>-</v>
      </c>
      <c r="D404" s="146" t="str">
        <f>IFERROR(VLOOKUP($A404,'Base TOTAL'!A:AJ,34,0), "-")</f>
        <v>-</v>
      </c>
      <c r="E404" s="147" t="str">
        <f>IFERROR(VLOOKUP($A404,'Base TOTAL'!A:AJ,35,0), "-")</f>
        <v>-</v>
      </c>
      <c r="F404" s="133"/>
    </row>
    <row r="405" ht="30.0" customHeight="1">
      <c r="A405" s="144"/>
      <c r="B405" s="145" t="str">
        <f>IFERROR(VLOOKUP($A405,'Base TOTAL'!A:AJ,2,0), "-")</f>
        <v>-</v>
      </c>
      <c r="C405" s="145" t="str">
        <f>IFERROR(VLOOKUP($A405,'Base TOTAL'!A:AJ,33,0), "-")</f>
        <v>-</v>
      </c>
      <c r="D405" s="146" t="str">
        <f>IFERROR(VLOOKUP($A405,'Base TOTAL'!A:AJ,34,0), "-")</f>
        <v>-</v>
      </c>
      <c r="E405" s="147" t="str">
        <f>IFERROR(VLOOKUP($A405,'Base TOTAL'!A:AJ,35,0), "-")</f>
        <v>-</v>
      </c>
      <c r="F405" s="133"/>
    </row>
    <row r="406" ht="30.0" customHeight="1">
      <c r="A406" s="144"/>
      <c r="B406" s="145" t="str">
        <f>IFERROR(VLOOKUP($A406,'Base TOTAL'!A:AJ,2,0), "-")</f>
        <v>-</v>
      </c>
      <c r="C406" s="145" t="str">
        <f>IFERROR(VLOOKUP($A406,'Base TOTAL'!A:AJ,33,0), "-")</f>
        <v>-</v>
      </c>
      <c r="D406" s="146" t="str">
        <f>IFERROR(VLOOKUP($A406,'Base TOTAL'!A:AJ,34,0), "-")</f>
        <v>-</v>
      </c>
      <c r="E406" s="147" t="str">
        <f>IFERROR(VLOOKUP($A406,'Base TOTAL'!A:AJ,35,0), "-")</f>
        <v>-</v>
      </c>
      <c r="F406" s="133"/>
    </row>
    <row r="407" ht="30.0" customHeight="1">
      <c r="A407" s="144"/>
      <c r="B407" s="145" t="str">
        <f>IFERROR(VLOOKUP($A407,'Base TOTAL'!A:AJ,2,0), "-")</f>
        <v>-</v>
      </c>
      <c r="C407" s="145" t="str">
        <f>IFERROR(VLOOKUP($A407,'Base TOTAL'!A:AJ,33,0), "-")</f>
        <v>-</v>
      </c>
      <c r="D407" s="146" t="str">
        <f>IFERROR(VLOOKUP($A407,'Base TOTAL'!A:AJ,34,0), "-")</f>
        <v>-</v>
      </c>
      <c r="E407" s="147" t="str">
        <f>IFERROR(VLOOKUP($A407,'Base TOTAL'!A:AJ,35,0), "-")</f>
        <v>-</v>
      </c>
      <c r="F407" s="133"/>
    </row>
    <row r="408" ht="30.0" customHeight="1">
      <c r="A408" s="144"/>
      <c r="B408" s="145" t="str">
        <f>IFERROR(VLOOKUP($A408,'Base TOTAL'!A:AJ,2,0), "-")</f>
        <v>-</v>
      </c>
      <c r="C408" s="145" t="str">
        <f>IFERROR(VLOOKUP($A408,'Base TOTAL'!A:AJ,33,0), "-")</f>
        <v>-</v>
      </c>
      <c r="D408" s="146" t="str">
        <f>IFERROR(VLOOKUP($A408,'Base TOTAL'!A:AJ,34,0), "-")</f>
        <v>-</v>
      </c>
      <c r="E408" s="147" t="str">
        <f>IFERROR(VLOOKUP($A408,'Base TOTAL'!A:AJ,35,0), "-")</f>
        <v>-</v>
      </c>
      <c r="F408" s="133"/>
    </row>
    <row r="409" ht="30.0" customHeight="1">
      <c r="A409" s="144"/>
      <c r="B409" s="145" t="str">
        <f>IFERROR(VLOOKUP($A409,'Base TOTAL'!A:AJ,2,0), "-")</f>
        <v>-</v>
      </c>
      <c r="C409" s="145" t="str">
        <f>IFERROR(VLOOKUP($A409,'Base TOTAL'!A:AJ,33,0), "-")</f>
        <v>-</v>
      </c>
      <c r="D409" s="146" t="str">
        <f>IFERROR(VLOOKUP($A409,'Base TOTAL'!A:AJ,34,0), "-")</f>
        <v>-</v>
      </c>
      <c r="E409" s="147" t="str">
        <f>IFERROR(VLOOKUP($A409,'Base TOTAL'!A:AJ,35,0), "-")</f>
        <v>-</v>
      </c>
      <c r="F409" s="133"/>
    </row>
    <row r="410" ht="30.0" customHeight="1">
      <c r="A410" s="144"/>
      <c r="B410" s="145" t="str">
        <f>IFERROR(VLOOKUP($A410,'Base TOTAL'!A:AJ,2,0), "-")</f>
        <v>-</v>
      </c>
      <c r="C410" s="145" t="str">
        <f>IFERROR(VLOOKUP($A410,'Base TOTAL'!A:AJ,33,0), "-")</f>
        <v>-</v>
      </c>
      <c r="D410" s="146" t="str">
        <f>IFERROR(VLOOKUP($A410,'Base TOTAL'!A:AJ,34,0), "-")</f>
        <v>-</v>
      </c>
      <c r="E410" s="147" t="str">
        <f>IFERROR(VLOOKUP($A410,'Base TOTAL'!A:AJ,35,0), "-")</f>
        <v>-</v>
      </c>
      <c r="F410" s="133"/>
    </row>
    <row r="411" ht="30.0" customHeight="1">
      <c r="A411" s="144"/>
      <c r="B411" s="145" t="str">
        <f>IFERROR(VLOOKUP($A411,'Base TOTAL'!A:AJ,2,0), "-")</f>
        <v>-</v>
      </c>
      <c r="C411" s="145" t="str">
        <f>IFERROR(VLOOKUP($A411,'Base TOTAL'!A:AJ,33,0), "-")</f>
        <v>-</v>
      </c>
      <c r="D411" s="146" t="str">
        <f>IFERROR(VLOOKUP($A411,'Base TOTAL'!A:AJ,34,0), "-")</f>
        <v>-</v>
      </c>
      <c r="E411" s="147" t="str">
        <f>IFERROR(VLOOKUP($A411,'Base TOTAL'!A:AJ,35,0), "-")</f>
        <v>-</v>
      </c>
      <c r="F411" s="133"/>
    </row>
    <row r="412" ht="30.0" customHeight="1">
      <c r="A412" s="144"/>
      <c r="B412" s="145" t="str">
        <f>IFERROR(VLOOKUP($A412,'Base TOTAL'!A:AJ,2,0), "-")</f>
        <v>-</v>
      </c>
      <c r="C412" s="145" t="str">
        <f>IFERROR(VLOOKUP($A412,'Base TOTAL'!A:AJ,33,0), "-")</f>
        <v>-</v>
      </c>
      <c r="D412" s="146" t="str">
        <f>IFERROR(VLOOKUP($A412,'Base TOTAL'!A:AJ,34,0), "-")</f>
        <v>-</v>
      </c>
      <c r="E412" s="147" t="str">
        <f>IFERROR(VLOOKUP($A412,'Base TOTAL'!A:AJ,35,0), "-")</f>
        <v>-</v>
      </c>
      <c r="F412" s="133"/>
    </row>
    <row r="413" ht="30.0" customHeight="1">
      <c r="A413" s="144"/>
      <c r="B413" s="145" t="str">
        <f>IFERROR(VLOOKUP($A413,'Base TOTAL'!A:AJ,2,0), "-")</f>
        <v>-</v>
      </c>
      <c r="C413" s="145" t="str">
        <f>IFERROR(VLOOKUP($A413,'Base TOTAL'!A:AJ,33,0), "-")</f>
        <v>-</v>
      </c>
      <c r="D413" s="146" t="str">
        <f>IFERROR(VLOOKUP($A413,'Base TOTAL'!A:AJ,34,0), "-")</f>
        <v>-</v>
      </c>
      <c r="E413" s="147" t="str">
        <f>IFERROR(VLOOKUP($A413,'Base TOTAL'!A:AJ,35,0), "-")</f>
        <v>-</v>
      </c>
      <c r="F413" s="133"/>
    </row>
    <row r="414" ht="30.0" customHeight="1">
      <c r="A414" s="144"/>
      <c r="B414" s="145" t="str">
        <f>IFERROR(VLOOKUP($A414,'Base TOTAL'!A:AJ,2,0), "-")</f>
        <v>-</v>
      </c>
      <c r="C414" s="145" t="str">
        <f>IFERROR(VLOOKUP($A414,'Base TOTAL'!A:AJ,33,0), "-")</f>
        <v>-</v>
      </c>
      <c r="D414" s="146" t="str">
        <f>IFERROR(VLOOKUP($A414,'Base TOTAL'!A:AJ,34,0), "-")</f>
        <v>-</v>
      </c>
      <c r="E414" s="147" t="str">
        <f>IFERROR(VLOOKUP($A414,'Base TOTAL'!A:AJ,35,0), "-")</f>
        <v>-</v>
      </c>
      <c r="F414" s="133"/>
    </row>
    <row r="415" ht="30.0" customHeight="1">
      <c r="A415" s="144"/>
      <c r="B415" s="145" t="str">
        <f>IFERROR(VLOOKUP($A415,'Base TOTAL'!A:AJ,2,0), "-")</f>
        <v>-</v>
      </c>
      <c r="C415" s="145" t="str">
        <f>IFERROR(VLOOKUP($A415,'Base TOTAL'!A:AJ,33,0), "-")</f>
        <v>-</v>
      </c>
      <c r="D415" s="146" t="str">
        <f>IFERROR(VLOOKUP($A415,'Base TOTAL'!A:AJ,34,0), "-")</f>
        <v>-</v>
      </c>
      <c r="E415" s="147" t="str">
        <f>IFERROR(VLOOKUP($A415,'Base TOTAL'!A:AJ,35,0), "-")</f>
        <v>-</v>
      </c>
      <c r="F415" s="133"/>
    </row>
    <row r="416" ht="30.0" customHeight="1">
      <c r="A416" s="144"/>
      <c r="B416" s="145" t="str">
        <f>IFERROR(VLOOKUP($A416,'Base TOTAL'!A:AJ,2,0), "-")</f>
        <v>-</v>
      </c>
      <c r="C416" s="145" t="str">
        <f>IFERROR(VLOOKUP($A416,'Base TOTAL'!A:AJ,33,0), "-")</f>
        <v>-</v>
      </c>
      <c r="D416" s="146" t="str">
        <f>IFERROR(VLOOKUP($A416,'Base TOTAL'!A:AJ,34,0), "-")</f>
        <v>-</v>
      </c>
      <c r="E416" s="147" t="str">
        <f>IFERROR(VLOOKUP($A416,'Base TOTAL'!A:AJ,35,0), "-")</f>
        <v>-</v>
      </c>
      <c r="F416" s="133"/>
    </row>
    <row r="417" ht="30.0" customHeight="1">
      <c r="A417" s="144"/>
      <c r="B417" s="145" t="str">
        <f>IFERROR(VLOOKUP($A417,'Base TOTAL'!A:AJ,2,0), "-")</f>
        <v>-</v>
      </c>
      <c r="C417" s="145" t="str">
        <f>IFERROR(VLOOKUP($A417,'Base TOTAL'!A:AJ,33,0), "-")</f>
        <v>-</v>
      </c>
      <c r="D417" s="146" t="str">
        <f>IFERROR(VLOOKUP($A417,'Base TOTAL'!A:AJ,34,0), "-")</f>
        <v>-</v>
      </c>
      <c r="E417" s="147" t="str">
        <f>IFERROR(VLOOKUP($A417,'Base TOTAL'!A:AJ,35,0), "-")</f>
        <v>-</v>
      </c>
      <c r="F417" s="133"/>
    </row>
    <row r="418" ht="30.0" customHeight="1">
      <c r="A418" s="144"/>
      <c r="B418" s="145" t="str">
        <f>IFERROR(VLOOKUP($A418,'Base TOTAL'!A:AJ,2,0), "-")</f>
        <v>-</v>
      </c>
      <c r="C418" s="145" t="str">
        <f>IFERROR(VLOOKUP($A418,'Base TOTAL'!A:AJ,33,0), "-")</f>
        <v>-</v>
      </c>
      <c r="D418" s="146" t="str">
        <f>IFERROR(VLOOKUP($A418,'Base TOTAL'!A:AJ,34,0), "-")</f>
        <v>-</v>
      </c>
      <c r="E418" s="147" t="str">
        <f>IFERROR(VLOOKUP($A418,'Base TOTAL'!A:AJ,35,0), "-")</f>
        <v>-</v>
      </c>
      <c r="F418" s="133"/>
    </row>
    <row r="419" ht="30.0" customHeight="1">
      <c r="A419" s="144"/>
      <c r="B419" s="145" t="str">
        <f>IFERROR(VLOOKUP($A419,'Base TOTAL'!A:AJ,2,0), "-")</f>
        <v>-</v>
      </c>
      <c r="C419" s="145" t="str">
        <f>IFERROR(VLOOKUP($A419,'Base TOTAL'!A:AJ,33,0), "-")</f>
        <v>-</v>
      </c>
      <c r="D419" s="146" t="str">
        <f>IFERROR(VLOOKUP($A419,'Base TOTAL'!A:AJ,34,0), "-")</f>
        <v>-</v>
      </c>
      <c r="E419" s="147" t="str">
        <f>IFERROR(VLOOKUP($A419,'Base TOTAL'!A:AJ,35,0), "-")</f>
        <v>-</v>
      </c>
      <c r="F419" s="133"/>
    </row>
    <row r="420" ht="30.0" customHeight="1">
      <c r="A420" s="144"/>
      <c r="B420" s="145" t="str">
        <f>IFERROR(VLOOKUP($A420,'Base TOTAL'!A:AJ,2,0), "-")</f>
        <v>-</v>
      </c>
      <c r="C420" s="145" t="str">
        <f>IFERROR(VLOOKUP($A420,'Base TOTAL'!A:AJ,33,0), "-")</f>
        <v>-</v>
      </c>
      <c r="D420" s="146" t="str">
        <f>IFERROR(VLOOKUP($A420,'Base TOTAL'!A:AJ,34,0), "-")</f>
        <v>-</v>
      </c>
      <c r="E420" s="147" t="str">
        <f>IFERROR(VLOOKUP($A420,'Base TOTAL'!A:AJ,35,0), "-")</f>
        <v>-</v>
      </c>
      <c r="F420" s="133"/>
    </row>
    <row r="421" ht="30.0" customHeight="1">
      <c r="A421" s="144"/>
      <c r="B421" s="145" t="str">
        <f>IFERROR(VLOOKUP($A421,'Base TOTAL'!A:AJ,2,0), "-")</f>
        <v>-</v>
      </c>
      <c r="C421" s="145" t="str">
        <f>IFERROR(VLOOKUP($A421,'Base TOTAL'!A:AJ,33,0), "-")</f>
        <v>-</v>
      </c>
      <c r="D421" s="146" t="str">
        <f>IFERROR(VLOOKUP($A421,'Base TOTAL'!A:AJ,34,0), "-")</f>
        <v>-</v>
      </c>
      <c r="E421" s="147" t="str">
        <f>IFERROR(VLOOKUP($A421,'Base TOTAL'!A:AJ,35,0), "-")</f>
        <v>-</v>
      </c>
      <c r="F421" s="133"/>
    </row>
    <row r="422" ht="30.0" customHeight="1">
      <c r="A422" s="144"/>
      <c r="B422" s="145" t="str">
        <f>IFERROR(VLOOKUP($A422,'Base TOTAL'!A:AJ,2,0), "-")</f>
        <v>-</v>
      </c>
      <c r="C422" s="145" t="str">
        <f>IFERROR(VLOOKUP($A422,'Base TOTAL'!A:AJ,33,0), "-")</f>
        <v>-</v>
      </c>
      <c r="D422" s="146" t="str">
        <f>IFERROR(VLOOKUP($A422,'Base TOTAL'!A:AJ,34,0), "-")</f>
        <v>-</v>
      </c>
      <c r="E422" s="147" t="str">
        <f>IFERROR(VLOOKUP($A422,'Base TOTAL'!A:AJ,35,0), "-")</f>
        <v>-</v>
      </c>
      <c r="F422" s="133"/>
    </row>
    <row r="423" ht="30.0" customHeight="1">
      <c r="A423" s="144"/>
      <c r="B423" s="145" t="str">
        <f>IFERROR(VLOOKUP($A423,'Base TOTAL'!A:AJ,2,0), "-")</f>
        <v>-</v>
      </c>
      <c r="C423" s="145" t="str">
        <f>IFERROR(VLOOKUP($A423,'Base TOTAL'!A:AJ,33,0), "-")</f>
        <v>-</v>
      </c>
      <c r="D423" s="146" t="str">
        <f>IFERROR(VLOOKUP($A423,'Base TOTAL'!A:AJ,34,0), "-")</f>
        <v>-</v>
      </c>
      <c r="E423" s="147" t="str">
        <f>IFERROR(VLOOKUP($A423,'Base TOTAL'!A:AJ,35,0), "-")</f>
        <v>-</v>
      </c>
      <c r="F423" s="133"/>
    </row>
    <row r="424" ht="30.0" customHeight="1">
      <c r="A424" s="144"/>
      <c r="B424" s="145" t="str">
        <f>IFERROR(VLOOKUP($A424,'Base TOTAL'!A:AJ,2,0), "-")</f>
        <v>-</v>
      </c>
      <c r="C424" s="145" t="str">
        <f>IFERROR(VLOOKUP($A424,'Base TOTAL'!A:AJ,33,0), "-")</f>
        <v>-</v>
      </c>
      <c r="D424" s="146" t="str">
        <f>IFERROR(VLOOKUP($A424,'Base TOTAL'!A:AJ,34,0), "-")</f>
        <v>-</v>
      </c>
      <c r="E424" s="147" t="str">
        <f>IFERROR(VLOOKUP($A424,'Base TOTAL'!A:AJ,35,0), "-")</f>
        <v>-</v>
      </c>
      <c r="F424" s="133"/>
    </row>
    <row r="425" ht="30.0" customHeight="1">
      <c r="A425" s="144"/>
      <c r="B425" s="145" t="str">
        <f>IFERROR(VLOOKUP($A425,'Base TOTAL'!A:AJ,2,0), "-")</f>
        <v>-</v>
      </c>
      <c r="C425" s="145" t="str">
        <f>IFERROR(VLOOKUP($A425,'Base TOTAL'!A:AJ,33,0), "-")</f>
        <v>-</v>
      </c>
      <c r="D425" s="146" t="str">
        <f>IFERROR(VLOOKUP($A425,'Base TOTAL'!A:AJ,34,0), "-")</f>
        <v>-</v>
      </c>
      <c r="E425" s="147" t="str">
        <f>IFERROR(VLOOKUP($A425,'Base TOTAL'!A:AJ,35,0), "-")</f>
        <v>-</v>
      </c>
      <c r="F425" s="133"/>
    </row>
    <row r="426" ht="30.0" customHeight="1">
      <c r="A426" s="144"/>
      <c r="B426" s="145" t="str">
        <f>IFERROR(VLOOKUP($A426,'Base TOTAL'!A:AJ,2,0), "-")</f>
        <v>-</v>
      </c>
      <c r="C426" s="145" t="str">
        <f>IFERROR(VLOOKUP($A426,'Base TOTAL'!A:AJ,33,0), "-")</f>
        <v>-</v>
      </c>
      <c r="D426" s="146" t="str">
        <f>IFERROR(VLOOKUP($A426,'Base TOTAL'!A:AJ,34,0), "-")</f>
        <v>-</v>
      </c>
      <c r="E426" s="147" t="str">
        <f>IFERROR(VLOOKUP($A426,'Base TOTAL'!A:AJ,35,0), "-")</f>
        <v>-</v>
      </c>
      <c r="F426" s="133"/>
    </row>
    <row r="427" ht="30.0" customHeight="1">
      <c r="A427" s="144"/>
      <c r="B427" s="145" t="str">
        <f>IFERROR(VLOOKUP($A427,'Base TOTAL'!A:AJ,2,0), "-")</f>
        <v>-</v>
      </c>
      <c r="C427" s="145" t="str">
        <f>IFERROR(VLOOKUP($A427,'Base TOTAL'!A:AJ,33,0), "-")</f>
        <v>-</v>
      </c>
      <c r="D427" s="146" t="str">
        <f>IFERROR(VLOOKUP($A427,'Base TOTAL'!A:AJ,34,0), "-")</f>
        <v>-</v>
      </c>
      <c r="E427" s="147" t="str">
        <f>IFERROR(VLOOKUP($A427,'Base TOTAL'!A:AJ,35,0), "-")</f>
        <v>-</v>
      </c>
      <c r="F427" s="133"/>
    </row>
    <row r="428" ht="30.0" customHeight="1">
      <c r="A428" s="144"/>
      <c r="B428" s="145" t="str">
        <f>IFERROR(VLOOKUP($A428,'Base TOTAL'!A:AJ,2,0), "-")</f>
        <v>-</v>
      </c>
      <c r="C428" s="145" t="str">
        <f>IFERROR(VLOOKUP($A428,'Base TOTAL'!A:AJ,33,0), "-")</f>
        <v>-</v>
      </c>
      <c r="D428" s="146" t="str">
        <f>IFERROR(VLOOKUP($A428,'Base TOTAL'!A:AJ,34,0), "-")</f>
        <v>-</v>
      </c>
      <c r="E428" s="147" t="str">
        <f>IFERROR(VLOOKUP($A428,'Base TOTAL'!A:AJ,35,0), "-")</f>
        <v>-</v>
      </c>
      <c r="F428" s="133"/>
    </row>
    <row r="429" ht="30.0" customHeight="1">
      <c r="A429" s="144"/>
      <c r="B429" s="145" t="str">
        <f>IFERROR(VLOOKUP($A429,'Base TOTAL'!A:AJ,2,0), "-")</f>
        <v>-</v>
      </c>
      <c r="C429" s="145" t="str">
        <f>IFERROR(VLOOKUP($A429,'Base TOTAL'!A:AJ,33,0), "-")</f>
        <v>-</v>
      </c>
      <c r="D429" s="146" t="str">
        <f>IFERROR(VLOOKUP($A429,'Base TOTAL'!A:AJ,34,0), "-")</f>
        <v>-</v>
      </c>
      <c r="E429" s="147" t="str">
        <f>IFERROR(VLOOKUP($A429,'Base TOTAL'!A:AJ,35,0), "-")</f>
        <v>-</v>
      </c>
      <c r="F429" s="133"/>
    </row>
    <row r="430" ht="30.0" customHeight="1">
      <c r="A430" s="144"/>
      <c r="B430" s="145" t="str">
        <f>IFERROR(VLOOKUP($A430,'Base TOTAL'!A:AJ,2,0), "-")</f>
        <v>-</v>
      </c>
      <c r="C430" s="145" t="str">
        <f>IFERROR(VLOOKUP($A430,'Base TOTAL'!A:AJ,33,0), "-")</f>
        <v>-</v>
      </c>
      <c r="D430" s="146" t="str">
        <f>IFERROR(VLOOKUP($A430,'Base TOTAL'!A:AJ,34,0), "-")</f>
        <v>-</v>
      </c>
      <c r="E430" s="147" t="str">
        <f>IFERROR(VLOOKUP($A430,'Base TOTAL'!A:AJ,35,0), "-")</f>
        <v>-</v>
      </c>
      <c r="F430" s="133"/>
    </row>
    <row r="431" ht="30.0" customHeight="1">
      <c r="A431" s="144"/>
      <c r="B431" s="145" t="str">
        <f>IFERROR(VLOOKUP($A431,'Base TOTAL'!A:AJ,2,0), "-")</f>
        <v>-</v>
      </c>
      <c r="C431" s="145" t="str">
        <f>IFERROR(VLOOKUP($A431,'Base TOTAL'!A:AJ,33,0), "-")</f>
        <v>-</v>
      </c>
      <c r="D431" s="146" t="str">
        <f>IFERROR(VLOOKUP($A431,'Base TOTAL'!A:AJ,34,0), "-")</f>
        <v>-</v>
      </c>
      <c r="E431" s="147" t="str">
        <f>IFERROR(VLOOKUP($A431,'Base TOTAL'!A:AJ,35,0), "-")</f>
        <v>-</v>
      </c>
      <c r="F431" s="133"/>
    </row>
    <row r="432" ht="30.0" customHeight="1">
      <c r="A432" s="144"/>
      <c r="B432" s="145" t="str">
        <f>IFERROR(VLOOKUP($A432,'Base TOTAL'!A:AJ,2,0), "-")</f>
        <v>-</v>
      </c>
      <c r="C432" s="145" t="str">
        <f>IFERROR(VLOOKUP($A432,'Base TOTAL'!A:AJ,33,0), "-")</f>
        <v>-</v>
      </c>
      <c r="D432" s="146" t="str">
        <f>IFERROR(VLOOKUP($A432,'Base TOTAL'!A:AJ,34,0), "-")</f>
        <v>-</v>
      </c>
      <c r="E432" s="147" t="str">
        <f>IFERROR(VLOOKUP($A432,'Base TOTAL'!A:AJ,35,0), "-")</f>
        <v>-</v>
      </c>
      <c r="F432" s="133"/>
    </row>
    <row r="433" ht="30.0" customHeight="1">
      <c r="A433" s="144"/>
      <c r="B433" s="145" t="str">
        <f>IFERROR(VLOOKUP($A433,'Base TOTAL'!A:AJ,2,0), "-")</f>
        <v>-</v>
      </c>
      <c r="C433" s="145" t="str">
        <f>IFERROR(VLOOKUP($A433,'Base TOTAL'!A:AJ,33,0), "-")</f>
        <v>-</v>
      </c>
      <c r="D433" s="146" t="str">
        <f>IFERROR(VLOOKUP($A433,'Base TOTAL'!A:AJ,34,0), "-")</f>
        <v>-</v>
      </c>
      <c r="E433" s="147" t="str">
        <f>IFERROR(VLOOKUP($A433,'Base TOTAL'!A:AJ,35,0), "-")</f>
        <v>-</v>
      </c>
      <c r="F433" s="133"/>
    </row>
    <row r="434" ht="30.0" customHeight="1">
      <c r="A434" s="144"/>
      <c r="B434" s="145" t="str">
        <f>IFERROR(VLOOKUP($A434,'Base TOTAL'!A:AJ,2,0), "-")</f>
        <v>-</v>
      </c>
      <c r="C434" s="145" t="str">
        <f>IFERROR(VLOOKUP($A434,'Base TOTAL'!A:AJ,33,0), "-")</f>
        <v>-</v>
      </c>
      <c r="D434" s="146" t="str">
        <f>IFERROR(VLOOKUP($A434,'Base TOTAL'!A:AJ,34,0), "-")</f>
        <v>-</v>
      </c>
      <c r="E434" s="147" t="str">
        <f>IFERROR(VLOOKUP($A434,'Base TOTAL'!A:AJ,35,0), "-")</f>
        <v>-</v>
      </c>
      <c r="F434" s="133"/>
    </row>
    <row r="435" ht="30.0" customHeight="1">
      <c r="A435" s="144"/>
      <c r="B435" s="145" t="str">
        <f>IFERROR(VLOOKUP($A435,'Base TOTAL'!A:AJ,2,0), "-")</f>
        <v>-</v>
      </c>
      <c r="C435" s="145" t="str">
        <f>IFERROR(VLOOKUP($A435,'Base TOTAL'!A:AJ,33,0), "-")</f>
        <v>-</v>
      </c>
      <c r="D435" s="146" t="str">
        <f>IFERROR(VLOOKUP($A435,'Base TOTAL'!A:AJ,34,0), "-")</f>
        <v>-</v>
      </c>
      <c r="E435" s="147" t="str">
        <f>IFERROR(VLOOKUP($A435,'Base TOTAL'!A:AJ,35,0), "-")</f>
        <v>-</v>
      </c>
      <c r="F435" s="133"/>
    </row>
    <row r="436" ht="30.0" customHeight="1">
      <c r="A436" s="144"/>
      <c r="B436" s="145" t="str">
        <f>IFERROR(VLOOKUP($A436,'Base TOTAL'!A:AJ,2,0), "-")</f>
        <v>-</v>
      </c>
      <c r="C436" s="145" t="str">
        <f>IFERROR(VLOOKUP($A436,'Base TOTAL'!A:AJ,33,0), "-")</f>
        <v>-</v>
      </c>
      <c r="D436" s="146" t="str">
        <f>IFERROR(VLOOKUP($A436,'Base TOTAL'!A:AJ,34,0), "-")</f>
        <v>-</v>
      </c>
      <c r="E436" s="147" t="str">
        <f>IFERROR(VLOOKUP($A436,'Base TOTAL'!A:AJ,35,0), "-")</f>
        <v>-</v>
      </c>
      <c r="F436" s="133"/>
    </row>
    <row r="437" ht="30.0" customHeight="1">
      <c r="A437" s="144"/>
      <c r="B437" s="145" t="str">
        <f>IFERROR(VLOOKUP($A437,'Base TOTAL'!A:AJ,2,0), "-")</f>
        <v>-</v>
      </c>
      <c r="C437" s="145" t="str">
        <f>IFERROR(VLOOKUP($A437,'Base TOTAL'!A:AJ,33,0), "-")</f>
        <v>-</v>
      </c>
      <c r="D437" s="146" t="str">
        <f>IFERROR(VLOOKUP($A437,'Base TOTAL'!A:AJ,34,0), "-")</f>
        <v>-</v>
      </c>
      <c r="E437" s="147" t="str">
        <f>IFERROR(VLOOKUP($A437,'Base TOTAL'!A:AJ,35,0), "-")</f>
        <v>-</v>
      </c>
      <c r="F437" s="133"/>
    </row>
    <row r="438" ht="30.0" customHeight="1">
      <c r="A438" s="144"/>
      <c r="B438" s="145" t="str">
        <f>IFERROR(VLOOKUP($A438,'Base TOTAL'!A:AJ,2,0), "-")</f>
        <v>-</v>
      </c>
      <c r="C438" s="145" t="str">
        <f>IFERROR(VLOOKUP($A438,'Base TOTAL'!A:AJ,33,0), "-")</f>
        <v>-</v>
      </c>
      <c r="D438" s="146" t="str">
        <f>IFERROR(VLOOKUP($A438,'Base TOTAL'!A:AJ,34,0), "-")</f>
        <v>-</v>
      </c>
      <c r="E438" s="147" t="str">
        <f>IFERROR(VLOOKUP($A438,'Base TOTAL'!A:AJ,35,0), "-")</f>
        <v>-</v>
      </c>
      <c r="F438" s="133"/>
    </row>
    <row r="439" ht="30.0" customHeight="1">
      <c r="A439" s="144"/>
      <c r="B439" s="145" t="str">
        <f>IFERROR(VLOOKUP($A439,'Base TOTAL'!A:AJ,2,0), "-")</f>
        <v>-</v>
      </c>
      <c r="C439" s="145" t="str">
        <f>IFERROR(VLOOKUP($A439,'Base TOTAL'!A:AJ,33,0), "-")</f>
        <v>-</v>
      </c>
      <c r="D439" s="146" t="str">
        <f>IFERROR(VLOOKUP($A439,'Base TOTAL'!A:AJ,34,0), "-")</f>
        <v>-</v>
      </c>
      <c r="E439" s="147" t="str">
        <f>IFERROR(VLOOKUP($A439,'Base TOTAL'!A:AJ,35,0), "-")</f>
        <v>-</v>
      </c>
      <c r="F439" s="133"/>
    </row>
    <row r="440" ht="30.0" customHeight="1">
      <c r="A440" s="144"/>
      <c r="B440" s="145" t="str">
        <f>IFERROR(VLOOKUP($A440,'Base TOTAL'!A:AJ,2,0), "-")</f>
        <v>-</v>
      </c>
      <c r="C440" s="145" t="str">
        <f>IFERROR(VLOOKUP($A440,'Base TOTAL'!A:AJ,33,0), "-")</f>
        <v>-</v>
      </c>
      <c r="D440" s="146" t="str">
        <f>IFERROR(VLOOKUP($A440,'Base TOTAL'!A:AJ,34,0), "-")</f>
        <v>-</v>
      </c>
      <c r="E440" s="147" t="str">
        <f>IFERROR(VLOOKUP($A440,'Base TOTAL'!A:AJ,35,0), "-")</f>
        <v>-</v>
      </c>
      <c r="F440" s="133"/>
    </row>
    <row r="441" ht="30.0" customHeight="1">
      <c r="A441" s="144"/>
      <c r="B441" s="145" t="str">
        <f>IFERROR(VLOOKUP($A441,'Base TOTAL'!A:AJ,2,0), "-")</f>
        <v>-</v>
      </c>
      <c r="C441" s="145" t="str">
        <f>IFERROR(VLOOKUP($A441,'Base TOTAL'!A:AJ,33,0), "-")</f>
        <v>-</v>
      </c>
      <c r="D441" s="146" t="str">
        <f>IFERROR(VLOOKUP($A441,'Base TOTAL'!A:AJ,34,0), "-")</f>
        <v>-</v>
      </c>
      <c r="E441" s="147" t="str">
        <f>IFERROR(VLOOKUP($A441,'Base TOTAL'!A:AJ,35,0), "-")</f>
        <v>-</v>
      </c>
      <c r="F441" s="133"/>
    </row>
    <row r="442" ht="30.0" customHeight="1">
      <c r="A442" s="144"/>
      <c r="B442" s="145" t="str">
        <f>IFERROR(VLOOKUP($A442,'Base TOTAL'!A:AJ,2,0), "-")</f>
        <v>-</v>
      </c>
      <c r="C442" s="145" t="str">
        <f>IFERROR(VLOOKUP($A442,'Base TOTAL'!A:AJ,33,0), "-")</f>
        <v>-</v>
      </c>
      <c r="D442" s="146" t="str">
        <f>IFERROR(VLOOKUP($A442,'Base TOTAL'!A:AJ,34,0), "-")</f>
        <v>-</v>
      </c>
      <c r="E442" s="147" t="str">
        <f>IFERROR(VLOOKUP($A442,'Base TOTAL'!A:AJ,35,0), "-")</f>
        <v>-</v>
      </c>
      <c r="F442" s="133"/>
    </row>
    <row r="443" ht="30.0" customHeight="1">
      <c r="A443" s="144"/>
      <c r="B443" s="145" t="str">
        <f>IFERROR(VLOOKUP($A443,'Base TOTAL'!A:AJ,2,0), "-")</f>
        <v>-</v>
      </c>
      <c r="C443" s="145" t="str">
        <f>IFERROR(VLOOKUP($A443,'Base TOTAL'!A:AJ,33,0), "-")</f>
        <v>-</v>
      </c>
      <c r="D443" s="146" t="str">
        <f>IFERROR(VLOOKUP($A443,'Base TOTAL'!A:AJ,34,0), "-")</f>
        <v>-</v>
      </c>
      <c r="E443" s="147" t="str">
        <f>IFERROR(VLOOKUP($A443,'Base TOTAL'!A:AJ,35,0), "-")</f>
        <v>-</v>
      </c>
      <c r="F443" s="133"/>
    </row>
    <row r="444" ht="30.0" customHeight="1">
      <c r="A444" s="144"/>
      <c r="B444" s="145" t="str">
        <f>IFERROR(VLOOKUP($A444,'Base TOTAL'!A:AJ,2,0), "-")</f>
        <v>-</v>
      </c>
      <c r="C444" s="145" t="str">
        <f>IFERROR(VLOOKUP($A444,'Base TOTAL'!A:AJ,33,0), "-")</f>
        <v>-</v>
      </c>
      <c r="D444" s="146" t="str">
        <f>IFERROR(VLOOKUP($A444,'Base TOTAL'!A:AJ,34,0), "-")</f>
        <v>-</v>
      </c>
      <c r="E444" s="147" t="str">
        <f>IFERROR(VLOOKUP($A444,'Base TOTAL'!A:AJ,35,0), "-")</f>
        <v>-</v>
      </c>
      <c r="F444" s="133"/>
    </row>
    <row r="445" ht="30.0" customHeight="1">
      <c r="A445" s="144"/>
      <c r="B445" s="145" t="str">
        <f>IFERROR(VLOOKUP($A445,'Base TOTAL'!A:AJ,2,0), "-")</f>
        <v>-</v>
      </c>
      <c r="C445" s="145" t="str">
        <f>IFERROR(VLOOKUP($A445,'Base TOTAL'!A:AJ,33,0), "-")</f>
        <v>-</v>
      </c>
      <c r="D445" s="146" t="str">
        <f>IFERROR(VLOOKUP($A445,'Base TOTAL'!A:AJ,34,0), "-")</f>
        <v>-</v>
      </c>
      <c r="E445" s="147" t="str">
        <f>IFERROR(VLOOKUP($A445,'Base TOTAL'!A:AJ,35,0), "-")</f>
        <v>-</v>
      </c>
      <c r="F445" s="133"/>
    </row>
    <row r="446" ht="30.0" customHeight="1">
      <c r="A446" s="144"/>
      <c r="B446" s="145" t="str">
        <f>IFERROR(VLOOKUP($A446,'Base TOTAL'!A:AJ,2,0), "-")</f>
        <v>-</v>
      </c>
      <c r="C446" s="145" t="str">
        <f>IFERROR(VLOOKUP($A446,'Base TOTAL'!A:AJ,33,0), "-")</f>
        <v>-</v>
      </c>
      <c r="D446" s="146" t="str">
        <f>IFERROR(VLOOKUP($A446,'Base TOTAL'!A:AJ,34,0), "-")</f>
        <v>-</v>
      </c>
      <c r="E446" s="147" t="str">
        <f>IFERROR(VLOOKUP($A446,'Base TOTAL'!A:AJ,35,0), "-")</f>
        <v>-</v>
      </c>
      <c r="F446" s="133"/>
    </row>
    <row r="447" ht="30.0" customHeight="1">
      <c r="A447" s="144"/>
      <c r="B447" s="145" t="str">
        <f>IFERROR(VLOOKUP($A447,'Base TOTAL'!A:AJ,2,0), "-")</f>
        <v>-</v>
      </c>
      <c r="C447" s="145" t="str">
        <f>IFERROR(VLOOKUP($A447,'Base TOTAL'!A:AJ,33,0), "-")</f>
        <v>-</v>
      </c>
      <c r="D447" s="146" t="str">
        <f>IFERROR(VLOOKUP($A447,'Base TOTAL'!A:AJ,34,0), "-")</f>
        <v>-</v>
      </c>
      <c r="E447" s="147" t="str">
        <f>IFERROR(VLOOKUP($A447,'Base TOTAL'!A:AJ,35,0), "-")</f>
        <v>-</v>
      </c>
      <c r="F447" s="133"/>
    </row>
    <row r="448" ht="30.0" customHeight="1">
      <c r="A448" s="144"/>
      <c r="B448" s="145" t="str">
        <f>IFERROR(VLOOKUP($A448,'Base TOTAL'!A:AJ,2,0), "-")</f>
        <v>-</v>
      </c>
      <c r="C448" s="145" t="str">
        <f>IFERROR(VLOOKUP($A448,'Base TOTAL'!A:AJ,33,0), "-")</f>
        <v>-</v>
      </c>
      <c r="D448" s="146" t="str">
        <f>IFERROR(VLOOKUP($A448,'Base TOTAL'!A:AJ,34,0), "-")</f>
        <v>-</v>
      </c>
      <c r="E448" s="147" t="str">
        <f>IFERROR(VLOOKUP($A448,'Base TOTAL'!A:AJ,35,0), "-")</f>
        <v>-</v>
      </c>
      <c r="F448" s="133"/>
    </row>
    <row r="449" ht="30.0" customHeight="1">
      <c r="A449" s="144"/>
      <c r="B449" s="145" t="str">
        <f>IFERROR(VLOOKUP($A449,'Base TOTAL'!A:AJ,2,0), "-")</f>
        <v>-</v>
      </c>
      <c r="C449" s="145" t="str">
        <f>IFERROR(VLOOKUP($A449,'Base TOTAL'!A:AJ,33,0), "-")</f>
        <v>-</v>
      </c>
      <c r="D449" s="146" t="str">
        <f>IFERROR(VLOOKUP($A449,'Base TOTAL'!A:AJ,34,0), "-")</f>
        <v>-</v>
      </c>
      <c r="E449" s="147" t="str">
        <f>IFERROR(VLOOKUP($A449,'Base TOTAL'!A:AJ,35,0), "-")</f>
        <v>-</v>
      </c>
      <c r="F449" s="133"/>
    </row>
    <row r="450" ht="30.0" customHeight="1">
      <c r="A450" s="144"/>
      <c r="B450" s="145" t="str">
        <f>IFERROR(VLOOKUP($A450,'Base TOTAL'!A:AJ,2,0), "-")</f>
        <v>-</v>
      </c>
      <c r="C450" s="145" t="str">
        <f>IFERROR(VLOOKUP($A450,'Base TOTAL'!A:AJ,33,0), "-")</f>
        <v>-</v>
      </c>
      <c r="D450" s="146" t="str">
        <f>IFERROR(VLOOKUP($A450,'Base TOTAL'!A:AJ,34,0), "-")</f>
        <v>-</v>
      </c>
      <c r="E450" s="147" t="str">
        <f>IFERROR(VLOOKUP($A450,'Base TOTAL'!A:AJ,35,0), "-")</f>
        <v>-</v>
      </c>
      <c r="F450" s="133"/>
    </row>
    <row r="451" ht="30.0" customHeight="1">
      <c r="A451" s="144"/>
      <c r="B451" s="145" t="str">
        <f>IFERROR(VLOOKUP($A451,'Base TOTAL'!A:AJ,2,0), "-")</f>
        <v>-</v>
      </c>
      <c r="C451" s="145" t="str">
        <f>IFERROR(VLOOKUP($A451,'Base TOTAL'!A:AJ,33,0), "-")</f>
        <v>-</v>
      </c>
      <c r="D451" s="146" t="str">
        <f>IFERROR(VLOOKUP($A451,'Base TOTAL'!A:AJ,34,0), "-")</f>
        <v>-</v>
      </c>
      <c r="E451" s="147" t="str">
        <f>IFERROR(VLOOKUP($A451,'Base TOTAL'!A:AJ,35,0), "-")</f>
        <v>-</v>
      </c>
      <c r="F451" s="133"/>
    </row>
    <row r="452" ht="30.0" customHeight="1">
      <c r="A452" s="144"/>
      <c r="B452" s="145" t="str">
        <f>IFERROR(VLOOKUP($A452,'Base TOTAL'!A:AJ,2,0), "-")</f>
        <v>-</v>
      </c>
      <c r="C452" s="145" t="str">
        <f>IFERROR(VLOOKUP($A452,'Base TOTAL'!A:AJ,33,0), "-")</f>
        <v>-</v>
      </c>
      <c r="D452" s="146" t="str">
        <f>IFERROR(VLOOKUP($A452,'Base TOTAL'!A:AJ,34,0), "-")</f>
        <v>-</v>
      </c>
      <c r="E452" s="147" t="str">
        <f>IFERROR(VLOOKUP($A452,'Base TOTAL'!A:AJ,35,0), "-")</f>
        <v>-</v>
      </c>
      <c r="F452" s="133"/>
    </row>
    <row r="453" ht="30.0" customHeight="1">
      <c r="A453" s="144"/>
      <c r="B453" s="145" t="str">
        <f>IFERROR(VLOOKUP($A453,'Base TOTAL'!A:AJ,2,0), "-")</f>
        <v>-</v>
      </c>
      <c r="C453" s="145" t="str">
        <f>IFERROR(VLOOKUP($A453,'Base TOTAL'!A:AJ,33,0), "-")</f>
        <v>-</v>
      </c>
      <c r="D453" s="146" t="str">
        <f>IFERROR(VLOOKUP($A453,'Base TOTAL'!A:AJ,34,0), "-")</f>
        <v>-</v>
      </c>
      <c r="E453" s="147" t="str">
        <f>IFERROR(VLOOKUP($A453,'Base TOTAL'!A:AJ,35,0), "-")</f>
        <v>-</v>
      </c>
      <c r="F453" s="133"/>
    </row>
    <row r="454" ht="30.0" customHeight="1">
      <c r="A454" s="144"/>
      <c r="B454" s="145" t="str">
        <f>IFERROR(VLOOKUP($A454,'Base TOTAL'!A:AJ,2,0), "-")</f>
        <v>-</v>
      </c>
      <c r="C454" s="145" t="str">
        <f>IFERROR(VLOOKUP($A454,'Base TOTAL'!A:AJ,33,0), "-")</f>
        <v>-</v>
      </c>
      <c r="D454" s="146" t="str">
        <f>IFERROR(VLOOKUP($A454,'Base TOTAL'!A:AJ,34,0), "-")</f>
        <v>-</v>
      </c>
      <c r="E454" s="147" t="str">
        <f>IFERROR(VLOOKUP($A454,'Base TOTAL'!A:AJ,35,0), "-")</f>
        <v>-</v>
      </c>
      <c r="F454" s="133"/>
    </row>
    <row r="455" ht="30.0" customHeight="1">
      <c r="A455" s="144"/>
      <c r="B455" s="145" t="str">
        <f>IFERROR(VLOOKUP($A455,'Base TOTAL'!A:AJ,2,0), "-")</f>
        <v>-</v>
      </c>
      <c r="C455" s="145" t="str">
        <f>IFERROR(VLOOKUP($A455,'Base TOTAL'!A:AJ,33,0), "-")</f>
        <v>-</v>
      </c>
      <c r="D455" s="146" t="str">
        <f>IFERROR(VLOOKUP($A455,'Base TOTAL'!A:AJ,34,0), "-")</f>
        <v>-</v>
      </c>
      <c r="E455" s="147" t="str">
        <f>IFERROR(VLOOKUP($A455,'Base TOTAL'!A:AJ,35,0), "-")</f>
        <v>-</v>
      </c>
      <c r="F455" s="133"/>
    </row>
    <row r="456" ht="30.0" customHeight="1">
      <c r="A456" s="144"/>
      <c r="B456" s="145" t="str">
        <f>IFERROR(VLOOKUP($A456,'Base TOTAL'!A:AJ,2,0), "-")</f>
        <v>-</v>
      </c>
      <c r="C456" s="145" t="str">
        <f>IFERROR(VLOOKUP($A456,'Base TOTAL'!A:AJ,33,0), "-")</f>
        <v>-</v>
      </c>
      <c r="D456" s="146" t="str">
        <f>IFERROR(VLOOKUP($A456,'Base TOTAL'!A:AJ,34,0), "-")</f>
        <v>-</v>
      </c>
      <c r="E456" s="147" t="str">
        <f>IFERROR(VLOOKUP($A456,'Base TOTAL'!A:AJ,35,0), "-")</f>
        <v>-</v>
      </c>
      <c r="F456" s="133"/>
    </row>
    <row r="457" ht="30.0" customHeight="1">
      <c r="A457" s="144"/>
      <c r="B457" s="145" t="str">
        <f>IFERROR(VLOOKUP($A457,'Base TOTAL'!A:AJ,2,0), "-")</f>
        <v>-</v>
      </c>
      <c r="C457" s="145" t="str">
        <f>IFERROR(VLOOKUP($A457,'Base TOTAL'!A:AJ,33,0), "-")</f>
        <v>-</v>
      </c>
      <c r="D457" s="146" t="str">
        <f>IFERROR(VLOOKUP($A457,'Base TOTAL'!A:AJ,34,0), "-")</f>
        <v>-</v>
      </c>
      <c r="E457" s="147" t="str">
        <f>IFERROR(VLOOKUP($A457,'Base TOTAL'!A:AJ,35,0), "-")</f>
        <v>-</v>
      </c>
      <c r="F457" s="133"/>
    </row>
    <row r="458" ht="30.0" customHeight="1">
      <c r="A458" s="144"/>
      <c r="B458" s="145" t="str">
        <f>IFERROR(VLOOKUP($A458,'Base TOTAL'!A:AJ,2,0), "-")</f>
        <v>-</v>
      </c>
      <c r="C458" s="145" t="str">
        <f>IFERROR(VLOOKUP($A458,'Base TOTAL'!A:AJ,33,0), "-")</f>
        <v>-</v>
      </c>
      <c r="D458" s="146" t="str">
        <f>IFERROR(VLOOKUP($A458,'Base TOTAL'!A:AJ,34,0), "-")</f>
        <v>-</v>
      </c>
      <c r="E458" s="147" t="str">
        <f>IFERROR(VLOOKUP($A458,'Base TOTAL'!A:AJ,35,0), "-")</f>
        <v>-</v>
      </c>
      <c r="F458" s="133"/>
    </row>
    <row r="459" ht="30.0" customHeight="1">
      <c r="A459" s="144"/>
      <c r="B459" s="145" t="str">
        <f>IFERROR(VLOOKUP($A459,'Base TOTAL'!A:AJ,2,0), "-")</f>
        <v>-</v>
      </c>
      <c r="C459" s="145" t="str">
        <f>IFERROR(VLOOKUP($A459,'Base TOTAL'!A:AJ,33,0), "-")</f>
        <v>-</v>
      </c>
      <c r="D459" s="146" t="str">
        <f>IFERROR(VLOOKUP($A459,'Base TOTAL'!A:AJ,34,0), "-")</f>
        <v>-</v>
      </c>
      <c r="E459" s="147" t="str">
        <f>IFERROR(VLOOKUP($A459,'Base TOTAL'!A:AJ,35,0), "-")</f>
        <v>-</v>
      </c>
      <c r="F459" s="133"/>
    </row>
    <row r="460" ht="30.0" customHeight="1">
      <c r="A460" s="144"/>
      <c r="B460" s="145" t="str">
        <f>IFERROR(VLOOKUP($A460,'Base TOTAL'!A:AJ,2,0), "-")</f>
        <v>-</v>
      </c>
      <c r="C460" s="145" t="str">
        <f>IFERROR(VLOOKUP($A460,'Base TOTAL'!A:AJ,33,0), "-")</f>
        <v>-</v>
      </c>
      <c r="D460" s="146" t="str">
        <f>IFERROR(VLOOKUP($A460,'Base TOTAL'!A:AJ,34,0), "-")</f>
        <v>-</v>
      </c>
      <c r="E460" s="147" t="str">
        <f>IFERROR(VLOOKUP($A460,'Base TOTAL'!A:AJ,35,0), "-")</f>
        <v>-</v>
      </c>
      <c r="F460" s="133"/>
    </row>
    <row r="461" ht="30.0" customHeight="1">
      <c r="A461" s="144"/>
      <c r="B461" s="145" t="str">
        <f>IFERROR(VLOOKUP($A461,'Base TOTAL'!A:AJ,2,0), "-")</f>
        <v>-</v>
      </c>
      <c r="C461" s="145" t="str">
        <f>IFERROR(VLOOKUP($A461,'Base TOTAL'!A:AJ,33,0), "-")</f>
        <v>-</v>
      </c>
      <c r="D461" s="146" t="str">
        <f>IFERROR(VLOOKUP($A461,'Base TOTAL'!A:AJ,34,0), "-")</f>
        <v>-</v>
      </c>
      <c r="E461" s="147" t="str">
        <f>IFERROR(VLOOKUP($A461,'Base TOTAL'!A:AJ,35,0), "-")</f>
        <v>-</v>
      </c>
      <c r="F461" s="133"/>
    </row>
    <row r="462" ht="30.0" customHeight="1">
      <c r="A462" s="144"/>
      <c r="B462" s="145" t="str">
        <f>IFERROR(VLOOKUP($A462,'Base TOTAL'!A:AJ,2,0), "-")</f>
        <v>-</v>
      </c>
      <c r="C462" s="145" t="str">
        <f>IFERROR(VLOOKUP($A462,'Base TOTAL'!A:AJ,33,0), "-")</f>
        <v>-</v>
      </c>
      <c r="D462" s="146" t="str">
        <f>IFERROR(VLOOKUP($A462,'Base TOTAL'!A:AJ,34,0), "-")</f>
        <v>-</v>
      </c>
      <c r="E462" s="147" t="str">
        <f>IFERROR(VLOOKUP($A462,'Base TOTAL'!A:AJ,35,0), "-")</f>
        <v>-</v>
      </c>
      <c r="F462" s="133"/>
    </row>
    <row r="463" ht="30.0" customHeight="1">
      <c r="A463" s="144"/>
      <c r="B463" s="145" t="str">
        <f>IFERROR(VLOOKUP($A463,'Base TOTAL'!A:AJ,2,0), "-")</f>
        <v>-</v>
      </c>
      <c r="C463" s="145" t="str">
        <f>IFERROR(VLOOKUP($A463,'Base TOTAL'!A:AJ,33,0), "-")</f>
        <v>-</v>
      </c>
      <c r="D463" s="146" t="str">
        <f>IFERROR(VLOOKUP($A463,'Base TOTAL'!A:AJ,34,0), "-")</f>
        <v>-</v>
      </c>
      <c r="E463" s="147" t="str">
        <f>IFERROR(VLOOKUP($A463,'Base TOTAL'!A:AJ,35,0), "-")</f>
        <v>-</v>
      </c>
      <c r="F463" s="133"/>
    </row>
    <row r="464" ht="30.0" customHeight="1">
      <c r="A464" s="144"/>
      <c r="B464" s="145" t="str">
        <f>IFERROR(VLOOKUP($A464,'Base TOTAL'!A:AJ,2,0), "-")</f>
        <v>-</v>
      </c>
      <c r="C464" s="145" t="str">
        <f>IFERROR(VLOOKUP($A464,'Base TOTAL'!A:AJ,33,0), "-")</f>
        <v>-</v>
      </c>
      <c r="D464" s="146" t="str">
        <f>IFERROR(VLOOKUP($A464,'Base TOTAL'!A:AJ,34,0), "-")</f>
        <v>-</v>
      </c>
      <c r="E464" s="147" t="str">
        <f>IFERROR(VLOOKUP($A464,'Base TOTAL'!A:AJ,35,0), "-")</f>
        <v>-</v>
      </c>
      <c r="F464" s="133"/>
    </row>
    <row r="465" ht="30.0" customHeight="1">
      <c r="A465" s="144"/>
      <c r="B465" s="145" t="str">
        <f>IFERROR(VLOOKUP($A465,'Base TOTAL'!A:AJ,2,0), "-")</f>
        <v>-</v>
      </c>
      <c r="C465" s="145" t="str">
        <f>IFERROR(VLOOKUP($A465,'Base TOTAL'!A:AJ,33,0), "-")</f>
        <v>-</v>
      </c>
      <c r="D465" s="146" t="str">
        <f>IFERROR(VLOOKUP($A465,'Base TOTAL'!A:AJ,34,0), "-")</f>
        <v>-</v>
      </c>
      <c r="E465" s="147" t="str">
        <f>IFERROR(VLOOKUP($A465,'Base TOTAL'!A:AJ,35,0), "-")</f>
        <v>-</v>
      </c>
      <c r="F465" s="133"/>
    </row>
    <row r="466" ht="30.0" customHeight="1">
      <c r="A466" s="144"/>
      <c r="B466" s="145" t="str">
        <f>IFERROR(VLOOKUP($A466,'Base TOTAL'!A:AJ,2,0), "-")</f>
        <v>-</v>
      </c>
      <c r="C466" s="145" t="str">
        <f>IFERROR(VLOOKUP($A466,'Base TOTAL'!A:AJ,33,0), "-")</f>
        <v>-</v>
      </c>
      <c r="D466" s="146" t="str">
        <f>IFERROR(VLOOKUP($A466,'Base TOTAL'!A:AJ,34,0), "-")</f>
        <v>-</v>
      </c>
      <c r="E466" s="147" t="str">
        <f>IFERROR(VLOOKUP($A466,'Base TOTAL'!A:AJ,35,0), "-")</f>
        <v>-</v>
      </c>
      <c r="F466" s="133"/>
    </row>
    <row r="467" ht="30.0" customHeight="1">
      <c r="A467" s="144"/>
      <c r="B467" s="145" t="str">
        <f>IFERROR(VLOOKUP($A467,'Base TOTAL'!A:AJ,2,0), "-")</f>
        <v>-</v>
      </c>
      <c r="C467" s="145" t="str">
        <f>IFERROR(VLOOKUP($A467,'Base TOTAL'!A:AJ,33,0), "-")</f>
        <v>-</v>
      </c>
      <c r="D467" s="146" t="str">
        <f>IFERROR(VLOOKUP($A467,'Base TOTAL'!A:AJ,34,0), "-")</f>
        <v>-</v>
      </c>
      <c r="E467" s="147" t="str">
        <f>IFERROR(VLOOKUP($A467,'Base TOTAL'!A:AJ,35,0), "-")</f>
        <v>-</v>
      </c>
      <c r="F467" s="133"/>
    </row>
    <row r="468" ht="30.0" customHeight="1">
      <c r="A468" s="144"/>
      <c r="B468" s="145" t="str">
        <f>IFERROR(VLOOKUP($A468,'Base TOTAL'!A:AJ,2,0), "-")</f>
        <v>-</v>
      </c>
      <c r="C468" s="145" t="str">
        <f>IFERROR(VLOOKUP($A468,'Base TOTAL'!A:AJ,33,0), "-")</f>
        <v>-</v>
      </c>
      <c r="D468" s="146" t="str">
        <f>IFERROR(VLOOKUP($A468,'Base TOTAL'!A:AJ,34,0), "-")</f>
        <v>-</v>
      </c>
      <c r="E468" s="147" t="str">
        <f>IFERROR(VLOOKUP($A468,'Base TOTAL'!A:AJ,35,0), "-")</f>
        <v>-</v>
      </c>
      <c r="F468" s="133"/>
    </row>
    <row r="469" ht="30.0" customHeight="1">
      <c r="A469" s="144"/>
      <c r="B469" s="145" t="str">
        <f>IFERROR(VLOOKUP($A469,'Base TOTAL'!A:AJ,2,0), "-")</f>
        <v>-</v>
      </c>
      <c r="C469" s="145" t="str">
        <f>IFERROR(VLOOKUP($A469,'Base TOTAL'!A:AJ,33,0), "-")</f>
        <v>-</v>
      </c>
      <c r="D469" s="146" t="str">
        <f>IFERROR(VLOOKUP($A469,'Base TOTAL'!A:AJ,34,0), "-")</f>
        <v>-</v>
      </c>
      <c r="E469" s="147" t="str">
        <f>IFERROR(VLOOKUP($A469,'Base TOTAL'!A:AJ,35,0), "-")</f>
        <v>-</v>
      </c>
      <c r="F469" s="133"/>
    </row>
    <row r="470" ht="30.0" customHeight="1">
      <c r="A470" s="144"/>
      <c r="B470" s="145" t="str">
        <f>IFERROR(VLOOKUP($A470,'Base TOTAL'!A:AJ,2,0), "-")</f>
        <v>-</v>
      </c>
      <c r="C470" s="145" t="str">
        <f>IFERROR(VLOOKUP($A470,'Base TOTAL'!A:AJ,33,0), "-")</f>
        <v>-</v>
      </c>
      <c r="D470" s="146" t="str">
        <f>IFERROR(VLOOKUP($A470,'Base TOTAL'!A:AJ,34,0), "-")</f>
        <v>-</v>
      </c>
      <c r="E470" s="147" t="str">
        <f>IFERROR(VLOOKUP($A470,'Base TOTAL'!A:AJ,35,0), "-")</f>
        <v>-</v>
      </c>
      <c r="F470" s="133"/>
    </row>
    <row r="471" ht="30.0" customHeight="1">
      <c r="A471" s="144"/>
      <c r="B471" s="145" t="str">
        <f>IFERROR(VLOOKUP($A471,'Base TOTAL'!A:AJ,2,0), "-")</f>
        <v>-</v>
      </c>
      <c r="C471" s="145" t="str">
        <f>IFERROR(VLOOKUP($A471,'Base TOTAL'!A:AJ,33,0), "-")</f>
        <v>-</v>
      </c>
      <c r="D471" s="146" t="str">
        <f>IFERROR(VLOOKUP($A471,'Base TOTAL'!A:AJ,34,0), "-")</f>
        <v>-</v>
      </c>
      <c r="E471" s="147" t="str">
        <f>IFERROR(VLOOKUP($A471,'Base TOTAL'!A:AJ,35,0), "-")</f>
        <v>-</v>
      </c>
      <c r="F471" s="133"/>
    </row>
    <row r="472" ht="30.0" customHeight="1">
      <c r="A472" s="144"/>
      <c r="B472" s="145" t="str">
        <f>IFERROR(VLOOKUP($A472,'Base TOTAL'!A:AJ,2,0), "-")</f>
        <v>-</v>
      </c>
      <c r="C472" s="145" t="str">
        <f>IFERROR(VLOOKUP($A472,'Base TOTAL'!A:AJ,33,0), "-")</f>
        <v>-</v>
      </c>
      <c r="D472" s="146" t="str">
        <f>IFERROR(VLOOKUP($A472,'Base TOTAL'!A:AJ,34,0), "-")</f>
        <v>-</v>
      </c>
      <c r="E472" s="147" t="str">
        <f>IFERROR(VLOOKUP($A472,'Base TOTAL'!A:AJ,35,0), "-")</f>
        <v>-</v>
      </c>
      <c r="F472" s="133"/>
    </row>
    <row r="473" ht="30.0" customHeight="1">
      <c r="A473" s="144"/>
      <c r="B473" s="145" t="str">
        <f>IFERROR(VLOOKUP($A473,'Base TOTAL'!A:AJ,2,0), "-")</f>
        <v>-</v>
      </c>
      <c r="C473" s="145" t="str">
        <f>IFERROR(VLOOKUP($A473,'Base TOTAL'!A:AJ,33,0), "-")</f>
        <v>-</v>
      </c>
      <c r="D473" s="146" t="str">
        <f>IFERROR(VLOOKUP($A473,'Base TOTAL'!A:AJ,34,0), "-")</f>
        <v>-</v>
      </c>
      <c r="E473" s="147" t="str">
        <f>IFERROR(VLOOKUP($A473,'Base TOTAL'!A:AJ,35,0), "-")</f>
        <v>-</v>
      </c>
      <c r="F473" s="133"/>
    </row>
    <row r="474" ht="30.0" customHeight="1">
      <c r="A474" s="144"/>
      <c r="B474" s="145" t="str">
        <f>IFERROR(VLOOKUP($A474,'Base TOTAL'!A:AJ,2,0), "-")</f>
        <v>-</v>
      </c>
      <c r="C474" s="145" t="str">
        <f>IFERROR(VLOOKUP($A474,'Base TOTAL'!A:AJ,33,0), "-")</f>
        <v>-</v>
      </c>
      <c r="D474" s="146" t="str">
        <f>IFERROR(VLOOKUP($A474,'Base TOTAL'!A:AJ,34,0), "-")</f>
        <v>-</v>
      </c>
      <c r="E474" s="147" t="str">
        <f>IFERROR(VLOOKUP($A474,'Base TOTAL'!A:AJ,35,0), "-")</f>
        <v>-</v>
      </c>
      <c r="F474" s="133"/>
    </row>
    <row r="475" ht="30.0" customHeight="1">
      <c r="A475" s="144"/>
      <c r="B475" s="145" t="str">
        <f>IFERROR(VLOOKUP($A475,'Base TOTAL'!A:AJ,2,0), "-")</f>
        <v>-</v>
      </c>
      <c r="C475" s="145" t="str">
        <f>IFERROR(VLOOKUP($A475,'Base TOTAL'!A:AJ,33,0), "-")</f>
        <v>-</v>
      </c>
      <c r="D475" s="146" t="str">
        <f>IFERROR(VLOOKUP($A475,'Base TOTAL'!A:AJ,34,0), "-")</f>
        <v>-</v>
      </c>
      <c r="E475" s="147" t="str">
        <f>IFERROR(VLOOKUP($A475,'Base TOTAL'!A:AJ,35,0), "-")</f>
        <v>-</v>
      </c>
      <c r="F475" s="133"/>
    </row>
    <row r="476" ht="30.0" customHeight="1">
      <c r="A476" s="144"/>
      <c r="B476" s="145" t="str">
        <f>IFERROR(VLOOKUP($A476,'Base TOTAL'!A:AJ,2,0), "-")</f>
        <v>-</v>
      </c>
      <c r="C476" s="145" t="str">
        <f>IFERROR(VLOOKUP($A476,'Base TOTAL'!A:AJ,33,0), "-")</f>
        <v>-</v>
      </c>
      <c r="D476" s="146" t="str">
        <f>IFERROR(VLOOKUP($A476,'Base TOTAL'!A:AJ,34,0), "-")</f>
        <v>-</v>
      </c>
      <c r="E476" s="147" t="str">
        <f>IFERROR(VLOOKUP($A476,'Base TOTAL'!A:AJ,35,0), "-")</f>
        <v>-</v>
      </c>
      <c r="F476" s="133"/>
    </row>
    <row r="477" ht="30.0" customHeight="1">
      <c r="A477" s="144"/>
      <c r="B477" s="145" t="str">
        <f>IFERROR(VLOOKUP($A477,'Base TOTAL'!A:AJ,2,0), "-")</f>
        <v>-</v>
      </c>
      <c r="C477" s="145" t="str">
        <f>IFERROR(VLOOKUP($A477,'Base TOTAL'!A:AJ,33,0), "-")</f>
        <v>-</v>
      </c>
      <c r="D477" s="146" t="str">
        <f>IFERROR(VLOOKUP($A477,'Base TOTAL'!A:AJ,34,0), "-")</f>
        <v>-</v>
      </c>
      <c r="E477" s="147" t="str">
        <f>IFERROR(VLOOKUP($A477,'Base TOTAL'!A:AJ,35,0), "-")</f>
        <v>-</v>
      </c>
      <c r="F477" s="133"/>
    </row>
    <row r="478" ht="30.0" customHeight="1">
      <c r="A478" s="144"/>
      <c r="B478" s="145" t="str">
        <f>IFERROR(VLOOKUP($A478,'Base TOTAL'!A:AJ,2,0), "-")</f>
        <v>-</v>
      </c>
      <c r="C478" s="145" t="str">
        <f>IFERROR(VLOOKUP($A478,'Base TOTAL'!A:AJ,33,0), "-")</f>
        <v>-</v>
      </c>
      <c r="D478" s="146" t="str">
        <f>IFERROR(VLOOKUP($A478,'Base TOTAL'!A:AJ,34,0), "-")</f>
        <v>-</v>
      </c>
      <c r="E478" s="147" t="str">
        <f>IFERROR(VLOOKUP($A478,'Base TOTAL'!A:AJ,35,0), "-")</f>
        <v>-</v>
      </c>
      <c r="F478" s="133"/>
    </row>
    <row r="479" ht="30.0" customHeight="1">
      <c r="A479" s="144"/>
      <c r="B479" s="145" t="str">
        <f>IFERROR(VLOOKUP($A479,'Base TOTAL'!A:AJ,2,0), "-")</f>
        <v>-</v>
      </c>
      <c r="C479" s="145" t="str">
        <f>IFERROR(VLOOKUP($A479,'Base TOTAL'!A:AJ,33,0), "-")</f>
        <v>-</v>
      </c>
      <c r="D479" s="146" t="str">
        <f>IFERROR(VLOOKUP($A479,'Base TOTAL'!A:AJ,34,0), "-")</f>
        <v>-</v>
      </c>
      <c r="E479" s="147" t="str">
        <f>IFERROR(VLOOKUP($A479,'Base TOTAL'!A:AJ,35,0), "-")</f>
        <v>-</v>
      </c>
      <c r="F479" s="133"/>
    </row>
    <row r="480" ht="30.0" customHeight="1">
      <c r="A480" s="144"/>
      <c r="B480" s="145" t="str">
        <f>IFERROR(VLOOKUP($A480,'Base TOTAL'!A:AJ,2,0), "-")</f>
        <v>-</v>
      </c>
      <c r="C480" s="145" t="str">
        <f>IFERROR(VLOOKUP($A480,'Base TOTAL'!A:AJ,33,0), "-")</f>
        <v>-</v>
      </c>
      <c r="D480" s="146" t="str">
        <f>IFERROR(VLOOKUP($A480,'Base TOTAL'!A:AJ,34,0), "-")</f>
        <v>-</v>
      </c>
      <c r="E480" s="147" t="str">
        <f>IFERROR(VLOOKUP($A480,'Base TOTAL'!A:AJ,35,0), "-")</f>
        <v>-</v>
      </c>
      <c r="F480" s="133"/>
    </row>
    <row r="481" ht="30.0" customHeight="1">
      <c r="A481" s="144"/>
      <c r="B481" s="145" t="str">
        <f>IFERROR(VLOOKUP($A481,'Base TOTAL'!A:AJ,2,0), "-")</f>
        <v>-</v>
      </c>
      <c r="C481" s="145" t="str">
        <f>IFERROR(VLOOKUP($A481,'Base TOTAL'!A:AJ,33,0), "-")</f>
        <v>-</v>
      </c>
      <c r="D481" s="146" t="str">
        <f>IFERROR(VLOOKUP($A481,'Base TOTAL'!A:AJ,34,0), "-")</f>
        <v>-</v>
      </c>
      <c r="E481" s="147" t="str">
        <f>IFERROR(VLOOKUP($A481,'Base TOTAL'!A:AJ,35,0), "-")</f>
        <v>-</v>
      </c>
      <c r="F481" s="133"/>
    </row>
    <row r="482" ht="30.0" customHeight="1">
      <c r="A482" s="144"/>
      <c r="B482" s="145" t="str">
        <f>IFERROR(VLOOKUP($A482,'Base TOTAL'!A:AJ,2,0), "-")</f>
        <v>-</v>
      </c>
      <c r="C482" s="145" t="str">
        <f>IFERROR(VLOOKUP($A482,'Base TOTAL'!A:AJ,33,0), "-")</f>
        <v>-</v>
      </c>
      <c r="D482" s="146" t="str">
        <f>IFERROR(VLOOKUP($A482,'Base TOTAL'!A:AJ,34,0), "-")</f>
        <v>-</v>
      </c>
      <c r="E482" s="147" t="str">
        <f>IFERROR(VLOOKUP($A482,'Base TOTAL'!A:AJ,35,0), "-")</f>
        <v>-</v>
      </c>
      <c r="F482" s="133"/>
    </row>
    <row r="483" ht="30.0" customHeight="1">
      <c r="A483" s="144"/>
      <c r="B483" s="145" t="str">
        <f>IFERROR(VLOOKUP($A483,'Base TOTAL'!A:AJ,2,0), "-")</f>
        <v>-</v>
      </c>
      <c r="C483" s="145" t="str">
        <f>IFERROR(VLOOKUP($A483,'Base TOTAL'!A:AJ,33,0), "-")</f>
        <v>-</v>
      </c>
      <c r="D483" s="146" t="str">
        <f>IFERROR(VLOOKUP($A483,'Base TOTAL'!A:AJ,34,0), "-")</f>
        <v>-</v>
      </c>
      <c r="E483" s="147" t="str">
        <f>IFERROR(VLOOKUP($A483,'Base TOTAL'!A:AJ,35,0), "-")</f>
        <v>-</v>
      </c>
      <c r="F483" s="133"/>
    </row>
    <row r="484" ht="30.0" customHeight="1">
      <c r="A484" s="144"/>
      <c r="B484" s="145" t="str">
        <f>IFERROR(VLOOKUP($A484,'Base TOTAL'!A:AJ,2,0), "-")</f>
        <v>-</v>
      </c>
      <c r="C484" s="145" t="str">
        <f>IFERROR(VLOOKUP($A484,'Base TOTAL'!A:AJ,33,0), "-")</f>
        <v>-</v>
      </c>
      <c r="D484" s="146" t="str">
        <f>IFERROR(VLOOKUP($A484,'Base TOTAL'!A:AJ,34,0), "-")</f>
        <v>-</v>
      </c>
      <c r="E484" s="147" t="str">
        <f>IFERROR(VLOOKUP($A484,'Base TOTAL'!A:AJ,35,0), "-")</f>
        <v>-</v>
      </c>
      <c r="F484" s="133"/>
    </row>
    <row r="485" ht="30.0" customHeight="1">
      <c r="A485" s="144"/>
      <c r="B485" s="145" t="str">
        <f>IFERROR(VLOOKUP($A485,'Base TOTAL'!A:AJ,2,0), "-")</f>
        <v>-</v>
      </c>
      <c r="C485" s="145" t="str">
        <f>IFERROR(VLOOKUP($A485,'Base TOTAL'!A:AJ,33,0), "-")</f>
        <v>-</v>
      </c>
      <c r="D485" s="146" t="str">
        <f>IFERROR(VLOOKUP($A485,'Base TOTAL'!A:AJ,34,0), "-")</f>
        <v>-</v>
      </c>
      <c r="E485" s="147" t="str">
        <f>IFERROR(VLOOKUP($A485,'Base TOTAL'!A:AJ,35,0), "-")</f>
        <v>-</v>
      </c>
      <c r="F485" s="133"/>
    </row>
    <row r="486" ht="30.0" customHeight="1">
      <c r="A486" s="144"/>
      <c r="B486" s="145" t="str">
        <f>IFERROR(VLOOKUP($A486,'Base TOTAL'!A:AJ,2,0), "-")</f>
        <v>-</v>
      </c>
      <c r="C486" s="145" t="str">
        <f>IFERROR(VLOOKUP($A486,'Base TOTAL'!A:AJ,33,0), "-")</f>
        <v>-</v>
      </c>
      <c r="D486" s="146" t="str">
        <f>IFERROR(VLOOKUP($A486,'Base TOTAL'!A:AJ,34,0), "-")</f>
        <v>-</v>
      </c>
      <c r="E486" s="147" t="str">
        <f>IFERROR(VLOOKUP($A486,'Base TOTAL'!A:AJ,35,0), "-")</f>
        <v>-</v>
      </c>
      <c r="F486" s="133"/>
    </row>
    <row r="487" ht="30.0" customHeight="1">
      <c r="A487" s="144"/>
      <c r="B487" s="145" t="str">
        <f>IFERROR(VLOOKUP($A487,'Base TOTAL'!A:AJ,2,0), "-")</f>
        <v>-</v>
      </c>
      <c r="C487" s="145" t="str">
        <f>IFERROR(VLOOKUP($A487,'Base TOTAL'!A:AJ,33,0), "-")</f>
        <v>-</v>
      </c>
      <c r="D487" s="146" t="str">
        <f>IFERROR(VLOOKUP($A487,'Base TOTAL'!A:AJ,34,0), "-")</f>
        <v>-</v>
      </c>
      <c r="E487" s="147" t="str">
        <f>IFERROR(VLOOKUP($A487,'Base TOTAL'!A:AJ,35,0), "-")</f>
        <v>-</v>
      </c>
      <c r="F487" s="133"/>
    </row>
    <row r="488" ht="30.0" customHeight="1">
      <c r="A488" s="144"/>
      <c r="B488" s="145" t="str">
        <f>IFERROR(VLOOKUP($A488,'Base TOTAL'!A:AJ,2,0), "-")</f>
        <v>-</v>
      </c>
      <c r="C488" s="145" t="str">
        <f>IFERROR(VLOOKUP($A488,'Base TOTAL'!A:AJ,33,0), "-")</f>
        <v>-</v>
      </c>
      <c r="D488" s="146" t="str">
        <f>IFERROR(VLOOKUP($A488,'Base TOTAL'!A:AJ,34,0), "-")</f>
        <v>-</v>
      </c>
      <c r="E488" s="147" t="str">
        <f>IFERROR(VLOOKUP($A488,'Base TOTAL'!A:AJ,35,0), "-")</f>
        <v>-</v>
      </c>
      <c r="F488" s="133"/>
    </row>
    <row r="489" ht="30.0" customHeight="1">
      <c r="A489" s="144"/>
      <c r="B489" s="145" t="str">
        <f>IFERROR(VLOOKUP($A489,'Base TOTAL'!A:AJ,2,0), "-")</f>
        <v>-</v>
      </c>
      <c r="C489" s="145" t="str">
        <f>IFERROR(VLOOKUP($A489,'Base TOTAL'!A:AJ,33,0), "-")</f>
        <v>-</v>
      </c>
      <c r="D489" s="146" t="str">
        <f>IFERROR(VLOOKUP($A489,'Base TOTAL'!A:AJ,34,0), "-")</f>
        <v>-</v>
      </c>
      <c r="E489" s="147" t="str">
        <f>IFERROR(VLOOKUP($A489,'Base TOTAL'!A:AJ,35,0), "-")</f>
        <v>-</v>
      </c>
      <c r="F489" s="133"/>
    </row>
    <row r="490" ht="30.0" customHeight="1">
      <c r="A490" s="144"/>
      <c r="B490" s="145" t="str">
        <f>IFERROR(VLOOKUP($A490,'Base TOTAL'!A:AJ,2,0), "-")</f>
        <v>-</v>
      </c>
      <c r="C490" s="145" t="str">
        <f>IFERROR(VLOOKUP($A490,'Base TOTAL'!A:AJ,33,0), "-")</f>
        <v>-</v>
      </c>
      <c r="D490" s="146" t="str">
        <f>IFERROR(VLOOKUP($A490,'Base TOTAL'!A:AJ,34,0), "-")</f>
        <v>-</v>
      </c>
      <c r="E490" s="147" t="str">
        <f>IFERROR(VLOOKUP($A490,'Base TOTAL'!A:AJ,35,0), "-")</f>
        <v>-</v>
      </c>
      <c r="F490" s="133"/>
    </row>
    <row r="491" ht="30.0" customHeight="1">
      <c r="A491" s="144"/>
      <c r="B491" s="145" t="str">
        <f>IFERROR(VLOOKUP($A491,'Base TOTAL'!A:AJ,2,0), "-")</f>
        <v>-</v>
      </c>
      <c r="C491" s="145" t="str">
        <f>IFERROR(VLOOKUP($A491,'Base TOTAL'!A:AJ,33,0), "-")</f>
        <v>-</v>
      </c>
      <c r="D491" s="146" t="str">
        <f>IFERROR(VLOOKUP($A491,'Base TOTAL'!A:AJ,34,0), "-")</f>
        <v>-</v>
      </c>
      <c r="E491" s="147" t="str">
        <f>IFERROR(VLOOKUP($A491,'Base TOTAL'!A:AJ,35,0), "-")</f>
        <v>-</v>
      </c>
      <c r="F491" s="133"/>
    </row>
    <row r="492" ht="30.0" customHeight="1">
      <c r="A492" s="144"/>
      <c r="B492" s="145" t="str">
        <f>IFERROR(VLOOKUP($A492,'Base TOTAL'!A:AJ,2,0), "-")</f>
        <v>-</v>
      </c>
      <c r="C492" s="145" t="str">
        <f>IFERROR(VLOOKUP($A492,'Base TOTAL'!A:AJ,33,0), "-")</f>
        <v>-</v>
      </c>
      <c r="D492" s="146" t="str">
        <f>IFERROR(VLOOKUP($A492,'Base TOTAL'!A:AJ,34,0), "-")</f>
        <v>-</v>
      </c>
      <c r="E492" s="147" t="str">
        <f>IFERROR(VLOOKUP($A492,'Base TOTAL'!A:AJ,35,0), "-")</f>
        <v>-</v>
      </c>
      <c r="F492" s="133"/>
    </row>
    <row r="493" ht="30.0" customHeight="1">
      <c r="A493" s="144"/>
      <c r="B493" s="145" t="str">
        <f>IFERROR(VLOOKUP($A493,'Base TOTAL'!A:AJ,2,0), "-")</f>
        <v>-</v>
      </c>
      <c r="C493" s="145" t="str">
        <f>IFERROR(VLOOKUP($A493,'Base TOTAL'!A:AJ,33,0), "-")</f>
        <v>-</v>
      </c>
      <c r="D493" s="146" t="str">
        <f>IFERROR(VLOOKUP($A493,'Base TOTAL'!A:AJ,34,0), "-")</f>
        <v>-</v>
      </c>
      <c r="E493" s="147" t="str">
        <f>IFERROR(VLOOKUP($A493,'Base TOTAL'!A:AJ,35,0), "-")</f>
        <v>-</v>
      </c>
      <c r="F493" s="133"/>
    </row>
    <row r="494" ht="30.0" customHeight="1">
      <c r="A494" s="144"/>
      <c r="B494" s="145" t="str">
        <f>IFERROR(VLOOKUP($A494,'Base TOTAL'!A:AJ,2,0), "-")</f>
        <v>-</v>
      </c>
      <c r="C494" s="145" t="str">
        <f>IFERROR(VLOOKUP($A494,'Base TOTAL'!A:AJ,33,0), "-")</f>
        <v>-</v>
      </c>
      <c r="D494" s="146" t="str">
        <f>IFERROR(VLOOKUP($A494,'Base TOTAL'!A:AJ,34,0), "-")</f>
        <v>-</v>
      </c>
      <c r="E494" s="147" t="str">
        <f>IFERROR(VLOOKUP($A494,'Base TOTAL'!A:AJ,35,0), "-")</f>
        <v>-</v>
      </c>
      <c r="F494" s="133"/>
    </row>
    <row r="495" ht="30.0" customHeight="1">
      <c r="A495" s="144"/>
      <c r="B495" s="145" t="str">
        <f>IFERROR(VLOOKUP($A495,'Base TOTAL'!A:AJ,2,0), "-")</f>
        <v>-</v>
      </c>
      <c r="C495" s="145" t="str">
        <f>IFERROR(VLOOKUP($A495,'Base TOTAL'!A:AJ,33,0), "-")</f>
        <v>-</v>
      </c>
      <c r="D495" s="146" t="str">
        <f>IFERROR(VLOOKUP($A495,'Base TOTAL'!A:AJ,34,0), "-")</f>
        <v>-</v>
      </c>
      <c r="E495" s="147" t="str">
        <f>IFERROR(VLOOKUP($A495,'Base TOTAL'!A:AJ,35,0), "-")</f>
        <v>-</v>
      </c>
      <c r="F495" s="133"/>
    </row>
    <row r="496" ht="30.0" customHeight="1">
      <c r="A496" s="144"/>
      <c r="B496" s="145" t="str">
        <f>IFERROR(VLOOKUP($A496,'Base TOTAL'!A:AJ,2,0), "-")</f>
        <v>-</v>
      </c>
      <c r="C496" s="145" t="str">
        <f>IFERROR(VLOOKUP($A496,'Base TOTAL'!A:AJ,33,0), "-")</f>
        <v>-</v>
      </c>
      <c r="D496" s="146" t="str">
        <f>IFERROR(VLOOKUP($A496,'Base TOTAL'!A:AJ,34,0), "-")</f>
        <v>-</v>
      </c>
      <c r="E496" s="147" t="str">
        <f>IFERROR(VLOOKUP($A496,'Base TOTAL'!A:AJ,35,0), "-")</f>
        <v>-</v>
      </c>
      <c r="F496" s="133"/>
    </row>
    <row r="497" ht="30.0" customHeight="1">
      <c r="A497" s="144"/>
      <c r="B497" s="145" t="str">
        <f>IFERROR(VLOOKUP($A497,'Base TOTAL'!A:AJ,2,0), "-")</f>
        <v>-</v>
      </c>
      <c r="C497" s="145" t="str">
        <f>IFERROR(VLOOKUP($A497,'Base TOTAL'!A:AJ,33,0), "-")</f>
        <v>-</v>
      </c>
      <c r="D497" s="146" t="str">
        <f>IFERROR(VLOOKUP($A497,'Base TOTAL'!A:AJ,34,0), "-")</f>
        <v>-</v>
      </c>
      <c r="E497" s="147" t="str">
        <f>IFERROR(VLOOKUP($A497,'Base TOTAL'!A:AJ,35,0), "-")</f>
        <v>-</v>
      </c>
      <c r="F497" s="133"/>
    </row>
    <row r="498" ht="30.0" customHeight="1">
      <c r="A498" s="144"/>
      <c r="B498" s="145" t="str">
        <f>IFERROR(VLOOKUP($A498,'Base TOTAL'!A:AJ,2,0), "-")</f>
        <v>-</v>
      </c>
      <c r="C498" s="145" t="str">
        <f>IFERROR(VLOOKUP($A498,'Base TOTAL'!A:AJ,33,0), "-")</f>
        <v>-</v>
      </c>
      <c r="D498" s="146" t="str">
        <f>IFERROR(VLOOKUP($A498,'Base TOTAL'!A:AJ,34,0), "-")</f>
        <v>-</v>
      </c>
      <c r="E498" s="147" t="str">
        <f>IFERROR(VLOOKUP($A498,'Base TOTAL'!A:AJ,35,0), "-")</f>
        <v>-</v>
      </c>
      <c r="F498" s="133"/>
    </row>
    <row r="499" ht="30.0" customHeight="1">
      <c r="A499" s="144"/>
      <c r="B499" s="145" t="str">
        <f>IFERROR(VLOOKUP($A499,'Base TOTAL'!A:AJ,2,0), "-")</f>
        <v>-</v>
      </c>
      <c r="C499" s="145" t="str">
        <f>IFERROR(VLOOKUP($A499,'Base TOTAL'!A:AJ,33,0), "-")</f>
        <v>-</v>
      </c>
      <c r="D499" s="146" t="str">
        <f>IFERROR(VLOOKUP($A499,'Base TOTAL'!A:AJ,34,0), "-")</f>
        <v>-</v>
      </c>
      <c r="E499" s="147" t="str">
        <f>IFERROR(VLOOKUP($A499,'Base TOTAL'!A:AJ,35,0), "-")</f>
        <v>-</v>
      </c>
      <c r="F499" s="133"/>
    </row>
    <row r="500" ht="30.0" customHeight="1">
      <c r="A500" s="144"/>
      <c r="B500" s="145" t="str">
        <f>IFERROR(VLOOKUP($A500,'Base TOTAL'!A:AJ,2,0), "-")</f>
        <v>-</v>
      </c>
      <c r="C500" s="145" t="str">
        <f>IFERROR(VLOOKUP($A500,'Base TOTAL'!A:AJ,33,0), "-")</f>
        <v>-</v>
      </c>
      <c r="D500" s="146" t="str">
        <f>IFERROR(VLOOKUP($A500,'Base TOTAL'!A:AJ,34,0), "-")</f>
        <v>-</v>
      </c>
      <c r="E500" s="147" t="str">
        <f>IFERROR(VLOOKUP($A500,'Base TOTAL'!A:AJ,35,0), "-")</f>
        <v>-</v>
      </c>
      <c r="F500" s="133"/>
    </row>
    <row r="501" ht="30.0" customHeight="1">
      <c r="A501" s="144"/>
      <c r="B501" s="145" t="str">
        <f>IFERROR(VLOOKUP($A501,'Base TOTAL'!A:AJ,2,0), "-")</f>
        <v>-</v>
      </c>
      <c r="C501" s="145" t="str">
        <f>IFERROR(VLOOKUP($A501,'Base TOTAL'!A:AJ,33,0), "-")</f>
        <v>-</v>
      </c>
      <c r="D501" s="146" t="str">
        <f>IFERROR(VLOOKUP($A501,'Base TOTAL'!A:AJ,34,0), "-")</f>
        <v>-</v>
      </c>
      <c r="E501" s="147" t="str">
        <f>IFERROR(VLOOKUP($A501,'Base TOTAL'!A:AJ,35,0), "-")</f>
        <v>-</v>
      </c>
      <c r="F501" s="133"/>
    </row>
    <row r="502" ht="30.0" customHeight="1">
      <c r="A502" s="148"/>
      <c r="B502" s="94"/>
      <c r="C502" s="149"/>
      <c r="D502" s="133"/>
      <c r="E502" s="133"/>
      <c r="F502" s="133"/>
    </row>
    <row r="503">
      <c r="A503" s="138"/>
      <c r="C503" s="133"/>
      <c r="D503" s="133"/>
      <c r="E503" s="133"/>
      <c r="F503" s="133"/>
    </row>
    <row r="504">
      <c r="A504" s="138"/>
      <c r="C504" s="133"/>
      <c r="D504" s="133"/>
      <c r="E504" s="133"/>
      <c r="F504" s="133"/>
    </row>
    <row r="505">
      <c r="A505" s="138"/>
      <c r="C505" s="133"/>
      <c r="D505" s="133"/>
      <c r="E505" s="133"/>
      <c r="F505" s="133"/>
    </row>
    <row r="506">
      <c r="A506" s="138"/>
      <c r="C506" s="133"/>
      <c r="D506" s="133"/>
      <c r="E506" s="133"/>
      <c r="F506" s="133"/>
    </row>
    <row r="507">
      <c r="A507" s="138"/>
      <c r="C507" s="133"/>
      <c r="D507" s="133"/>
      <c r="E507" s="133"/>
      <c r="F507" s="133"/>
    </row>
    <row r="508">
      <c r="A508" s="138"/>
      <c r="C508" s="133"/>
      <c r="D508" s="133"/>
      <c r="E508" s="133"/>
      <c r="F508" s="133"/>
    </row>
    <row r="509">
      <c r="A509" s="138"/>
      <c r="C509" s="133"/>
      <c r="D509" s="133"/>
      <c r="E509" s="133"/>
      <c r="F509" s="133"/>
    </row>
    <row r="510">
      <c r="A510" s="138"/>
      <c r="C510" s="133"/>
      <c r="D510" s="133"/>
      <c r="E510" s="133"/>
      <c r="F510" s="133"/>
    </row>
    <row r="511">
      <c r="A511" s="138"/>
      <c r="C511" s="133"/>
      <c r="D511" s="133"/>
      <c r="E511" s="133"/>
      <c r="F511" s="133"/>
    </row>
    <row r="512">
      <c r="A512" s="138"/>
      <c r="C512" s="133"/>
      <c r="D512" s="133"/>
      <c r="E512" s="133"/>
      <c r="F512" s="133"/>
    </row>
    <row r="513">
      <c r="A513" s="138"/>
      <c r="C513" s="133"/>
      <c r="D513" s="133"/>
      <c r="E513" s="133"/>
      <c r="F513" s="133"/>
    </row>
    <row r="514">
      <c r="A514" s="138"/>
      <c r="C514" s="133"/>
      <c r="D514" s="133"/>
      <c r="E514" s="133"/>
      <c r="F514" s="133"/>
    </row>
    <row r="515">
      <c r="A515" s="138"/>
      <c r="C515" s="133"/>
      <c r="D515" s="133"/>
      <c r="E515" s="133"/>
      <c r="F515" s="133"/>
    </row>
    <row r="516">
      <c r="A516" s="138"/>
      <c r="C516" s="133"/>
      <c r="D516" s="133"/>
      <c r="E516" s="133"/>
      <c r="F516" s="133"/>
    </row>
    <row r="517">
      <c r="A517" s="138"/>
      <c r="C517" s="133"/>
      <c r="D517" s="133"/>
      <c r="E517" s="133"/>
      <c r="F517" s="133"/>
    </row>
    <row r="518">
      <c r="A518" s="138"/>
      <c r="C518" s="133"/>
      <c r="D518" s="133"/>
      <c r="E518" s="133"/>
      <c r="F518" s="133"/>
    </row>
    <row r="519">
      <c r="A519" s="138"/>
      <c r="C519" s="133"/>
      <c r="D519" s="133"/>
      <c r="E519" s="133"/>
      <c r="F519" s="133"/>
    </row>
    <row r="520">
      <c r="A520" s="138"/>
      <c r="C520" s="133"/>
      <c r="D520" s="133"/>
      <c r="E520" s="133"/>
      <c r="F520" s="133"/>
    </row>
    <row r="521">
      <c r="A521" s="138"/>
      <c r="C521" s="133"/>
      <c r="D521" s="133"/>
      <c r="E521" s="133"/>
      <c r="F521" s="133"/>
    </row>
    <row r="522">
      <c r="A522" s="138"/>
      <c r="C522" s="133"/>
      <c r="D522" s="133"/>
      <c r="E522" s="133"/>
      <c r="F522" s="133"/>
    </row>
    <row r="523">
      <c r="A523" s="138"/>
      <c r="C523" s="133"/>
      <c r="D523" s="133"/>
      <c r="E523" s="133"/>
      <c r="F523" s="133"/>
    </row>
    <row r="524">
      <c r="A524" s="138"/>
      <c r="C524" s="133"/>
      <c r="D524" s="133"/>
      <c r="E524" s="133"/>
      <c r="F524" s="133"/>
    </row>
    <row r="525">
      <c r="A525" s="138"/>
      <c r="C525" s="133"/>
      <c r="D525" s="133"/>
      <c r="E525" s="133"/>
      <c r="F525" s="133"/>
    </row>
    <row r="526">
      <c r="A526" s="138"/>
      <c r="C526" s="133"/>
      <c r="D526" s="133"/>
      <c r="E526" s="133"/>
      <c r="F526" s="133"/>
    </row>
    <row r="527">
      <c r="A527" s="138"/>
      <c r="C527" s="133"/>
      <c r="D527" s="133"/>
      <c r="E527" s="133"/>
      <c r="F527" s="133"/>
    </row>
    <row r="528">
      <c r="A528" s="138"/>
      <c r="C528" s="133"/>
      <c r="D528" s="133"/>
      <c r="E528" s="133"/>
      <c r="F528" s="133"/>
    </row>
    <row r="529">
      <c r="A529" s="138"/>
      <c r="C529" s="133"/>
      <c r="D529" s="133"/>
      <c r="E529" s="133"/>
      <c r="F529" s="133"/>
    </row>
    <row r="530">
      <c r="A530" s="138"/>
      <c r="C530" s="133"/>
      <c r="D530" s="133"/>
      <c r="E530" s="133"/>
      <c r="F530" s="133"/>
    </row>
    <row r="531">
      <c r="A531" s="138"/>
      <c r="C531" s="133"/>
      <c r="D531" s="133"/>
      <c r="E531" s="133"/>
      <c r="F531" s="133"/>
    </row>
    <row r="532">
      <c r="A532" s="138"/>
      <c r="C532" s="133"/>
      <c r="D532" s="133"/>
      <c r="E532" s="133"/>
      <c r="F532" s="133"/>
    </row>
    <row r="533">
      <c r="A533" s="138"/>
      <c r="C533" s="133"/>
      <c r="D533" s="133"/>
      <c r="E533" s="133"/>
      <c r="F533" s="133"/>
    </row>
    <row r="534">
      <c r="A534" s="138"/>
      <c r="C534" s="133"/>
      <c r="D534" s="133"/>
      <c r="E534" s="133"/>
      <c r="F534" s="133"/>
    </row>
    <row r="535">
      <c r="A535" s="138"/>
      <c r="C535" s="133"/>
      <c r="D535" s="133"/>
      <c r="E535" s="133"/>
      <c r="F535" s="133"/>
    </row>
    <row r="536">
      <c r="A536" s="138"/>
      <c r="C536" s="133"/>
      <c r="D536" s="133"/>
      <c r="E536" s="133"/>
      <c r="F536" s="133"/>
    </row>
    <row r="537">
      <c r="A537" s="138"/>
      <c r="C537" s="133"/>
      <c r="D537" s="133"/>
      <c r="E537" s="133"/>
      <c r="F537" s="133"/>
    </row>
    <row r="538">
      <c r="A538" s="138"/>
      <c r="C538" s="133"/>
      <c r="D538" s="133"/>
      <c r="E538" s="133"/>
      <c r="F538" s="133"/>
    </row>
    <row r="539">
      <c r="A539" s="138"/>
      <c r="C539" s="133"/>
      <c r="D539" s="133"/>
      <c r="E539" s="133"/>
      <c r="F539" s="133"/>
    </row>
    <row r="540">
      <c r="A540" s="138"/>
      <c r="C540" s="133"/>
      <c r="D540" s="133"/>
      <c r="E540" s="133"/>
      <c r="F540" s="133"/>
    </row>
    <row r="541">
      <c r="A541" s="138"/>
      <c r="C541" s="133"/>
      <c r="D541" s="133"/>
      <c r="E541" s="133"/>
      <c r="F541" s="133"/>
    </row>
    <row r="542">
      <c r="A542" s="138"/>
      <c r="C542" s="133"/>
      <c r="D542" s="133"/>
      <c r="E542" s="133"/>
      <c r="F542" s="133"/>
    </row>
    <row r="543">
      <c r="A543" s="138"/>
      <c r="C543" s="133"/>
      <c r="D543" s="133"/>
      <c r="E543" s="133"/>
      <c r="F543" s="133"/>
    </row>
    <row r="544">
      <c r="A544" s="138"/>
      <c r="C544" s="133"/>
      <c r="D544" s="133"/>
      <c r="E544" s="133"/>
      <c r="F544" s="133"/>
    </row>
    <row r="545">
      <c r="A545" s="138"/>
      <c r="C545" s="133"/>
      <c r="D545" s="133"/>
      <c r="E545" s="133"/>
      <c r="F545" s="133"/>
    </row>
    <row r="546">
      <c r="A546" s="138"/>
      <c r="C546" s="133"/>
      <c r="D546" s="133"/>
      <c r="E546" s="133"/>
      <c r="F546" s="133"/>
    </row>
    <row r="547">
      <c r="A547" s="138"/>
      <c r="C547" s="133"/>
      <c r="D547" s="133"/>
      <c r="E547" s="133"/>
      <c r="F547" s="133"/>
    </row>
    <row r="548">
      <c r="A548" s="138"/>
      <c r="C548" s="133"/>
      <c r="D548" s="133"/>
      <c r="E548" s="133"/>
      <c r="F548" s="133"/>
    </row>
    <row r="549">
      <c r="A549" s="138"/>
      <c r="C549" s="133"/>
      <c r="D549" s="133"/>
      <c r="E549" s="133"/>
      <c r="F549" s="133"/>
    </row>
    <row r="550">
      <c r="A550" s="138"/>
      <c r="C550" s="133"/>
      <c r="D550" s="133"/>
      <c r="E550" s="133"/>
      <c r="F550" s="133"/>
    </row>
    <row r="551">
      <c r="A551" s="138"/>
      <c r="C551" s="133"/>
      <c r="D551" s="133"/>
      <c r="E551" s="133"/>
      <c r="F551" s="133"/>
    </row>
    <row r="552">
      <c r="A552" s="138"/>
      <c r="C552" s="133"/>
      <c r="D552" s="133"/>
      <c r="E552" s="133"/>
      <c r="F552" s="133"/>
    </row>
    <row r="553">
      <c r="A553" s="138"/>
      <c r="C553" s="133"/>
      <c r="D553" s="133"/>
      <c r="E553" s="133"/>
      <c r="F553" s="133"/>
    </row>
    <row r="554">
      <c r="A554" s="138"/>
      <c r="C554" s="133"/>
      <c r="D554" s="133"/>
      <c r="E554" s="133"/>
      <c r="F554" s="133"/>
    </row>
    <row r="555">
      <c r="A555" s="138"/>
      <c r="C555" s="133"/>
      <c r="D555" s="133"/>
      <c r="E555" s="133"/>
      <c r="F555" s="133"/>
    </row>
    <row r="556">
      <c r="A556" s="138"/>
      <c r="C556" s="133"/>
      <c r="D556" s="133"/>
      <c r="E556" s="133"/>
      <c r="F556" s="133"/>
    </row>
    <row r="557">
      <c r="A557" s="138"/>
      <c r="C557" s="133"/>
      <c r="D557" s="133"/>
      <c r="E557" s="133"/>
      <c r="F557" s="133"/>
    </row>
    <row r="558">
      <c r="A558" s="138"/>
      <c r="C558" s="133"/>
      <c r="D558" s="133"/>
      <c r="E558" s="133"/>
      <c r="F558" s="133"/>
    </row>
    <row r="559">
      <c r="A559" s="138"/>
      <c r="C559" s="133"/>
      <c r="D559" s="133"/>
      <c r="E559" s="133"/>
      <c r="F559" s="133"/>
    </row>
    <row r="560">
      <c r="A560" s="138"/>
      <c r="C560" s="133"/>
      <c r="D560" s="133"/>
      <c r="E560" s="133"/>
      <c r="F560" s="133"/>
    </row>
    <row r="561">
      <c r="A561" s="138"/>
      <c r="C561" s="133"/>
      <c r="D561" s="133"/>
      <c r="E561" s="133"/>
      <c r="F561" s="133"/>
    </row>
    <row r="562">
      <c r="A562" s="138"/>
      <c r="C562" s="133"/>
      <c r="D562" s="133"/>
      <c r="E562" s="133"/>
      <c r="F562" s="133"/>
    </row>
    <row r="563">
      <c r="A563" s="138"/>
      <c r="C563" s="133"/>
      <c r="D563" s="133"/>
      <c r="E563" s="133"/>
      <c r="F563" s="133"/>
    </row>
    <row r="564">
      <c r="A564" s="138"/>
      <c r="C564" s="133"/>
      <c r="D564" s="133"/>
      <c r="E564" s="133"/>
      <c r="F564" s="133"/>
    </row>
    <row r="565">
      <c r="A565" s="138"/>
      <c r="C565" s="133"/>
      <c r="D565" s="133"/>
      <c r="E565" s="133"/>
      <c r="F565" s="133"/>
    </row>
    <row r="566">
      <c r="A566" s="138"/>
      <c r="C566" s="133"/>
      <c r="D566" s="133"/>
      <c r="E566" s="133"/>
      <c r="F566" s="133"/>
    </row>
    <row r="567">
      <c r="A567" s="138"/>
      <c r="C567" s="133"/>
      <c r="D567" s="133"/>
      <c r="E567" s="133"/>
      <c r="F567" s="133"/>
    </row>
    <row r="568">
      <c r="A568" s="138"/>
      <c r="C568" s="133"/>
      <c r="D568" s="133"/>
      <c r="E568" s="133"/>
      <c r="F568" s="133"/>
    </row>
    <row r="569">
      <c r="A569" s="138"/>
      <c r="C569" s="133"/>
      <c r="D569" s="133"/>
      <c r="E569" s="133"/>
      <c r="F569" s="133"/>
    </row>
    <row r="570">
      <c r="A570" s="138"/>
      <c r="C570" s="133"/>
      <c r="D570" s="133"/>
      <c r="E570" s="133"/>
      <c r="F570" s="133"/>
    </row>
    <row r="571">
      <c r="A571" s="138"/>
      <c r="C571" s="133"/>
      <c r="D571" s="133"/>
      <c r="E571" s="133"/>
      <c r="F571" s="133"/>
    </row>
    <row r="572">
      <c r="A572" s="138"/>
      <c r="C572" s="133"/>
      <c r="D572" s="133"/>
      <c r="E572" s="133"/>
      <c r="F572" s="133"/>
    </row>
    <row r="573">
      <c r="A573" s="138"/>
      <c r="C573" s="133"/>
      <c r="D573" s="133"/>
      <c r="E573" s="133"/>
      <c r="F573" s="133"/>
    </row>
    <row r="574">
      <c r="A574" s="138"/>
      <c r="C574" s="133"/>
      <c r="D574" s="133"/>
      <c r="E574" s="133"/>
      <c r="F574" s="133"/>
    </row>
    <row r="575">
      <c r="A575" s="138"/>
      <c r="C575" s="133"/>
      <c r="D575" s="133"/>
      <c r="E575" s="133"/>
      <c r="F575" s="133"/>
    </row>
    <row r="576">
      <c r="A576" s="138"/>
      <c r="C576" s="133"/>
      <c r="D576" s="133"/>
      <c r="E576" s="133"/>
      <c r="F576" s="133"/>
    </row>
    <row r="577">
      <c r="A577" s="138"/>
      <c r="C577" s="133"/>
      <c r="D577" s="133"/>
      <c r="E577" s="133"/>
      <c r="F577" s="133"/>
    </row>
    <row r="578">
      <c r="A578" s="138"/>
      <c r="C578" s="133"/>
      <c r="D578" s="133"/>
      <c r="E578" s="133"/>
      <c r="F578" s="133"/>
    </row>
    <row r="579">
      <c r="A579" s="138"/>
      <c r="C579" s="133"/>
      <c r="D579" s="133"/>
      <c r="E579" s="133"/>
      <c r="F579" s="133"/>
    </row>
    <row r="580">
      <c r="A580" s="138"/>
      <c r="C580" s="133"/>
      <c r="D580" s="133"/>
      <c r="E580" s="133"/>
      <c r="F580" s="133"/>
    </row>
    <row r="581">
      <c r="A581" s="138"/>
      <c r="C581" s="133"/>
      <c r="D581" s="133"/>
      <c r="E581" s="133"/>
      <c r="F581" s="133"/>
    </row>
    <row r="582">
      <c r="A582" s="138"/>
      <c r="C582" s="133"/>
      <c r="D582" s="133"/>
      <c r="E582" s="133"/>
      <c r="F582" s="133"/>
    </row>
    <row r="583">
      <c r="A583" s="138"/>
      <c r="C583" s="133"/>
      <c r="D583" s="133"/>
      <c r="E583" s="133"/>
      <c r="F583" s="133"/>
    </row>
    <row r="584">
      <c r="A584" s="138"/>
      <c r="C584" s="133"/>
      <c r="D584" s="133"/>
      <c r="E584" s="133"/>
      <c r="F584" s="133"/>
    </row>
    <row r="585">
      <c r="A585" s="138"/>
      <c r="C585" s="133"/>
      <c r="D585" s="133"/>
      <c r="E585" s="133"/>
      <c r="F585" s="133"/>
    </row>
    <row r="586">
      <c r="A586" s="138"/>
      <c r="C586" s="133"/>
      <c r="D586" s="133"/>
      <c r="E586" s="133"/>
      <c r="F586" s="133"/>
    </row>
    <row r="587">
      <c r="A587" s="138"/>
      <c r="C587" s="133"/>
      <c r="D587" s="133"/>
      <c r="E587" s="133"/>
      <c r="F587" s="133"/>
    </row>
    <row r="588">
      <c r="A588" s="138"/>
      <c r="C588" s="133"/>
      <c r="D588" s="133"/>
      <c r="E588" s="133"/>
      <c r="F588" s="133"/>
    </row>
    <row r="589">
      <c r="A589" s="138"/>
      <c r="C589" s="133"/>
      <c r="D589" s="133"/>
      <c r="E589" s="133"/>
      <c r="F589" s="133"/>
    </row>
    <row r="590">
      <c r="A590" s="138"/>
      <c r="C590" s="133"/>
      <c r="D590" s="133"/>
      <c r="E590" s="133"/>
      <c r="F590" s="133"/>
    </row>
    <row r="591">
      <c r="A591" s="138"/>
      <c r="C591" s="133"/>
      <c r="D591" s="133"/>
      <c r="E591" s="133"/>
      <c r="F591" s="133"/>
    </row>
    <row r="592">
      <c r="A592" s="138"/>
      <c r="C592" s="133"/>
      <c r="D592" s="133"/>
      <c r="E592" s="133"/>
      <c r="F592" s="133"/>
    </row>
    <row r="593">
      <c r="A593" s="138"/>
      <c r="C593" s="133"/>
      <c r="D593" s="133"/>
      <c r="E593" s="133"/>
      <c r="F593" s="133"/>
    </row>
    <row r="594">
      <c r="A594" s="138"/>
      <c r="C594" s="133"/>
      <c r="D594" s="133"/>
      <c r="E594" s="133"/>
      <c r="F594" s="133"/>
    </row>
    <row r="595">
      <c r="A595" s="138"/>
      <c r="C595" s="133"/>
      <c r="D595" s="133"/>
      <c r="E595" s="133"/>
      <c r="F595" s="133"/>
    </row>
    <row r="596">
      <c r="A596" s="138"/>
      <c r="C596" s="133"/>
      <c r="D596" s="133"/>
      <c r="E596" s="133"/>
      <c r="F596" s="133"/>
    </row>
    <row r="597">
      <c r="A597" s="138"/>
      <c r="C597" s="133"/>
      <c r="D597" s="133"/>
      <c r="E597" s="133"/>
      <c r="F597" s="133"/>
    </row>
    <row r="598">
      <c r="A598" s="138"/>
      <c r="C598" s="133"/>
      <c r="D598" s="133"/>
      <c r="E598" s="133"/>
      <c r="F598" s="133"/>
    </row>
    <row r="599">
      <c r="A599" s="138"/>
      <c r="C599" s="133"/>
      <c r="D599" s="133"/>
      <c r="E599" s="133"/>
      <c r="F599" s="133"/>
    </row>
    <row r="600">
      <c r="A600" s="138"/>
      <c r="C600" s="133"/>
      <c r="D600" s="133"/>
      <c r="E600" s="133"/>
      <c r="F600" s="133"/>
    </row>
    <row r="601">
      <c r="A601" s="138"/>
      <c r="C601" s="133"/>
      <c r="D601" s="133"/>
      <c r="E601" s="133"/>
      <c r="F601" s="133"/>
    </row>
    <row r="602">
      <c r="A602" s="138"/>
      <c r="C602" s="133"/>
      <c r="D602" s="133"/>
      <c r="E602" s="133"/>
      <c r="F602" s="133"/>
    </row>
    <row r="603">
      <c r="A603" s="138"/>
      <c r="C603" s="133"/>
      <c r="D603" s="133"/>
      <c r="E603" s="133"/>
      <c r="F603" s="133"/>
    </row>
    <row r="604">
      <c r="A604" s="138"/>
      <c r="C604" s="133"/>
      <c r="D604" s="133"/>
      <c r="E604" s="133"/>
      <c r="F604" s="133"/>
    </row>
    <row r="605">
      <c r="A605" s="138"/>
      <c r="C605" s="133"/>
      <c r="D605" s="133"/>
      <c r="E605" s="133"/>
      <c r="F605" s="133"/>
    </row>
    <row r="606">
      <c r="A606" s="138"/>
      <c r="C606" s="133"/>
      <c r="D606" s="133"/>
      <c r="E606" s="133"/>
      <c r="F606" s="133"/>
    </row>
    <row r="607">
      <c r="A607" s="138"/>
      <c r="C607" s="133"/>
      <c r="D607" s="133"/>
      <c r="E607" s="133"/>
      <c r="F607" s="133"/>
    </row>
    <row r="608">
      <c r="A608" s="138"/>
      <c r="C608" s="133"/>
      <c r="D608" s="133"/>
      <c r="E608" s="133"/>
      <c r="F608" s="133"/>
    </row>
    <row r="609">
      <c r="A609" s="138"/>
      <c r="C609" s="133"/>
      <c r="D609" s="133"/>
      <c r="E609" s="133"/>
      <c r="F609" s="133"/>
    </row>
    <row r="610">
      <c r="A610" s="138"/>
      <c r="C610" s="133"/>
      <c r="D610" s="133"/>
      <c r="E610" s="133"/>
      <c r="F610" s="133"/>
    </row>
    <row r="611">
      <c r="A611" s="138"/>
      <c r="C611" s="133"/>
      <c r="D611" s="133"/>
      <c r="E611" s="133"/>
      <c r="F611" s="133"/>
    </row>
    <row r="612">
      <c r="A612" s="138"/>
      <c r="C612" s="133"/>
      <c r="D612" s="133"/>
      <c r="E612" s="133"/>
      <c r="F612" s="133"/>
    </row>
    <row r="613">
      <c r="A613" s="138"/>
      <c r="C613" s="133"/>
      <c r="D613" s="133"/>
      <c r="E613" s="133"/>
      <c r="F613" s="133"/>
    </row>
    <row r="614">
      <c r="A614" s="138"/>
      <c r="C614" s="133"/>
      <c r="D614" s="133"/>
      <c r="E614" s="133"/>
      <c r="F614" s="133"/>
    </row>
    <row r="615">
      <c r="A615" s="138"/>
      <c r="C615" s="133"/>
      <c r="D615" s="133"/>
      <c r="E615" s="133"/>
      <c r="F615" s="133"/>
    </row>
    <row r="616">
      <c r="A616" s="138"/>
      <c r="C616" s="133"/>
      <c r="D616" s="133"/>
      <c r="E616" s="133"/>
      <c r="F616" s="133"/>
    </row>
    <row r="617">
      <c r="A617" s="138"/>
      <c r="C617" s="133"/>
      <c r="D617" s="133"/>
      <c r="E617" s="133"/>
      <c r="F617" s="133"/>
    </row>
    <row r="618">
      <c r="A618" s="138"/>
      <c r="C618" s="133"/>
      <c r="D618" s="133"/>
      <c r="E618" s="133"/>
      <c r="F618" s="133"/>
    </row>
    <row r="619">
      <c r="A619" s="138"/>
      <c r="C619" s="133"/>
      <c r="D619" s="133"/>
      <c r="E619" s="133"/>
      <c r="F619" s="133"/>
    </row>
    <row r="620">
      <c r="A620" s="138"/>
      <c r="C620" s="133"/>
      <c r="D620" s="133"/>
      <c r="E620" s="133"/>
      <c r="F620" s="133"/>
    </row>
    <row r="621">
      <c r="A621" s="138"/>
      <c r="C621" s="133"/>
      <c r="D621" s="133"/>
      <c r="E621" s="133"/>
      <c r="F621" s="133"/>
    </row>
    <row r="622">
      <c r="A622" s="138"/>
      <c r="C622" s="133"/>
      <c r="D622" s="133"/>
      <c r="E622" s="133"/>
      <c r="F622" s="133"/>
    </row>
    <row r="623">
      <c r="A623" s="138"/>
      <c r="C623" s="133"/>
      <c r="D623" s="133"/>
      <c r="E623" s="133"/>
      <c r="F623" s="133"/>
    </row>
    <row r="624">
      <c r="A624" s="138"/>
      <c r="C624" s="133"/>
      <c r="D624" s="133"/>
      <c r="E624" s="133"/>
      <c r="F624" s="133"/>
    </row>
    <row r="625">
      <c r="A625" s="138"/>
      <c r="C625" s="133"/>
      <c r="D625" s="133"/>
      <c r="E625" s="133"/>
      <c r="F625" s="133"/>
    </row>
    <row r="626">
      <c r="A626" s="138"/>
      <c r="C626" s="133"/>
      <c r="D626" s="133"/>
      <c r="E626" s="133"/>
      <c r="F626" s="133"/>
    </row>
    <row r="627">
      <c r="A627" s="138"/>
      <c r="C627" s="133"/>
      <c r="D627" s="133"/>
      <c r="E627" s="133"/>
      <c r="F627" s="133"/>
    </row>
    <row r="628">
      <c r="A628" s="138"/>
      <c r="C628" s="133"/>
      <c r="D628" s="133"/>
      <c r="E628" s="133"/>
      <c r="F628" s="133"/>
    </row>
    <row r="629">
      <c r="A629" s="138"/>
      <c r="C629" s="133"/>
      <c r="D629" s="133"/>
      <c r="E629" s="133"/>
      <c r="F629" s="133"/>
    </row>
    <row r="630">
      <c r="A630" s="138"/>
      <c r="C630" s="133"/>
      <c r="D630" s="133"/>
      <c r="E630" s="133"/>
      <c r="F630" s="133"/>
    </row>
    <row r="631">
      <c r="A631" s="138"/>
      <c r="C631" s="133"/>
      <c r="D631" s="133"/>
      <c r="E631" s="133"/>
      <c r="F631" s="133"/>
    </row>
    <row r="632">
      <c r="A632" s="138"/>
      <c r="C632" s="133"/>
      <c r="D632" s="133"/>
      <c r="E632" s="133"/>
      <c r="F632" s="133"/>
    </row>
    <row r="633">
      <c r="A633" s="138"/>
      <c r="C633" s="133"/>
      <c r="D633" s="133"/>
      <c r="E633" s="133"/>
      <c r="F633" s="133"/>
    </row>
    <row r="634">
      <c r="A634" s="138"/>
      <c r="C634" s="133"/>
      <c r="D634" s="133"/>
      <c r="E634" s="133"/>
      <c r="F634" s="133"/>
    </row>
    <row r="635">
      <c r="A635" s="138"/>
      <c r="C635" s="133"/>
      <c r="D635" s="133"/>
      <c r="E635" s="133"/>
      <c r="F635" s="133"/>
    </row>
    <row r="636">
      <c r="A636" s="138"/>
      <c r="C636" s="133"/>
      <c r="D636" s="133"/>
      <c r="E636" s="133"/>
      <c r="F636" s="133"/>
    </row>
    <row r="637">
      <c r="A637" s="138"/>
      <c r="C637" s="133"/>
      <c r="D637" s="133"/>
      <c r="E637" s="133"/>
      <c r="F637" s="133"/>
    </row>
    <row r="638">
      <c r="A638" s="138"/>
      <c r="C638" s="133"/>
      <c r="D638" s="133"/>
      <c r="E638" s="133"/>
      <c r="F638" s="133"/>
    </row>
    <row r="639">
      <c r="A639" s="138"/>
      <c r="C639" s="133"/>
      <c r="D639" s="133"/>
      <c r="E639" s="133"/>
      <c r="F639" s="133"/>
    </row>
    <row r="640">
      <c r="A640" s="138"/>
      <c r="C640" s="133"/>
      <c r="D640" s="133"/>
      <c r="E640" s="133"/>
      <c r="F640" s="133"/>
    </row>
    <row r="641">
      <c r="A641" s="138"/>
      <c r="C641" s="133"/>
      <c r="D641" s="133"/>
      <c r="E641" s="133"/>
      <c r="F641" s="133"/>
    </row>
    <row r="642">
      <c r="A642" s="138"/>
      <c r="C642" s="133"/>
      <c r="D642" s="133"/>
      <c r="E642" s="133"/>
      <c r="F642" s="133"/>
    </row>
    <row r="643">
      <c r="A643" s="138"/>
      <c r="C643" s="133"/>
      <c r="D643" s="133"/>
      <c r="E643" s="133"/>
      <c r="F643" s="133"/>
    </row>
    <row r="644">
      <c r="A644" s="138"/>
      <c r="C644" s="133"/>
      <c r="D644" s="133"/>
      <c r="E644" s="133"/>
      <c r="F644" s="133"/>
    </row>
    <row r="645">
      <c r="A645" s="138"/>
      <c r="C645" s="133"/>
      <c r="D645" s="133"/>
      <c r="E645" s="133"/>
      <c r="F645" s="133"/>
    </row>
    <row r="646">
      <c r="A646" s="138"/>
      <c r="C646" s="133"/>
      <c r="D646" s="133"/>
      <c r="E646" s="133"/>
      <c r="F646" s="133"/>
    </row>
    <row r="647">
      <c r="A647" s="138"/>
      <c r="C647" s="133"/>
      <c r="D647" s="133"/>
      <c r="E647" s="133"/>
      <c r="F647" s="133"/>
    </row>
    <row r="648">
      <c r="A648" s="138"/>
      <c r="C648" s="133"/>
      <c r="D648" s="133"/>
      <c r="E648" s="133"/>
      <c r="F648" s="133"/>
    </row>
    <row r="649">
      <c r="A649" s="138"/>
      <c r="C649" s="133"/>
      <c r="D649" s="133"/>
      <c r="E649" s="133"/>
      <c r="F649" s="133"/>
    </row>
    <row r="650">
      <c r="A650" s="138"/>
      <c r="C650" s="133"/>
      <c r="D650" s="133"/>
      <c r="E650" s="133"/>
      <c r="F650" s="133"/>
    </row>
    <row r="651">
      <c r="A651" s="138"/>
      <c r="C651" s="133"/>
      <c r="D651" s="133"/>
      <c r="E651" s="133"/>
      <c r="F651" s="133"/>
    </row>
    <row r="652">
      <c r="A652" s="138"/>
      <c r="C652" s="133"/>
      <c r="D652" s="133"/>
      <c r="E652" s="133"/>
      <c r="F652" s="133"/>
    </row>
    <row r="653">
      <c r="A653" s="138"/>
      <c r="C653" s="133"/>
      <c r="D653" s="133"/>
      <c r="E653" s="133"/>
      <c r="F653" s="133"/>
    </row>
    <row r="654">
      <c r="A654" s="138"/>
      <c r="C654" s="133"/>
      <c r="D654" s="133"/>
      <c r="E654" s="133"/>
      <c r="F654" s="133"/>
    </row>
    <row r="655">
      <c r="A655" s="138"/>
      <c r="C655" s="133"/>
      <c r="D655" s="133"/>
      <c r="E655" s="133"/>
      <c r="F655" s="133"/>
    </row>
    <row r="656">
      <c r="A656" s="138"/>
      <c r="C656" s="133"/>
      <c r="D656" s="133"/>
      <c r="E656" s="133"/>
      <c r="F656" s="133"/>
    </row>
    <row r="657">
      <c r="A657" s="138"/>
      <c r="C657" s="133"/>
      <c r="D657" s="133"/>
      <c r="E657" s="133"/>
      <c r="F657" s="133"/>
    </row>
    <row r="658">
      <c r="A658" s="138"/>
      <c r="C658" s="133"/>
      <c r="D658" s="133"/>
      <c r="E658" s="133"/>
      <c r="F658" s="133"/>
    </row>
    <row r="659">
      <c r="A659" s="138"/>
      <c r="C659" s="133"/>
      <c r="D659" s="133"/>
      <c r="E659" s="133"/>
      <c r="F659" s="133"/>
    </row>
    <row r="660">
      <c r="A660" s="138"/>
      <c r="C660" s="133"/>
      <c r="D660" s="133"/>
      <c r="E660" s="133"/>
      <c r="F660" s="133"/>
    </row>
    <row r="661">
      <c r="A661" s="138"/>
      <c r="C661" s="133"/>
      <c r="D661" s="133"/>
      <c r="E661" s="133"/>
      <c r="F661" s="133"/>
    </row>
    <row r="662">
      <c r="A662" s="138"/>
      <c r="C662" s="133"/>
      <c r="D662" s="133"/>
      <c r="E662" s="133"/>
      <c r="F662" s="133"/>
    </row>
    <row r="663">
      <c r="A663" s="138"/>
      <c r="C663" s="133"/>
      <c r="D663" s="133"/>
      <c r="E663" s="133"/>
      <c r="F663" s="133"/>
    </row>
    <row r="664">
      <c r="A664" s="138"/>
      <c r="C664" s="133"/>
      <c r="D664" s="133"/>
      <c r="E664" s="133"/>
      <c r="F664" s="133"/>
    </row>
    <row r="665">
      <c r="A665" s="138"/>
      <c r="C665" s="133"/>
      <c r="D665" s="133"/>
      <c r="E665" s="133"/>
      <c r="F665" s="133"/>
    </row>
    <row r="666">
      <c r="A666" s="138"/>
      <c r="C666" s="133"/>
      <c r="D666" s="133"/>
      <c r="E666" s="133"/>
      <c r="F666" s="133"/>
    </row>
    <row r="667">
      <c r="A667" s="138"/>
      <c r="C667" s="133"/>
      <c r="D667" s="133"/>
      <c r="E667" s="133"/>
      <c r="F667" s="133"/>
    </row>
    <row r="668">
      <c r="A668" s="138"/>
      <c r="C668" s="133"/>
      <c r="D668" s="133"/>
      <c r="E668" s="133"/>
      <c r="F668" s="133"/>
    </row>
    <row r="669">
      <c r="A669" s="138"/>
      <c r="C669" s="133"/>
      <c r="D669" s="133"/>
      <c r="E669" s="133"/>
      <c r="F669" s="133"/>
    </row>
    <row r="670">
      <c r="A670" s="138"/>
      <c r="C670" s="133"/>
      <c r="D670" s="133"/>
      <c r="E670" s="133"/>
      <c r="F670" s="133"/>
    </row>
    <row r="671">
      <c r="A671" s="138"/>
      <c r="C671" s="133"/>
      <c r="D671" s="133"/>
      <c r="E671" s="133"/>
      <c r="F671" s="133"/>
    </row>
    <row r="672">
      <c r="A672" s="138"/>
      <c r="C672" s="133"/>
      <c r="D672" s="133"/>
      <c r="E672" s="133"/>
      <c r="F672" s="133"/>
    </row>
    <row r="673">
      <c r="A673" s="138"/>
      <c r="C673" s="133"/>
      <c r="D673" s="133"/>
      <c r="E673" s="133"/>
      <c r="F673" s="133"/>
    </row>
    <row r="674">
      <c r="A674" s="138"/>
      <c r="C674" s="133"/>
      <c r="D674" s="133"/>
      <c r="E674" s="133"/>
      <c r="F674" s="133"/>
    </row>
    <row r="675">
      <c r="A675" s="138"/>
      <c r="C675" s="133"/>
      <c r="D675" s="133"/>
      <c r="E675" s="133"/>
      <c r="F675" s="133"/>
    </row>
    <row r="676">
      <c r="A676" s="138"/>
      <c r="C676" s="133"/>
      <c r="D676" s="133"/>
      <c r="E676" s="133"/>
      <c r="F676" s="133"/>
    </row>
    <row r="677">
      <c r="A677" s="138"/>
      <c r="C677" s="133"/>
      <c r="D677" s="133"/>
      <c r="E677" s="133"/>
      <c r="F677" s="133"/>
    </row>
    <row r="678">
      <c r="A678" s="138"/>
      <c r="C678" s="133"/>
      <c r="D678" s="133"/>
      <c r="E678" s="133"/>
      <c r="F678" s="133"/>
    </row>
    <row r="679">
      <c r="A679" s="138"/>
      <c r="C679" s="133"/>
      <c r="D679" s="133"/>
      <c r="E679" s="133"/>
      <c r="F679" s="133"/>
    </row>
    <row r="680">
      <c r="A680" s="138"/>
      <c r="C680" s="133"/>
      <c r="D680" s="133"/>
      <c r="E680" s="133"/>
      <c r="F680" s="133"/>
    </row>
    <row r="681">
      <c r="A681" s="138"/>
      <c r="C681" s="133"/>
      <c r="D681" s="133"/>
      <c r="E681" s="133"/>
      <c r="F681" s="133"/>
    </row>
    <row r="682">
      <c r="A682" s="138"/>
      <c r="C682" s="133"/>
      <c r="D682" s="133"/>
      <c r="E682" s="133"/>
      <c r="F682" s="133"/>
    </row>
    <row r="683">
      <c r="A683" s="138"/>
      <c r="C683" s="133"/>
      <c r="D683" s="133"/>
      <c r="E683" s="133"/>
      <c r="F683" s="133"/>
    </row>
    <row r="684">
      <c r="A684" s="138"/>
      <c r="C684" s="133"/>
      <c r="D684" s="133"/>
      <c r="E684" s="133"/>
      <c r="F684" s="133"/>
    </row>
    <row r="685">
      <c r="A685" s="138"/>
      <c r="C685" s="133"/>
      <c r="D685" s="133"/>
      <c r="E685" s="133"/>
      <c r="F685" s="133"/>
    </row>
    <row r="686">
      <c r="A686" s="138"/>
      <c r="C686" s="133"/>
      <c r="D686" s="133"/>
      <c r="E686" s="133"/>
      <c r="F686" s="133"/>
    </row>
    <row r="687">
      <c r="A687" s="138"/>
      <c r="C687" s="133"/>
      <c r="D687" s="133"/>
      <c r="E687" s="133"/>
      <c r="F687" s="133"/>
    </row>
    <row r="688">
      <c r="A688" s="138"/>
      <c r="C688" s="133"/>
      <c r="D688" s="133"/>
      <c r="E688" s="133"/>
      <c r="F688" s="133"/>
    </row>
    <row r="689">
      <c r="A689" s="138"/>
      <c r="C689" s="133"/>
      <c r="D689" s="133"/>
      <c r="E689" s="133"/>
      <c r="F689" s="133"/>
    </row>
    <row r="690">
      <c r="A690" s="138"/>
      <c r="C690" s="133"/>
      <c r="D690" s="133"/>
      <c r="E690" s="133"/>
      <c r="F690" s="133"/>
    </row>
    <row r="691">
      <c r="A691" s="138"/>
      <c r="C691" s="133"/>
      <c r="D691" s="133"/>
      <c r="E691" s="133"/>
      <c r="F691" s="133"/>
    </row>
    <row r="692">
      <c r="A692" s="138"/>
      <c r="C692" s="133"/>
      <c r="D692" s="133"/>
      <c r="E692" s="133"/>
      <c r="F692" s="133"/>
    </row>
    <row r="693">
      <c r="A693" s="138"/>
      <c r="C693" s="133"/>
      <c r="D693" s="133"/>
      <c r="E693" s="133"/>
      <c r="F693" s="133"/>
    </row>
    <row r="694">
      <c r="A694" s="138"/>
      <c r="C694" s="133"/>
      <c r="D694" s="133"/>
      <c r="E694" s="133"/>
      <c r="F694" s="133"/>
    </row>
    <row r="695">
      <c r="A695" s="138"/>
      <c r="C695" s="133"/>
      <c r="D695" s="133"/>
      <c r="E695" s="133"/>
      <c r="F695" s="133"/>
    </row>
    <row r="696">
      <c r="A696" s="138"/>
      <c r="C696" s="133"/>
      <c r="D696" s="133"/>
      <c r="E696" s="133"/>
      <c r="F696" s="133"/>
    </row>
    <row r="697">
      <c r="A697" s="138"/>
      <c r="C697" s="133"/>
      <c r="D697" s="133"/>
      <c r="E697" s="133"/>
      <c r="F697" s="133"/>
    </row>
    <row r="698">
      <c r="A698" s="138"/>
      <c r="C698" s="133"/>
      <c r="D698" s="133"/>
      <c r="E698" s="133"/>
      <c r="F698" s="133"/>
    </row>
    <row r="699">
      <c r="A699" s="138"/>
      <c r="C699" s="133"/>
      <c r="D699" s="133"/>
      <c r="E699" s="133"/>
      <c r="F699" s="133"/>
    </row>
    <row r="700">
      <c r="A700" s="138"/>
      <c r="C700" s="133"/>
      <c r="D700" s="133"/>
      <c r="E700" s="133"/>
      <c r="F700" s="133"/>
    </row>
    <row r="701">
      <c r="A701" s="138"/>
      <c r="C701" s="133"/>
      <c r="D701" s="133"/>
      <c r="E701" s="133"/>
      <c r="F701" s="133"/>
    </row>
    <row r="702">
      <c r="A702" s="138"/>
      <c r="C702" s="133"/>
      <c r="D702" s="133"/>
      <c r="E702" s="133"/>
      <c r="F702" s="133"/>
    </row>
    <row r="703">
      <c r="A703" s="138"/>
      <c r="C703" s="133"/>
      <c r="D703" s="133"/>
      <c r="E703" s="133"/>
      <c r="F703" s="133"/>
    </row>
    <row r="704">
      <c r="A704" s="138"/>
      <c r="C704" s="133"/>
      <c r="D704" s="133"/>
      <c r="E704" s="133"/>
      <c r="F704" s="133"/>
    </row>
    <row r="705">
      <c r="A705" s="138"/>
      <c r="C705" s="133"/>
      <c r="D705" s="133"/>
      <c r="E705" s="133"/>
      <c r="F705" s="133"/>
    </row>
    <row r="706">
      <c r="A706" s="138"/>
      <c r="C706" s="133"/>
      <c r="D706" s="133"/>
      <c r="E706" s="133"/>
      <c r="F706" s="133"/>
    </row>
    <row r="707">
      <c r="A707" s="138"/>
      <c r="C707" s="133"/>
      <c r="D707" s="133"/>
      <c r="E707" s="133"/>
      <c r="F707" s="133"/>
    </row>
    <row r="708">
      <c r="A708" s="138"/>
      <c r="C708" s="133"/>
      <c r="D708" s="133"/>
      <c r="E708" s="133"/>
      <c r="F708" s="133"/>
    </row>
    <row r="709">
      <c r="A709" s="138"/>
      <c r="C709" s="133"/>
      <c r="D709" s="133"/>
      <c r="E709" s="133"/>
      <c r="F709" s="133"/>
    </row>
    <row r="710">
      <c r="A710" s="138"/>
      <c r="C710" s="133"/>
      <c r="D710" s="133"/>
      <c r="E710" s="133"/>
      <c r="F710" s="133"/>
    </row>
    <row r="711">
      <c r="A711" s="138"/>
      <c r="C711" s="133"/>
      <c r="D711" s="133"/>
      <c r="E711" s="133"/>
      <c r="F711" s="133"/>
    </row>
    <row r="712">
      <c r="A712" s="138"/>
      <c r="C712" s="133"/>
      <c r="D712" s="133"/>
      <c r="E712" s="133"/>
      <c r="F712" s="133"/>
    </row>
    <row r="713">
      <c r="A713" s="138"/>
      <c r="C713" s="133"/>
      <c r="D713" s="133"/>
      <c r="E713" s="133"/>
      <c r="F713" s="133"/>
    </row>
    <row r="714">
      <c r="A714" s="138"/>
      <c r="C714" s="133"/>
      <c r="D714" s="133"/>
      <c r="E714" s="133"/>
      <c r="F714" s="133"/>
    </row>
    <row r="715">
      <c r="A715" s="138"/>
      <c r="C715" s="133"/>
      <c r="D715" s="133"/>
      <c r="E715" s="133"/>
      <c r="F715" s="133"/>
    </row>
    <row r="716">
      <c r="A716" s="138"/>
      <c r="C716" s="133"/>
      <c r="D716" s="133"/>
      <c r="E716" s="133"/>
      <c r="F716" s="133"/>
    </row>
    <row r="717">
      <c r="A717" s="138"/>
      <c r="C717" s="133"/>
      <c r="D717" s="133"/>
      <c r="E717" s="133"/>
      <c r="F717" s="133"/>
    </row>
    <row r="718">
      <c r="A718" s="138"/>
      <c r="C718" s="133"/>
      <c r="D718" s="133"/>
      <c r="E718" s="133"/>
      <c r="F718" s="133"/>
    </row>
    <row r="719">
      <c r="A719" s="138"/>
      <c r="C719" s="133"/>
      <c r="D719" s="133"/>
      <c r="E719" s="133"/>
      <c r="F719" s="133"/>
    </row>
    <row r="720">
      <c r="A720" s="138"/>
      <c r="C720" s="133"/>
      <c r="D720" s="133"/>
      <c r="E720" s="133"/>
      <c r="F720" s="133"/>
    </row>
    <row r="721">
      <c r="A721" s="138"/>
      <c r="C721" s="133"/>
      <c r="D721" s="133"/>
      <c r="E721" s="133"/>
      <c r="F721" s="133"/>
    </row>
    <row r="722">
      <c r="A722" s="138"/>
      <c r="C722" s="133"/>
      <c r="D722" s="133"/>
      <c r="E722" s="133"/>
      <c r="F722" s="133"/>
    </row>
    <row r="723">
      <c r="A723" s="138"/>
      <c r="C723" s="133"/>
      <c r="D723" s="133"/>
      <c r="E723" s="133"/>
      <c r="F723" s="133"/>
    </row>
    <row r="724">
      <c r="A724" s="138"/>
      <c r="C724" s="133"/>
      <c r="D724" s="133"/>
      <c r="E724" s="133"/>
      <c r="F724" s="133"/>
    </row>
    <row r="725">
      <c r="A725" s="138"/>
      <c r="C725" s="133"/>
      <c r="D725" s="133"/>
      <c r="E725" s="133"/>
      <c r="F725" s="133"/>
    </row>
    <row r="726">
      <c r="A726" s="138"/>
      <c r="C726" s="133"/>
      <c r="D726" s="133"/>
      <c r="E726" s="133"/>
      <c r="F726" s="133"/>
    </row>
    <row r="727">
      <c r="A727" s="138"/>
      <c r="C727" s="133"/>
      <c r="D727" s="133"/>
      <c r="E727" s="133"/>
      <c r="F727" s="133"/>
    </row>
    <row r="728">
      <c r="A728" s="138"/>
      <c r="C728" s="133"/>
      <c r="D728" s="133"/>
      <c r="E728" s="133"/>
      <c r="F728" s="133"/>
    </row>
    <row r="729">
      <c r="A729" s="138"/>
      <c r="C729" s="133"/>
      <c r="D729" s="133"/>
      <c r="E729" s="133"/>
      <c r="F729" s="133"/>
    </row>
    <row r="730">
      <c r="A730" s="138"/>
      <c r="C730" s="133"/>
      <c r="D730" s="133"/>
      <c r="E730" s="133"/>
      <c r="F730" s="133"/>
    </row>
    <row r="731">
      <c r="A731" s="138"/>
      <c r="C731" s="133"/>
      <c r="D731" s="133"/>
      <c r="E731" s="133"/>
      <c r="F731" s="133"/>
    </row>
    <row r="732">
      <c r="A732" s="138"/>
      <c r="C732" s="133"/>
      <c r="D732" s="133"/>
      <c r="E732" s="133"/>
      <c r="F732" s="133"/>
    </row>
    <row r="733">
      <c r="A733" s="138"/>
      <c r="C733" s="133"/>
      <c r="D733" s="133"/>
      <c r="E733" s="133"/>
      <c r="F733" s="133"/>
    </row>
    <row r="734">
      <c r="A734" s="138"/>
      <c r="C734" s="133"/>
      <c r="D734" s="133"/>
      <c r="E734" s="133"/>
      <c r="F734" s="133"/>
    </row>
    <row r="735">
      <c r="A735" s="138"/>
      <c r="C735" s="133"/>
      <c r="D735" s="133"/>
      <c r="E735" s="133"/>
      <c r="F735" s="133"/>
    </row>
    <row r="736">
      <c r="A736" s="138"/>
      <c r="C736" s="133"/>
      <c r="D736" s="133"/>
      <c r="E736" s="133"/>
      <c r="F736" s="133"/>
    </row>
    <row r="737">
      <c r="A737" s="138"/>
      <c r="C737" s="133"/>
      <c r="D737" s="133"/>
      <c r="E737" s="133"/>
      <c r="F737" s="133"/>
    </row>
    <row r="738">
      <c r="A738" s="138"/>
      <c r="C738" s="133"/>
      <c r="D738" s="133"/>
      <c r="E738" s="133"/>
      <c r="F738" s="133"/>
    </row>
    <row r="739">
      <c r="A739" s="138"/>
      <c r="C739" s="133"/>
      <c r="D739" s="133"/>
      <c r="E739" s="133"/>
      <c r="F739" s="133"/>
    </row>
    <row r="740">
      <c r="A740" s="138"/>
      <c r="C740" s="133"/>
      <c r="D740" s="133"/>
      <c r="E740" s="133"/>
      <c r="F740" s="133"/>
    </row>
    <row r="741">
      <c r="A741" s="138"/>
      <c r="C741" s="133"/>
      <c r="D741" s="133"/>
      <c r="E741" s="133"/>
      <c r="F741" s="133"/>
    </row>
    <row r="742">
      <c r="A742" s="138"/>
      <c r="C742" s="133"/>
      <c r="D742" s="133"/>
      <c r="E742" s="133"/>
      <c r="F742" s="133"/>
    </row>
    <row r="743">
      <c r="A743" s="138"/>
      <c r="C743" s="133"/>
      <c r="D743" s="133"/>
      <c r="E743" s="133"/>
      <c r="F743" s="133"/>
    </row>
    <row r="744">
      <c r="A744" s="138"/>
      <c r="C744" s="133"/>
      <c r="D744" s="133"/>
      <c r="E744" s="133"/>
      <c r="F744" s="133"/>
    </row>
    <row r="745">
      <c r="A745" s="138"/>
      <c r="C745" s="133"/>
      <c r="D745" s="133"/>
      <c r="E745" s="133"/>
      <c r="F745" s="133"/>
    </row>
    <row r="746">
      <c r="A746" s="138"/>
      <c r="C746" s="133"/>
      <c r="D746" s="133"/>
      <c r="E746" s="133"/>
      <c r="F746" s="133"/>
    </row>
    <row r="747">
      <c r="A747" s="138"/>
      <c r="C747" s="133"/>
      <c r="D747" s="133"/>
      <c r="E747" s="133"/>
      <c r="F747" s="133"/>
    </row>
    <row r="748">
      <c r="A748" s="138"/>
      <c r="C748" s="133"/>
      <c r="D748" s="133"/>
      <c r="E748" s="133"/>
      <c r="F748" s="133"/>
    </row>
    <row r="749">
      <c r="A749" s="138"/>
      <c r="C749" s="133"/>
      <c r="D749" s="133"/>
      <c r="E749" s="133"/>
      <c r="F749" s="133"/>
    </row>
    <row r="750">
      <c r="A750" s="138"/>
      <c r="C750" s="133"/>
      <c r="D750" s="133"/>
      <c r="E750" s="133"/>
      <c r="F750" s="133"/>
    </row>
    <row r="751">
      <c r="A751" s="138"/>
      <c r="C751" s="133"/>
      <c r="D751" s="133"/>
      <c r="E751" s="133"/>
      <c r="F751" s="133"/>
    </row>
    <row r="752">
      <c r="A752" s="138"/>
      <c r="C752" s="133"/>
      <c r="D752" s="133"/>
      <c r="E752" s="133"/>
      <c r="F752" s="133"/>
    </row>
    <row r="753">
      <c r="A753" s="138"/>
      <c r="C753" s="133"/>
      <c r="D753" s="133"/>
      <c r="E753" s="133"/>
      <c r="F753" s="133"/>
    </row>
    <row r="754">
      <c r="A754" s="138"/>
      <c r="C754" s="133"/>
      <c r="D754" s="133"/>
      <c r="E754" s="133"/>
      <c r="F754" s="133"/>
    </row>
    <row r="755">
      <c r="A755" s="138"/>
      <c r="C755" s="133"/>
      <c r="D755" s="133"/>
      <c r="E755" s="133"/>
      <c r="F755" s="133"/>
    </row>
    <row r="756">
      <c r="A756" s="138"/>
      <c r="C756" s="133"/>
      <c r="D756" s="133"/>
      <c r="E756" s="133"/>
      <c r="F756" s="133"/>
    </row>
    <row r="757">
      <c r="A757" s="138"/>
      <c r="C757" s="133"/>
      <c r="D757" s="133"/>
      <c r="E757" s="133"/>
      <c r="F757" s="133"/>
    </row>
    <row r="758">
      <c r="A758" s="138"/>
      <c r="C758" s="133"/>
      <c r="D758" s="133"/>
      <c r="E758" s="133"/>
      <c r="F758" s="133"/>
    </row>
    <row r="759">
      <c r="A759" s="138"/>
      <c r="C759" s="133"/>
      <c r="D759" s="133"/>
      <c r="E759" s="133"/>
      <c r="F759" s="133"/>
    </row>
    <row r="760">
      <c r="A760" s="138"/>
      <c r="C760" s="133"/>
      <c r="D760" s="133"/>
      <c r="E760" s="133"/>
      <c r="F760" s="133"/>
    </row>
    <row r="761">
      <c r="A761" s="138"/>
      <c r="C761" s="133"/>
      <c r="D761" s="133"/>
      <c r="E761" s="133"/>
      <c r="F761" s="133"/>
    </row>
    <row r="762">
      <c r="A762" s="138"/>
      <c r="C762" s="133"/>
      <c r="D762" s="133"/>
      <c r="E762" s="133"/>
      <c r="F762" s="133"/>
    </row>
    <row r="763">
      <c r="A763" s="138"/>
      <c r="C763" s="133"/>
      <c r="D763" s="133"/>
      <c r="E763" s="133"/>
      <c r="F763" s="133"/>
    </row>
    <row r="764">
      <c r="A764" s="138"/>
      <c r="C764" s="133"/>
      <c r="D764" s="133"/>
      <c r="E764" s="133"/>
      <c r="F764" s="133"/>
    </row>
    <row r="765">
      <c r="A765" s="138"/>
      <c r="C765" s="133"/>
      <c r="D765" s="133"/>
      <c r="E765" s="133"/>
      <c r="F765" s="133"/>
    </row>
    <row r="766">
      <c r="A766" s="138"/>
      <c r="C766" s="133"/>
      <c r="D766" s="133"/>
      <c r="E766" s="133"/>
      <c r="F766" s="133"/>
    </row>
    <row r="767">
      <c r="A767" s="138"/>
      <c r="C767" s="133"/>
      <c r="D767" s="133"/>
      <c r="E767" s="133"/>
      <c r="F767" s="133"/>
    </row>
    <row r="768">
      <c r="A768" s="138"/>
      <c r="C768" s="133"/>
      <c r="D768" s="133"/>
      <c r="E768" s="133"/>
      <c r="F768" s="133"/>
    </row>
    <row r="769">
      <c r="A769" s="138"/>
      <c r="C769" s="133"/>
      <c r="D769" s="133"/>
      <c r="E769" s="133"/>
      <c r="F769" s="133"/>
    </row>
    <row r="770">
      <c r="A770" s="138"/>
      <c r="C770" s="133"/>
      <c r="D770" s="133"/>
      <c r="E770" s="133"/>
      <c r="F770" s="133"/>
    </row>
    <row r="771">
      <c r="A771" s="138"/>
      <c r="C771" s="133"/>
      <c r="D771" s="133"/>
      <c r="E771" s="133"/>
      <c r="F771" s="133"/>
    </row>
    <row r="772">
      <c r="A772" s="138"/>
      <c r="C772" s="133"/>
      <c r="D772" s="133"/>
      <c r="E772" s="133"/>
      <c r="F772" s="133"/>
    </row>
    <row r="773">
      <c r="A773" s="138"/>
      <c r="C773" s="133"/>
      <c r="D773" s="133"/>
      <c r="E773" s="133"/>
      <c r="F773" s="133"/>
    </row>
    <row r="774">
      <c r="A774" s="138"/>
      <c r="C774" s="133"/>
      <c r="D774" s="133"/>
      <c r="E774" s="133"/>
      <c r="F774" s="133"/>
    </row>
    <row r="775">
      <c r="A775" s="138"/>
      <c r="C775" s="133"/>
      <c r="D775" s="133"/>
      <c r="E775" s="133"/>
      <c r="F775" s="133"/>
    </row>
    <row r="776">
      <c r="A776" s="138"/>
      <c r="C776" s="133"/>
      <c r="D776" s="133"/>
      <c r="E776" s="133"/>
      <c r="F776" s="133"/>
    </row>
    <row r="777">
      <c r="A777" s="138"/>
      <c r="C777" s="133"/>
      <c r="D777" s="133"/>
      <c r="E777" s="133"/>
      <c r="F777" s="133"/>
    </row>
    <row r="778">
      <c r="A778" s="138"/>
      <c r="C778" s="133"/>
      <c r="D778" s="133"/>
      <c r="E778" s="133"/>
      <c r="F778" s="133"/>
    </row>
    <row r="779">
      <c r="A779" s="138"/>
      <c r="C779" s="133"/>
      <c r="D779" s="133"/>
      <c r="E779" s="133"/>
      <c r="F779" s="133"/>
    </row>
    <row r="780">
      <c r="A780" s="138"/>
      <c r="C780" s="133"/>
      <c r="D780" s="133"/>
      <c r="E780" s="133"/>
      <c r="F780" s="133"/>
    </row>
    <row r="781">
      <c r="A781" s="138"/>
      <c r="C781" s="133"/>
      <c r="D781" s="133"/>
      <c r="E781" s="133"/>
      <c r="F781" s="133"/>
    </row>
    <row r="782">
      <c r="A782" s="138"/>
      <c r="C782" s="133"/>
      <c r="D782" s="133"/>
      <c r="E782" s="133"/>
      <c r="F782" s="133"/>
    </row>
    <row r="783">
      <c r="A783" s="138"/>
      <c r="C783" s="133"/>
      <c r="D783" s="133"/>
      <c r="E783" s="133"/>
      <c r="F783" s="133"/>
    </row>
    <row r="784">
      <c r="A784" s="138"/>
      <c r="C784" s="133"/>
      <c r="D784" s="133"/>
      <c r="E784" s="133"/>
      <c r="F784" s="133"/>
    </row>
    <row r="785">
      <c r="A785" s="138"/>
      <c r="C785" s="133"/>
      <c r="D785" s="133"/>
      <c r="E785" s="133"/>
      <c r="F785" s="133"/>
    </row>
    <row r="786">
      <c r="A786" s="138"/>
      <c r="C786" s="133"/>
      <c r="D786" s="133"/>
      <c r="E786" s="133"/>
      <c r="F786" s="133"/>
    </row>
    <row r="787">
      <c r="A787" s="138"/>
      <c r="C787" s="133"/>
      <c r="D787" s="133"/>
      <c r="E787" s="133"/>
      <c r="F787" s="133"/>
    </row>
    <row r="788">
      <c r="A788" s="138"/>
      <c r="C788" s="133"/>
      <c r="D788" s="133"/>
      <c r="E788" s="133"/>
      <c r="F788" s="133"/>
    </row>
    <row r="789">
      <c r="A789" s="138"/>
      <c r="C789" s="133"/>
      <c r="D789" s="133"/>
      <c r="E789" s="133"/>
      <c r="F789" s="133"/>
    </row>
    <row r="790">
      <c r="A790" s="138"/>
      <c r="C790" s="133"/>
      <c r="D790" s="133"/>
      <c r="E790" s="133"/>
      <c r="F790" s="133"/>
    </row>
    <row r="791">
      <c r="A791" s="138"/>
      <c r="C791" s="133"/>
      <c r="D791" s="133"/>
      <c r="E791" s="133"/>
      <c r="F791" s="133"/>
    </row>
    <row r="792">
      <c r="A792" s="138"/>
      <c r="C792" s="133"/>
      <c r="D792" s="133"/>
      <c r="E792" s="133"/>
      <c r="F792" s="133"/>
    </row>
    <row r="793">
      <c r="A793" s="138"/>
      <c r="C793" s="133"/>
      <c r="D793" s="133"/>
      <c r="E793" s="133"/>
      <c r="F793" s="133"/>
    </row>
    <row r="794">
      <c r="A794" s="138"/>
      <c r="C794" s="133"/>
      <c r="D794" s="133"/>
      <c r="E794" s="133"/>
      <c r="F794" s="133"/>
    </row>
    <row r="795">
      <c r="A795" s="138"/>
      <c r="C795" s="133"/>
      <c r="D795" s="133"/>
      <c r="E795" s="133"/>
      <c r="F795" s="133"/>
    </row>
    <row r="796">
      <c r="A796" s="138"/>
      <c r="C796" s="133"/>
      <c r="D796" s="133"/>
      <c r="E796" s="133"/>
      <c r="F796" s="133"/>
    </row>
    <row r="797">
      <c r="A797" s="138"/>
      <c r="C797" s="133"/>
      <c r="D797" s="133"/>
      <c r="E797" s="133"/>
      <c r="F797" s="133"/>
    </row>
    <row r="798">
      <c r="A798" s="138"/>
      <c r="C798" s="133"/>
      <c r="D798" s="133"/>
      <c r="E798" s="133"/>
      <c r="F798" s="133"/>
    </row>
    <row r="799">
      <c r="A799" s="138"/>
      <c r="C799" s="133"/>
      <c r="D799" s="133"/>
      <c r="E799" s="133"/>
      <c r="F799" s="133"/>
    </row>
    <row r="800">
      <c r="A800" s="138"/>
      <c r="C800" s="133"/>
      <c r="D800" s="133"/>
      <c r="E800" s="133"/>
      <c r="F800" s="133"/>
    </row>
    <row r="801">
      <c r="A801" s="138"/>
      <c r="C801" s="133"/>
      <c r="D801" s="133"/>
      <c r="E801" s="133"/>
      <c r="F801" s="133"/>
    </row>
    <row r="802">
      <c r="A802" s="138"/>
      <c r="C802" s="133"/>
      <c r="D802" s="133"/>
      <c r="E802" s="133"/>
      <c r="F802" s="133"/>
    </row>
    <row r="803">
      <c r="A803" s="138"/>
      <c r="C803" s="133"/>
      <c r="D803" s="133"/>
      <c r="E803" s="133"/>
      <c r="F803" s="133"/>
    </row>
    <row r="804">
      <c r="A804" s="138"/>
      <c r="C804" s="133"/>
      <c r="D804" s="133"/>
      <c r="E804" s="133"/>
      <c r="F804" s="133"/>
    </row>
    <row r="805">
      <c r="A805" s="138"/>
      <c r="C805" s="133"/>
      <c r="D805" s="133"/>
      <c r="E805" s="133"/>
      <c r="F805" s="133"/>
    </row>
    <row r="806">
      <c r="A806" s="138"/>
      <c r="C806" s="133"/>
      <c r="D806" s="133"/>
      <c r="E806" s="133"/>
      <c r="F806" s="133"/>
    </row>
    <row r="807">
      <c r="A807" s="138"/>
      <c r="C807" s="133"/>
      <c r="D807" s="133"/>
      <c r="E807" s="133"/>
      <c r="F807" s="133"/>
    </row>
    <row r="808">
      <c r="A808" s="138"/>
      <c r="C808" s="133"/>
      <c r="D808" s="133"/>
      <c r="E808" s="133"/>
      <c r="F808" s="133"/>
    </row>
    <row r="809">
      <c r="A809" s="138"/>
      <c r="C809" s="133"/>
      <c r="D809" s="133"/>
      <c r="E809" s="133"/>
      <c r="F809" s="133"/>
    </row>
    <row r="810">
      <c r="A810" s="138"/>
      <c r="C810" s="133"/>
      <c r="D810" s="133"/>
      <c r="E810" s="133"/>
      <c r="F810" s="133"/>
    </row>
    <row r="811">
      <c r="A811" s="138"/>
      <c r="C811" s="133"/>
      <c r="D811" s="133"/>
      <c r="E811" s="133"/>
      <c r="F811" s="133"/>
    </row>
    <row r="812">
      <c r="A812" s="138"/>
      <c r="C812" s="133"/>
      <c r="D812" s="133"/>
      <c r="E812" s="133"/>
      <c r="F812" s="133"/>
    </row>
    <row r="813">
      <c r="A813" s="138"/>
      <c r="C813" s="133"/>
      <c r="D813" s="133"/>
      <c r="E813" s="133"/>
      <c r="F813" s="133"/>
    </row>
    <row r="814">
      <c r="A814" s="138"/>
      <c r="C814" s="133"/>
      <c r="D814" s="133"/>
      <c r="E814" s="133"/>
      <c r="F814" s="133"/>
    </row>
    <row r="815">
      <c r="A815" s="138"/>
      <c r="C815" s="133"/>
      <c r="D815" s="133"/>
      <c r="E815" s="133"/>
      <c r="F815" s="133"/>
    </row>
    <row r="816">
      <c r="A816" s="138"/>
      <c r="C816" s="133"/>
      <c r="D816" s="133"/>
      <c r="E816" s="133"/>
      <c r="F816" s="133"/>
    </row>
    <row r="817">
      <c r="A817" s="138"/>
      <c r="C817" s="133"/>
      <c r="D817" s="133"/>
      <c r="E817" s="133"/>
      <c r="F817" s="133"/>
    </row>
    <row r="818">
      <c r="A818" s="138"/>
      <c r="C818" s="133"/>
      <c r="D818" s="133"/>
      <c r="E818" s="133"/>
      <c r="F818" s="133"/>
    </row>
    <row r="819">
      <c r="A819" s="138"/>
      <c r="C819" s="133"/>
      <c r="D819" s="133"/>
      <c r="E819" s="133"/>
      <c r="F819" s="133"/>
    </row>
    <row r="820">
      <c r="A820" s="138"/>
      <c r="C820" s="133"/>
      <c r="D820" s="133"/>
      <c r="E820" s="133"/>
      <c r="F820" s="133"/>
    </row>
    <row r="821">
      <c r="A821" s="138"/>
      <c r="C821" s="133"/>
      <c r="D821" s="133"/>
      <c r="E821" s="133"/>
      <c r="F821" s="133"/>
    </row>
    <row r="822">
      <c r="A822" s="138"/>
      <c r="C822" s="133"/>
      <c r="D822" s="133"/>
      <c r="E822" s="133"/>
      <c r="F822" s="133"/>
    </row>
    <row r="823">
      <c r="A823" s="138"/>
      <c r="C823" s="133"/>
      <c r="D823" s="133"/>
      <c r="E823" s="133"/>
      <c r="F823" s="133"/>
    </row>
    <row r="824">
      <c r="A824" s="138"/>
      <c r="C824" s="133"/>
      <c r="D824" s="133"/>
      <c r="E824" s="133"/>
      <c r="F824" s="133"/>
    </row>
    <row r="825">
      <c r="A825" s="138"/>
      <c r="C825" s="133"/>
      <c r="D825" s="133"/>
      <c r="E825" s="133"/>
      <c r="F825" s="133"/>
    </row>
    <row r="826">
      <c r="A826" s="138"/>
      <c r="C826" s="133"/>
      <c r="D826" s="133"/>
      <c r="E826" s="133"/>
      <c r="F826" s="133"/>
    </row>
    <row r="827">
      <c r="A827" s="138"/>
      <c r="C827" s="133"/>
      <c r="D827" s="133"/>
      <c r="E827" s="133"/>
      <c r="F827" s="133"/>
    </row>
    <row r="828">
      <c r="A828" s="138"/>
      <c r="C828" s="133"/>
      <c r="D828" s="133"/>
      <c r="E828" s="133"/>
      <c r="F828" s="133"/>
    </row>
    <row r="829">
      <c r="A829" s="138"/>
      <c r="C829" s="133"/>
      <c r="D829" s="133"/>
      <c r="E829" s="133"/>
      <c r="F829" s="133"/>
    </row>
    <row r="830">
      <c r="A830" s="138"/>
      <c r="C830" s="133"/>
      <c r="D830" s="133"/>
      <c r="E830" s="133"/>
      <c r="F830" s="133"/>
    </row>
    <row r="831">
      <c r="A831" s="138"/>
      <c r="C831" s="133"/>
      <c r="D831" s="133"/>
      <c r="E831" s="133"/>
      <c r="F831" s="133"/>
    </row>
    <row r="832">
      <c r="A832" s="138"/>
      <c r="C832" s="133"/>
      <c r="D832" s="133"/>
      <c r="E832" s="133"/>
      <c r="F832" s="133"/>
    </row>
    <row r="833">
      <c r="A833" s="138"/>
      <c r="C833" s="133"/>
      <c r="D833" s="133"/>
      <c r="E833" s="133"/>
      <c r="F833" s="133"/>
    </row>
    <row r="834">
      <c r="A834" s="138"/>
      <c r="C834" s="133"/>
      <c r="D834" s="133"/>
      <c r="E834" s="133"/>
      <c r="F834" s="133"/>
    </row>
    <row r="835">
      <c r="A835" s="138"/>
      <c r="C835" s="133"/>
      <c r="D835" s="133"/>
      <c r="E835" s="133"/>
      <c r="F835" s="133"/>
    </row>
    <row r="836">
      <c r="A836" s="138"/>
      <c r="C836" s="133"/>
      <c r="D836" s="133"/>
      <c r="E836" s="133"/>
      <c r="F836" s="133"/>
    </row>
    <row r="837">
      <c r="A837" s="138"/>
      <c r="C837" s="133"/>
      <c r="D837" s="133"/>
      <c r="E837" s="133"/>
      <c r="F837" s="133"/>
    </row>
    <row r="838">
      <c r="A838" s="138"/>
      <c r="C838" s="133"/>
      <c r="D838" s="133"/>
      <c r="E838" s="133"/>
      <c r="F838" s="133"/>
    </row>
    <row r="839">
      <c r="A839" s="138"/>
      <c r="C839" s="133"/>
      <c r="D839" s="133"/>
      <c r="E839" s="133"/>
      <c r="F839" s="133"/>
    </row>
    <row r="840">
      <c r="A840" s="138"/>
      <c r="C840" s="133"/>
      <c r="D840" s="133"/>
      <c r="E840" s="133"/>
      <c r="F840" s="133"/>
    </row>
    <row r="841">
      <c r="A841" s="138"/>
      <c r="C841" s="133"/>
      <c r="D841" s="133"/>
      <c r="E841" s="133"/>
      <c r="F841" s="133"/>
    </row>
    <row r="842">
      <c r="A842" s="138"/>
      <c r="C842" s="133"/>
      <c r="D842" s="133"/>
      <c r="E842" s="133"/>
      <c r="F842" s="133"/>
    </row>
    <row r="843">
      <c r="A843" s="138"/>
      <c r="C843" s="133"/>
      <c r="D843" s="133"/>
      <c r="E843" s="133"/>
      <c r="F843" s="133"/>
    </row>
    <row r="844">
      <c r="A844" s="138"/>
      <c r="C844" s="133"/>
      <c r="D844" s="133"/>
      <c r="E844" s="133"/>
      <c r="F844" s="133"/>
    </row>
    <row r="845">
      <c r="A845" s="138"/>
      <c r="C845" s="133"/>
      <c r="D845" s="133"/>
      <c r="E845" s="133"/>
      <c r="F845" s="133"/>
    </row>
    <row r="846">
      <c r="A846" s="138"/>
      <c r="C846" s="133"/>
      <c r="D846" s="133"/>
      <c r="E846" s="133"/>
      <c r="F846" s="133"/>
    </row>
    <row r="847">
      <c r="A847" s="138"/>
      <c r="C847" s="133"/>
      <c r="D847" s="133"/>
      <c r="E847" s="133"/>
      <c r="F847" s="133"/>
    </row>
    <row r="848">
      <c r="A848" s="138"/>
      <c r="C848" s="133"/>
      <c r="D848" s="133"/>
      <c r="E848" s="133"/>
      <c r="F848" s="133"/>
    </row>
    <row r="849">
      <c r="A849" s="138"/>
      <c r="C849" s="133"/>
      <c r="D849" s="133"/>
      <c r="E849" s="133"/>
      <c r="F849" s="133"/>
    </row>
    <row r="850">
      <c r="A850" s="138"/>
      <c r="C850" s="133"/>
      <c r="D850" s="133"/>
      <c r="E850" s="133"/>
      <c r="F850" s="133"/>
    </row>
    <row r="851">
      <c r="A851" s="138"/>
      <c r="C851" s="133"/>
      <c r="D851" s="133"/>
      <c r="E851" s="133"/>
      <c r="F851" s="133"/>
    </row>
    <row r="852">
      <c r="A852" s="138"/>
      <c r="C852" s="133"/>
      <c r="D852" s="133"/>
      <c r="E852" s="133"/>
      <c r="F852" s="133"/>
    </row>
    <row r="853">
      <c r="A853" s="138"/>
      <c r="C853" s="133"/>
      <c r="D853" s="133"/>
      <c r="E853" s="133"/>
      <c r="F853" s="133"/>
    </row>
    <row r="854">
      <c r="A854" s="138"/>
      <c r="C854" s="133"/>
      <c r="D854" s="133"/>
      <c r="E854" s="133"/>
      <c r="F854" s="133"/>
    </row>
    <row r="855">
      <c r="A855" s="138"/>
      <c r="C855" s="133"/>
      <c r="D855" s="133"/>
      <c r="E855" s="133"/>
      <c r="F855" s="133"/>
    </row>
    <row r="856">
      <c r="A856" s="138"/>
      <c r="C856" s="133"/>
      <c r="D856" s="133"/>
      <c r="E856" s="133"/>
      <c r="F856" s="133"/>
    </row>
    <row r="857">
      <c r="A857" s="138"/>
      <c r="C857" s="133"/>
      <c r="D857" s="133"/>
      <c r="E857" s="133"/>
      <c r="F857" s="133"/>
    </row>
    <row r="858">
      <c r="A858" s="138"/>
      <c r="C858" s="133"/>
      <c r="D858" s="133"/>
      <c r="E858" s="133"/>
      <c r="F858" s="133"/>
    </row>
    <row r="859">
      <c r="A859" s="138"/>
      <c r="C859" s="133"/>
      <c r="D859" s="133"/>
      <c r="E859" s="133"/>
      <c r="F859" s="133"/>
    </row>
    <row r="860">
      <c r="A860" s="138"/>
      <c r="C860" s="133"/>
      <c r="D860" s="133"/>
      <c r="E860" s="133"/>
      <c r="F860" s="133"/>
    </row>
    <row r="861">
      <c r="A861" s="138"/>
      <c r="C861" s="133"/>
      <c r="D861" s="133"/>
      <c r="E861" s="133"/>
      <c r="F861" s="133"/>
    </row>
    <row r="862">
      <c r="A862" s="138"/>
      <c r="C862" s="133"/>
      <c r="D862" s="133"/>
      <c r="E862" s="133"/>
      <c r="F862" s="133"/>
    </row>
    <row r="863">
      <c r="A863" s="138"/>
      <c r="C863" s="133"/>
      <c r="D863" s="133"/>
      <c r="E863" s="133"/>
      <c r="F863" s="133"/>
    </row>
    <row r="864">
      <c r="A864" s="138"/>
      <c r="C864" s="133"/>
      <c r="D864" s="133"/>
      <c r="E864" s="133"/>
      <c r="F864" s="133"/>
    </row>
    <row r="865">
      <c r="A865" s="138"/>
      <c r="C865" s="133"/>
      <c r="D865" s="133"/>
      <c r="E865" s="133"/>
      <c r="F865" s="133"/>
    </row>
    <row r="866">
      <c r="A866" s="138"/>
      <c r="C866" s="133"/>
      <c r="D866" s="133"/>
      <c r="E866" s="133"/>
      <c r="F866" s="133"/>
    </row>
    <row r="867">
      <c r="A867" s="138"/>
      <c r="C867" s="133"/>
      <c r="D867" s="133"/>
      <c r="E867" s="133"/>
      <c r="F867" s="133"/>
    </row>
    <row r="868">
      <c r="A868" s="138"/>
      <c r="C868" s="133"/>
      <c r="D868" s="133"/>
      <c r="E868" s="133"/>
      <c r="F868" s="133"/>
    </row>
    <row r="869">
      <c r="A869" s="138"/>
      <c r="C869" s="133"/>
      <c r="D869" s="133"/>
      <c r="E869" s="133"/>
      <c r="F869" s="133"/>
    </row>
    <row r="870">
      <c r="A870" s="138"/>
      <c r="C870" s="133"/>
      <c r="D870" s="133"/>
      <c r="E870" s="133"/>
      <c r="F870" s="133"/>
    </row>
    <row r="871">
      <c r="A871" s="138"/>
      <c r="C871" s="133"/>
      <c r="D871" s="133"/>
      <c r="E871" s="133"/>
      <c r="F871" s="133"/>
    </row>
    <row r="872">
      <c r="A872" s="138"/>
      <c r="C872" s="133"/>
      <c r="D872" s="133"/>
      <c r="E872" s="133"/>
      <c r="F872" s="133"/>
    </row>
    <row r="873">
      <c r="A873" s="138"/>
      <c r="C873" s="133"/>
      <c r="D873" s="133"/>
      <c r="E873" s="133"/>
      <c r="F873" s="133"/>
    </row>
    <row r="874">
      <c r="A874" s="138"/>
      <c r="C874" s="133"/>
      <c r="D874" s="133"/>
      <c r="E874" s="133"/>
      <c r="F874" s="133"/>
    </row>
    <row r="875">
      <c r="A875" s="138"/>
      <c r="C875" s="133"/>
      <c r="D875" s="133"/>
      <c r="E875" s="133"/>
      <c r="F875" s="133"/>
    </row>
    <row r="876">
      <c r="A876" s="138"/>
      <c r="C876" s="133"/>
      <c r="D876" s="133"/>
      <c r="E876" s="133"/>
      <c r="F876" s="133"/>
    </row>
    <row r="877">
      <c r="A877" s="138"/>
      <c r="C877" s="133"/>
      <c r="D877" s="133"/>
      <c r="E877" s="133"/>
      <c r="F877" s="133"/>
    </row>
    <row r="878">
      <c r="A878" s="138"/>
      <c r="C878" s="133"/>
      <c r="D878" s="133"/>
      <c r="E878" s="133"/>
      <c r="F878" s="133"/>
    </row>
    <row r="879">
      <c r="A879" s="138"/>
      <c r="C879" s="133"/>
      <c r="D879" s="133"/>
      <c r="E879" s="133"/>
      <c r="F879" s="133"/>
    </row>
    <row r="880">
      <c r="A880" s="138"/>
      <c r="C880" s="133"/>
      <c r="D880" s="133"/>
      <c r="E880" s="133"/>
      <c r="F880" s="133"/>
    </row>
    <row r="881">
      <c r="A881" s="138"/>
      <c r="C881" s="133"/>
      <c r="D881" s="133"/>
      <c r="E881" s="133"/>
      <c r="F881" s="133"/>
    </row>
    <row r="882">
      <c r="A882" s="138"/>
      <c r="C882" s="133"/>
      <c r="D882" s="133"/>
      <c r="E882" s="133"/>
      <c r="F882" s="133"/>
    </row>
    <row r="883">
      <c r="A883" s="138"/>
      <c r="C883" s="133"/>
      <c r="D883" s="133"/>
      <c r="E883" s="133"/>
      <c r="F883" s="133"/>
    </row>
    <row r="884">
      <c r="A884" s="138"/>
      <c r="C884" s="133"/>
      <c r="D884" s="133"/>
      <c r="E884" s="133"/>
      <c r="F884" s="133"/>
    </row>
    <row r="885">
      <c r="A885" s="138"/>
      <c r="C885" s="133"/>
      <c r="D885" s="133"/>
      <c r="E885" s="133"/>
      <c r="F885" s="133"/>
    </row>
    <row r="886">
      <c r="A886" s="138"/>
      <c r="C886" s="133"/>
      <c r="D886" s="133"/>
      <c r="E886" s="133"/>
      <c r="F886" s="133"/>
    </row>
    <row r="887">
      <c r="A887" s="138"/>
      <c r="C887" s="133"/>
      <c r="D887" s="133"/>
      <c r="E887" s="133"/>
      <c r="F887" s="133"/>
    </row>
    <row r="888">
      <c r="A888" s="138"/>
      <c r="C888" s="133"/>
      <c r="D888" s="133"/>
      <c r="E888" s="133"/>
      <c r="F888" s="133"/>
    </row>
    <row r="889">
      <c r="A889" s="138"/>
      <c r="C889" s="133"/>
      <c r="D889" s="133"/>
      <c r="E889" s="133"/>
      <c r="F889" s="133"/>
    </row>
    <row r="890">
      <c r="A890" s="138"/>
      <c r="C890" s="133"/>
      <c r="D890" s="133"/>
      <c r="E890" s="133"/>
      <c r="F890" s="133"/>
    </row>
    <row r="891">
      <c r="A891" s="138"/>
      <c r="C891" s="133"/>
      <c r="D891" s="133"/>
      <c r="E891" s="133"/>
      <c r="F891" s="133"/>
    </row>
    <row r="892">
      <c r="A892" s="138"/>
      <c r="C892" s="133"/>
      <c r="D892" s="133"/>
      <c r="E892" s="133"/>
      <c r="F892" s="133"/>
    </row>
    <row r="893">
      <c r="A893" s="138"/>
      <c r="C893" s="133"/>
      <c r="D893" s="133"/>
      <c r="E893" s="133"/>
      <c r="F893" s="133"/>
    </row>
    <row r="894">
      <c r="A894" s="138"/>
      <c r="C894" s="133"/>
      <c r="D894" s="133"/>
      <c r="E894" s="133"/>
      <c r="F894" s="133"/>
    </row>
    <row r="895">
      <c r="A895" s="138"/>
      <c r="C895" s="133"/>
      <c r="D895" s="133"/>
      <c r="E895" s="133"/>
      <c r="F895" s="133"/>
    </row>
    <row r="896">
      <c r="A896" s="138"/>
      <c r="C896" s="133"/>
      <c r="D896" s="133"/>
      <c r="E896" s="133"/>
      <c r="F896" s="133"/>
    </row>
    <row r="897">
      <c r="A897" s="138"/>
      <c r="C897" s="133"/>
      <c r="D897" s="133"/>
      <c r="E897" s="133"/>
      <c r="F897" s="133"/>
    </row>
    <row r="898">
      <c r="A898" s="138"/>
      <c r="C898" s="133"/>
      <c r="D898" s="133"/>
      <c r="E898" s="133"/>
      <c r="F898" s="133"/>
    </row>
    <row r="899">
      <c r="A899" s="138"/>
      <c r="C899" s="133"/>
      <c r="D899" s="133"/>
      <c r="E899" s="133"/>
      <c r="F899" s="133"/>
    </row>
    <row r="900">
      <c r="A900" s="138"/>
      <c r="C900" s="133"/>
      <c r="D900" s="133"/>
      <c r="E900" s="133"/>
      <c r="F900" s="133"/>
    </row>
    <row r="901">
      <c r="A901" s="138"/>
      <c r="C901" s="133"/>
      <c r="D901" s="133"/>
      <c r="E901" s="133"/>
      <c r="F901" s="133"/>
    </row>
    <row r="902">
      <c r="A902" s="138"/>
      <c r="C902" s="133"/>
      <c r="D902" s="133"/>
      <c r="E902" s="133"/>
      <c r="F902" s="133"/>
    </row>
    <row r="903">
      <c r="A903" s="138"/>
      <c r="C903" s="133"/>
      <c r="D903" s="133"/>
      <c r="E903" s="133"/>
      <c r="F903" s="133"/>
    </row>
    <row r="904">
      <c r="A904" s="138"/>
      <c r="C904" s="133"/>
      <c r="D904" s="133"/>
      <c r="E904" s="133"/>
      <c r="F904" s="133"/>
    </row>
    <row r="905">
      <c r="A905" s="138"/>
      <c r="C905" s="133"/>
      <c r="D905" s="133"/>
      <c r="E905" s="133"/>
      <c r="F905" s="133"/>
    </row>
    <row r="906">
      <c r="A906" s="138"/>
      <c r="C906" s="133"/>
      <c r="D906" s="133"/>
      <c r="E906" s="133"/>
      <c r="F906" s="133"/>
    </row>
    <row r="907">
      <c r="A907" s="138"/>
      <c r="C907" s="133"/>
      <c r="D907" s="133"/>
      <c r="E907" s="133"/>
      <c r="F907" s="133"/>
    </row>
    <row r="908">
      <c r="A908" s="138"/>
      <c r="C908" s="133"/>
      <c r="D908" s="133"/>
      <c r="E908" s="133"/>
      <c r="F908" s="133"/>
    </row>
    <row r="909">
      <c r="A909" s="138"/>
      <c r="C909" s="133"/>
      <c r="D909" s="133"/>
      <c r="E909" s="133"/>
      <c r="F909" s="133"/>
    </row>
    <row r="910">
      <c r="A910" s="138"/>
      <c r="C910" s="133"/>
      <c r="D910" s="133"/>
      <c r="E910" s="133"/>
      <c r="F910" s="133"/>
    </row>
    <row r="911">
      <c r="A911" s="138"/>
      <c r="C911" s="133"/>
      <c r="D911" s="133"/>
      <c r="E911" s="133"/>
      <c r="F911" s="133"/>
    </row>
    <row r="912">
      <c r="A912" s="138"/>
      <c r="C912" s="133"/>
      <c r="D912" s="133"/>
      <c r="E912" s="133"/>
      <c r="F912" s="133"/>
    </row>
    <row r="913">
      <c r="A913" s="138"/>
      <c r="C913" s="133"/>
      <c r="D913" s="133"/>
      <c r="E913" s="133"/>
      <c r="F913" s="133"/>
    </row>
    <row r="914">
      <c r="A914" s="138"/>
      <c r="C914" s="133"/>
      <c r="D914" s="133"/>
      <c r="E914" s="133"/>
      <c r="F914" s="133"/>
    </row>
    <row r="915">
      <c r="A915" s="138"/>
      <c r="C915" s="133"/>
      <c r="D915" s="133"/>
      <c r="E915" s="133"/>
      <c r="F915" s="133"/>
    </row>
    <row r="916">
      <c r="A916" s="138"/>
      <c r="C916" s="133"/>
      <c r="D916" s="133"/>
      <c r="E916" s="133"/>
      <c r="F916" s="133"/>
    </row>
    <row r="917">
      <c r="A917" s="138"/>
      <c r="C917" s="133"/>
      <c r="D917" s="133"/>
      <c r="E917" s="133"/>
      <c r="F917" s="133"/>
    </row>
    <row r="918">
      <c r="A918" s="138"/>
      <c r="C918" s="133"/>
      <c r="D918" s="133"/>
      <c r="E918" s="133"/>
      <c r="F918" s="133"/>
    </row>
    <row r="919">
      <c r="A919" s="138"/>
      <c r="C919" s="133"/>
      <c r="D919" s="133"/>
      <c r="E919" s="133"/>
      <c r="F919" s="133"/>
    </row>
    <row r="920">
      <c r="A920" s="138"/>
      <c r="C920" s="133"/>
      <c r="D920" s="133"/>
      <c r="E920" s="133"/>
      <c r="F920" s="133"/>
    </row>
    <row r="921">
      <c r="A921" s="138"/>
      <c r="C921" s="133"/>
      <c r="D921" s="133"/>
      <c r="E921" s="133"/>
      <c r="F921" s="133"/>
    </row>
    <row r="922">
      <c r="A922" s="138"/>
      <c r="C922" s="133"/>
      <c r="D922" s="133"/>
      <c r="E922" s="133"/>
      <c r="F922" s="133"/>
    </row>
    <row r="923">
      <c r="A923" s="138"/>
      <c r="C923" s="133"/>
      <c r="D923" s="133"/>
      <c r="E923" s="133"/>
      <c r="F923" s="133"/>
    </row>
    <row r="924">
      <c r="A924" s="138"/>
      <c r="C924" s="133"/>
      <c r="D924" s="133"/>
      <c r="E924" s="133"/>
      <c r="F924" s="133"/>
    </row>
    <row r="925">
      <c r="A925" s="138"/>
      <c r="C925" s="133"/>
      <c r="D925" s="133"/>
      <c r="E925" s="133"/>
      <c r="F925" s="133"/>
    </row>
    <row r="926">
      <c r="A926" s="138"/>
      <c r="C926" s="133"/>
      <c r="D926" s="133"/>
      <c r="E926" s="133"/>
      <c r="F926" s="133"/>
    </row>
    <row r="927">
      <c r="A927" s="138"/>
      <c r="C927" s="133"/>
      <c r="D927" s="133"/>
      <c r="E927" s="133"/>
      <c r="F927" s="133"/>
    </row>
    <row r="928">
      <c r="A928" s="138"/>
      <c r="C928" s="133"/>
      <c r="D928" s="133"/>
      <c r="E928" s="133"/>
      <c r="F928" s="133"/>
    </row>
    <row r="929">
      <c r="A929" s="138"/>
      <c r="C929" s="133"/>
      <c r="D929" s="133"/>
      <c r="E929" s="133"/>
      <c r="F929" s="133"/>
    </row>
    <row r="930">
      <c r="A930" s="138"/>
      <c r="C930" s="133"/>
      <c r="D930" s="133"/>
      <c r="E930" s="133"/>
      <c r="F930" s="133"/>
    </row>
    <row r="931">
      <c r="A931" s="138"/>
      <c r="C931" s="133"/>
      <c r="D931" s="133"/>
      <c r="E931" s="133"/>
      <c r="F931" s="133"/>
    </row>
    <row r="932">
      <c r="A932" s="138"/>
      <c r="C932" s="133"/>
      <c r="D932" s="133"/>
      <c r="E932" s="133"/>
      <c r="F932" s="133"/>
    </row>
    <row r="933">
      <c r="A933" s="138"/>
      <c r="C933" s="133"/>
      <c r="D933" s="133"/>
      <c r="E933" s="133"/>
      <c r="F933" s="133"/>
    </row>
    <row r="934">
      <c r="A934" s="138"/>
      <c r="C934" s="133"/>
      <c r="D934" s="133"/>
      <c r="E934" s="133"/>
      <c r="F934" s="133"/>
    </row>
    <row r="935">
      <c r="A935" s="138"/>
      <c r="C935" s="133"/>
      <c r="D935" s="133"/>
      <c r="E935" s="133"/>
      <c r="F935" s="133"/>
    </row>
    <row r="936">
      <c r="A936" s="138"/>
      <c r="C936" s="133"/>
      <c r="D936" s="133"/>
      <c r="E936" s="133"/>
      <c r="F936" s="133"/>
    </row>
    <row r="937">
      <c r="A937" s="138"/>
      <c r="C937" s="133"/>
      <c r="D937" s="133"/>
      <c r="E937" s="133"/>
      <c r="F937" s="133"/>
    </row>
    <row r="938">
      <c r="A938" s="138"/>
      <c r="C938" s="133"/>
      <c r="D938" s="133"/>
      <c r="E938" s="133"/>
      <c r="F938" s="133"/>
    </row>
    <row r="939">
      <c r="A939" s="138"/>
      <c r="C939" s="133"/>
      <c r="D939" s="133"/>
      <c r="E939" s="133"/>
      <c r="F939" s="133"/>
    </row>
    <row r="940">
      <c r="A940" s="138"/>
      <c r="C940" s="133"/>
      <c r="D940" s="133"/>
      <c r="E940" s="133"/>
      <c r="F940" s="133"/>
    </row>
    <row r="941">
      <c r="A941" s="138"/>
      <c r="C941" s="133"/>
      <c r="D941" s="133"/>
      <c r="E941" s="133"/>
      <c r="F941" s="133"/>
    </row>
    <row r="942">
      <c r="A942" s="138"/>
      <c r="C942" s="133"/>
      <c r="D942" s="133"/>
      <c r="E942" s="133"/>
      <c r="F942" s="133"/>
    </row>
    <row r="943">
      <c r="A943" s="138"/>
      <c r="C943" s="133"/>
      <c r="D943" s="133"/>
      <c r="E943" s="133"/>
      <c r="F943" s="133"/>
    </row>
    <row r="944">
      <c r="A944" s="138"/>
      <c r="C944" s="133"/>
      <c r="D944" s="133"/>
      <c r="E944" s="133"/>
      <c r="F944" s="133"/>
    </row>
    <row r="945">
      <c r="A945" s="138"/>
      <c r="C945" s="133"/>
      <c r="D945" s="133"/>
      <c r="E945" s="133"/>
      <c r="F945" s="133"/>
    </row>
    <row r="946">
      <c r="A946" s="138"/>
      <c r="C946" s="133"/>
      <c r="D946" s="133"/>
      <c r="E946" s="133"/>
      <c r="F946" s="133"/>
    </row>
    <row r="947">
      <c r="A947" s="138"/>
      <c r="C947" s="133"/>
      <c r="D947" s="133"/>
      <c r="E947" s="133"/>
      <c r="F947" s="133"/>
    </row>
    <row r="948">
      <c r="A948" s="138"/>
      <c r="C948" s="133"/>
      <c r="D948" s="133"/>
      <c r="E948" s="133"/>
      <c r="F948" s="133"/>
    </row>
    <row r="949">
      <c r="A949" s="138"/>
      <c r="C949" s="133"/>
      <c r="D949" s="133"/>
      <c r="E949" s="133"/>
      <c r="F949" s="133"/>
    </row>
    <row r="950">
      <c r="A950" s="138"/>
      <c r="C950" s="133"/>
      <c r="D950" s="133"/>
      <c r="E950" s="133"/>
      <c r="F950" s="133"/>
    </row>
    <row r="951">
      <c r="A951" s="138"/>
      <c r="C951" s="133"/>
      <c r="D951" s="133"/>
      <c r="E951" s="133"/>
      <c r="F951" s="133"/>
    </row>
    <row r="952">
      <c r="A952" s="138"/>
      <c r="C952" s="133"/>
      <c r="D952" s="133"/>
      <c r="E952" s="133"/>
      <c r="F952" s="133"/>
    </row>
    <row r="953">
      <c r="A953" s="138"/>
      <c r="C953" s="133"/>
      <c r="D953" s="133"/>
      <c r="E953" s="133"/>
      <c r="F953" s="133"/>
    </row>
    <row r="954">
      <c r="A954" s="138"/>
      <c r="C954" s="133"/>
      <c r="D954" s="133"/>
      <c r="E954" s="133"/>
      <c r="F954" s="133"/>
    </row>
    <row r="955">
      <c r="A955" s="138"/>
      <c r="C955" s="133"/>
      <c r="D955" s="133"/>
      <c r="E955" s="133"/>
      <c r="F955" s="133"/>
    </row>
    <row r="956">
      <c r="A956" s="138"/>
      <c r="C956" s="133"/>
      <c r="D956" s="133"/>
      <c r="E956" s="133"/>
      <c r="F956" s="133"/>
    </row>
    <row r="957">
      <c r="A957" s="138"/>
      <c r="C957" s="133"/>
      <c r="D957" s="133"/>
      <c r="E957" s="133"/>
      <c r="F957" s="133"/>
    </row>
    <row r="958">
      <c r="A958" s="138"/>
      <c r="C958" s="133"/>
      <c r="D958" s="133"/>
      <c r="E958" s="133"/>
      <c r="F958" s="133"/>
    </row>
    <row r="959">
      <c r="A959" s="138"/>
      <c r="C959" s="133"/>
      <c r="D959" s="133"/>
      <c r="E959" s="133"/>
      <c r="F959" s="133"/>
    </row>
    <row r="960">
      <c r="A960" s="138"/>
      <c r="C960" s="133"/>
      <c r="D960" s="133"/>
      <c r="E960" s="133"/>
      <c r="F960" s="133"/>
    </row>
    <row r="961">
      <c r="A961" s="138"/>
      <c r="C961" s="133"/>
      <c r="D961" s="133"/>
      <c r="E961" s="133"/>
      <c r="F961" s="133"/>
    </row>
    <row r="962">
      <c r="A962" s="138"/>
      <c r="C962" s="133"/>
      <c r="D962" s="133"/>
      <c r="E962" s="133"/>
      <c r="F962" s="133"/>
    </row>
    <row r="963">
      <c r="A963" s="138"/>
      <c r="C963" s="133"/>
      <c r="D963" s="133"/>
      <c r="E963" s="133"/>
      <c r="F963" s="133"/>
    </row>
    <row r="964">
      <c r="A964" s="138"/>
      <c r="C964" s="133"/>
      <c r="D964" s="133"/>
      <c r="E964" s="133"/>
      <c r="F964" s="133"/>
    </row>
    <row r="965">
      <c r="A965" s="138"/>
      <c r="C965" s="133"/>
      <c r="D965" s="133"/>
      <c r="E965" s="133"/>
      <c r="F965" s="133"/>
    </row>
    <row r="966">
      <c r="A966" s="138"/>
      <c r="C966" s="133"/>
      <c r="D966" s="133"/>
      <c r="E966" s="133"/>
      <c r="F966" s="133"/>
    </row>
    <row r="967">
      <c r="A967" s="138"/>
      <c r="C967" s="133"/>
      <c r="D967" s="133"/>
      <c r="E967" s="133"/>
      <c r="F967" s="133"/>
    </row>
    <row r="968">
      <c r="A968" s="138"/>
      <c r="C968" s="133"/>
      <c r="D968" s="133"/>
      <c r="E968" s="133"/>
      <c r="F968" s="133"/>
    </row>
    <row r="969">
      <c r="A969" s="138"/>
      <c r="C969" s="133"/>
      <c r="D969" s="133"/>
      <c r="E969" s="133"/>
      <c r="F969" s="133"/>
    </row>
    <row r="970">
      <c r="A970" s="138"/>
      <c r="C970" s="133"/>
      <c r="D970" s="133"/>
      <c r="E970" s="133"/>
      <c r="F970" s="133"/>
    </row>
    <row r="971">
      <c r="A971" s="138"/>
      <c r="C971" s="133"/>
      <c r="D971" s="133"/>
      <c r="E971" s="133"/>
      <c r="F971" s="133"/>
    </row>
    <row r="972">
      <c r="A972" s="138"/>
      <c r="C972" s="133"/>
      <c r="D972" s="133"/>
      <c r="E972" s="133"/>
      <c r="F972" s="133"/>
    </row>
    <row r="973">
      <c r="A973" s="138"/>
      <c r="C973" s="133"/>
      <c r="D973" s="133"/>
      <c r="E973" s="133"/>
      <c r="F973" s="133"/>
    </row>
    <row r="974">
      <c r="A974" s="138"/>
      <c r="C974" s="133"/>
      <c r="D974" s="133"/>
      <c r="E974" s="133"/>
      <c r="F974" s="133"/>
    </row>
    <row r="975">
      <c r="A975" s="138"/>
      <c r="C975" s="133"/>
      <c r="D975" s="133"/>
      <c r="E975" s="133"/>
      <c r="F975" s="133"/>
    </row>
    <row r="976">
      <c r="A976" s="138"/>
      <c r="C976" s="133"/>
      <c r="D976" s="133"/>
      <c r="E976" s="133"/>
      <c r="F976" s="133"/>
    </row>
    <row r="977">
      <c r="A977" s="138"/>
      <c r="C977" s="133"/>
      <c r="D977" s="133"/>
      <c r="E977" s="133"/>
      <c r="F977" s="133"/>
    </row>
    <row r="978">
      <c r="A978" s="138"/>
      <c r="C978" s="133"/>
      <c r="D978" s="133"/>
      <c r="E978" s="133"/>
      <c r="F978" s="133"/>
    </row>
    <row r="979">
      <c r="A979" s="138"/>
      <c r="C979" s="133"/>
      <c r="D979" s="133"/>
      <c r="E979" s="133"/>
      <c r="F979" s="133"/>
    </row>
    <row r="980">
      <c r="A980" s="138"/>
      <c r="C980" s="133"/>
      <c r="D980" s="133"/>
      <c r="E980" s="133"/>
      <c r="F980" s="133"/>
    </row>
    <row r="981">
      <c r="A981" s="138"/>
      <c r="C981" s="133"/>
      <c r="D981" s="133"/>
      <c r="E981" s="133"/>
      <c r="F981" s="133"/>
    </row>
    <row r="982">
      <c r="A982" s="138"/>
      <c r="C982" s="133"/>
      <c r="D982" s="133"/>
      <c r="E982" s="133"/>
      <c r="F982" s="133"/>
    </row>
    <row r="983">
      <c r="A983" s="138"/>
      <c r="C983" s="133"/>
      <c r="D983" s="133"/>
      <c r="E983" s="133"/>
      <c r="F983" s="133"/>
    </row>
    <row r="984">
      <c r="A984" s="138"/>
      <c r="C984" s="133"/>
      <c r="D984" s="133"/>
      <c r="E984" s="133"/>
      <c r="F984" s="133"/>
    </row>
    <row r="985">
      <c r="A985" s="138"/>
      <c r="C985" s="133"/>
      <c r="D985" s="133"/>
      <c r="E985" s="133"/>
      <c r="F985" s="133"/>
    </row>
    <row r="986">
      <c r="A986" s="138"/>
      <c r="C986" s="133"/>
      <c r="D986" s="133"/>
      <c r="E986" s="133"/>
      <c r="F986" s="133"/>
    </row>
    <row r="987">
      <c r="A987" s="138"/>
      <c r="C987" s="133"/>
      <c r="D987" s="133"/>
      <c r="E987" s="133"/>
      <c r="F987" s="133"/>
    </row>
    <row r="988">
      <c r="A988" s="138"/>
      <c r="C988" s="133"/>
      <c r="D988" s="133"/>
      <c r="E988" s="133"/>
      <c r="F988" s="133"/>
    </row>
    <row r="989">
      <c r="A989" s="138"/>
      <c r="C989" s="133"/>
      <c r="D989" s="133"/>
      <c r="E989" s="133"/>
      <c r="F989" s="133"/>
    </row>
    <row r="990">
      <c r="A990" s="138"/>
      <c r="C990" s="133"/>
      <c r="D990" s="133"/>
      <c r="E990" s="133"/>
      <c r="F990" s="133"/>
    </row>
    <row r="991">
      <c r="A991" s="138"/>
      <c r="C991" s="133"/>
      <c r="D991" s="133"/>
      <c r="E991" s="133"/>
      <c r="F991" s="133"/>
    </row>
    <row r="992">
      <c r="A992" s="138"/>
      <c r="C992" s="133"/>
      <c r="D992" s="133"/>
      <c r="E992" s="133"/>
      <c r="F992" s="133"/>
    </row>
    <row r="993">
      <c r="A993" s="138"/>
      <c r="C993" s="133"/>
      <c r="D993" s="133"/>
      <c r="E993" s="133"/>
      <c r="F993" s="133"/>
    </row>
    <row r="994">
      <c r="A994" s="138"/>
      <c r="C994" s="133"/>
      <c r="D994" s="133"/>
      <c r="E994" s="133"/>
      <c r="F994" s="133"/>
    </row>
    <row r="995">
      <c r="A995" s="138"/>
      <c r="C995" s="133"/>
      <c r="D995" s="133"/>
      <c r="E995" s="133"/>
      <c r="F995" s="133"/>
    </row>
    <row r="996">
      <c r="A996" s="138"/>
      <c r="C996" s="133"/>
      <c r="D996" s="133"/>
      <c r="E996" s="133"/>
      <c r="F996" s="133"/>
    </row>
    <row r="997">
      <c r="A997" s="138"/>
      <c r="C997" s="133"/>
      <c r="D997" s="133"/>
      <c r="E997" s="133"/>
      <c r="F997" s="133"/>
    </row>
    <row r="998">
      <c r="A998" s="138"/>
      <c r="C998" s="133"/>
      <c r="D998" s="133"/>
      <c r="E998" s="133"/>
      <c r="F998" s="133"/>
    </row>
    <row r="999">
      <c r="A999" s="138"/>
      <c r="C999" s="133"/>
      <c r="D999" s="133"/>
      <c r="E999" s="133"/>
      <c r="F999" s="133"/>
    </row>
    <row r="1000">
      <c r="A1000" s="138"/>
      <c r="C1000" s="133"/>
      <c r="D1000" s="133"/>
      <c r="E1000" s="133"/>
      <c r="F1000" s="133"/>
    </row>
    <row r="1001">
      <c r="A1001" s="138"/>
      <c r="C1001" s="133"/>
      <c r="D1001" s="133"/>
      <c r="E1001" s="133"/>
      <c r="F1001" s="133"/>
    </row>
    <row r="1002">
      <c r="A1002" s="138"/>
      <c r="C1002" s="133"/>
      <c r="D1002" s="133"/>
      <c r="E1002" s="133"/>
      <c r="F1002" s="133"/>
    </row>
  </sheetData>
  <mergeCells count="4">
    <mergeCell ref="A1:C1"/>
    <mergeCell ref="A4:B4"/>
    <mergeCell ref="C4:E4"/>
    <mergeCell ref="D5:E5"/>
  </mergeCells>
  <dataValidations>
    <dataValidation type="list" allowBlank="1" showErrorMessage="1" sqref="C4">
      <formula1>"A  INICIAR en DGV,En CURSO en DGV,COMPLETO en DGV,APROBADO por TC"</formula1>
    </dataValidation>
    <dataValidation type="list" allowBlank="1" showDropDown="1" showInputMessage="1" showErrorMessage="1" prompt="Haz clic e introduce un valor de la lista de elementos" sqref="E7:E501">
      <formula1>"Técnica DGV,Jurídico DGV,Económico DGV,Privada DGV,Tribunal de Cuentas,Aprobado TC"</formula1>
    </dataValidation>
  </dataValidations>
  <printOptions horizontalCentered="1"/>
  <pageMargins bottom="0.5118110236220472" footer="0.0" header="0.0" left="0.35433070866141736" right="0.5511811023622047" top="0.5118110236220472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 outlineLevelCol="2"/>
  <cols>
    <col customWidth="1" min="1" max="1" width="12.0"/>
    <col customWidth="1" min="2" max="2" width="16.57"/>
    <col customWidth="1" min="3" max="3" width="11.57" outlineLevel="1"/>
    <col customWidth="1" min="4" max="4" width="3.43" outlineLevel="1"/>
    <col customWidth="1" min="5" max="5" width="4.71" outlineLevel="1"/>
    <col customWidth="1" min="6" max="6" width="12.86" outlineLevel="1"/>
    <col customWidth="1" min="7" max="7" width="13.57" outlineLevel="1"/>
    <col customWidth="1" min="8" max="8" width="23.14" outlineLevel="1"/>
    <col customWidth="1" min="9" max="9" width="18.57" outlineLevel="1"/>
    <col customWidth="1" min="10" max="10" width="13.29"/>
    <col customWidth="1" min="11" max="11" width="8.0"/>
    <col customWidth="1" min="12" max="12" width="8.86"/>
    <col customWidth="1" min="13" max="16" width="5.86" outlineLevel="1"/>
    <col customWidth="1" min="17" max="26" width="5.86" outlineLevel="2"/>
    <col customWidth="1" min="27" max="31" width="5.86" outlineLevel="1"/>
    <col customWidth="1" min="32" max="32" width="18.14"/>
    <col customWidth="1" min="33" max="33" width="42.57" outlineLevel="1"/>
    <col customWidth="1" min="34" max="34" width="9.71"/>
    <col customWidth="1" min="35" max="35" width="16.57"/>
    <col customWidth="1" min="36" max="44" width="10.71"/>
  </cols>
  <sheetData>
    <row r="1">
      <c r="A1" s="150" t="s">
        <v>67</v>
      </c>
      <c r="B1" s="151"/>
      <c r="C1" s="152"/>
      <c r="D1" s="152"/>
      <c r="E1" s="152"/>
      <c r="F1" s="152"/>
      <c r="G1" s="152"/>
      <c r="H1" s="152"/>
      <c r="I1" s="153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4"/>
      <c r="AK1" s="154"/>
      <c r="AL1" s="154"/>
      <c r="AM1" s="154"/>
      <c r="AN1" s="154"/>
      <c r="AO1" s="154"/>
      <c r="AP1" s="154"/>
      <c r="AQ1" s="154"/>
      <c r="AR1" s="154"/>
    </row>
    <row r="2">
      <c r="A2" s="155" t="s">
        <v>68</v>
      </c>
      <c r="B2" s="155" t="s">
        <v>69</v>
      </c>
      <c r="C2" s="156" t="s">
        <v>9</v>
      </c>
      <c r="D2" s="157" t="s">
        <v>10</v>
      </c>
      <c r="E2" s="155" t="s">
        <v>11</v>
      </c>
      <c r="F2" s="155" t="s">
        <v>12</v>
      </c>
      <c r="G2" s="156" t="s">
        <v>13</v>
      </c>
      <c r="H2" s="158" t="s">
        <v>14</v>
      </c>
      <c r="I2" s="156" t="s">
        <v>15</v>
      </c>
      <c r="J2" s="159" t="s">
        <v>16</v>
      </c>
      <c r="M2" s="160" t="s">
        <v>20</v>
      </c>
      <c r="AF2" s="156"/>
      <c r="AG2" s="156" t="s">
        <v>32</v>
      </c>
      <c r="AH2" s="156" t="s">
        <v>33</v>
      </c>
      <c r="AJ2" s="161"/>
      <c r="AK2" s="161"/>
      <c r="AL2" s="162"/>
      <c r="AM2" s="162"/>
      <c r="AN2" s="162"/>
      <c r="AO2" s="162"/>
      <c r="AP2" s="162"/>
      <c r="AQ2" s="162"/>
      <c r="AR2" s="162"/>
    </row>
    <row r="3" ht="67.5" customHeight="1">
      <c r="J3" s="163" t="s">
        <v>17</v>
      </c>
      <c r="K3" s="163" t="s">
        <v>18</v>
      </c>
      <c r="L3" s="163" t="s">
        <v>19</v>
      </c>
      <c r="M3" s="164">
        <v>1.0</v>
      </c>
      <c r="N3" s="164">
        <v>2.0</v>
      </c>
      <c r="O3" s="164">
        <v>3.0</v>
      </c>
      <c r="P3" s="164">
        <v>4.0</v>
      </c>
      <c r="Q3" s="165" t="s">
        <v>21</v>
      </c>
      <c r="R3" s="165" t="s">
        <v>22</v>
      </c>
      <c r="S3" s="165" t="s">
        <v>23</v>
      </c>
      <c r="T3" s="165" t="s">
        <v>24</v>
      </c>
      <c r="U3" s="165" t="s">
        <v>25</v>
      </c>
      <c r="V3" s="165" t="s">
        <v>26</v>
      </c>
      <c r="W3" s="165" t="s">
        <v>27</v>
      </c>
      <c r="X3" s="165" t="s">
        <v>28</v>
      </c>
      <c r="Y3" s="165" t="s">
        <v>29</v>
      </c>
      <c r="Z3" s="165" t="s">
        <v>30</v>
      </c>
      <c r="AA3" s="164">
        <v>5.0</v>
      </c>
      <c r="AB3" s="164">
        <v>6.0</v>
      </c>
      <c r="AC3" s="164">
        <v>7.0</v>
      </c>
      <c r="AD3" s="164">
        <v>8.0</v>
      </c>
      <c r="AE3" s="164">
        <v>9.0</v>
      </c>
      <c r="AF3" s="163" t="s">
        <v>31</v>
      </c>
      <c r="AH3" s="156" t="s">
        <v>34</v>
      </c>
      <c r="AI3" s="156" t="s">
        <v>35</v>
      </c>
      <c r="AJ3" s="161"/>
      <c r="AK3" s="161"/>
      <c r="AL3" s="162"/>
      <c r="AM3" s="162"/>
      <c r="AN3" s="162"/>
      <c r="AO3" s="162"/>
      <c r="AP3" s="162"/>
      <c r="AQ3" s="162"/>
      <c r="AR3" s="162"/>
    </row>
    <row r="4">
      <c r="A4" s="166">
        <f>COUNTA(A6:A55)</f>
        <v>48</v>
      </c>
      <c r="B4" s="166"/>
      <c r="C4" s="167"/>
      <c r="D4" s="168"/>
      <c r="E4" s="166"/>
      <c r="F4" s="166"/>
      <c r="G4" s="166"/>
      <c r="H4" s="166"/>
      <c r="I4" s="166"/>
      <c r="J4" s="169">
        <f t="shared" ref="J4:L4" si="1">SUM(J5:J56)</f>
        <v>7065000000</v>
      </c>
      <c r="K4" s="170">
        <f t="shared" si="1"/>
        <v>8202.3</v>
      </c>
      <c r="L4" s="170">
        <f t="shared" si="1"/>
        <v>50710.12</v>
      </c>
      <c r="M4" s="171">
        <f t="shared" ref="M4:AE4" si="2">COUNTIF(M5:M56, "Completo OK")</f>
        <v>14</v>
      </c>
      <c r="N4" s="171">
        <f t="shared" si="2"/>
        <v>17</v>
      </c>
      <c r="O4" s="171">
        <f t="shared" si="2"/>
        <v>15</v>
      </c>
      <c r="P4" s="171">
        <f t="shared" si="2"/>
        <v>13</v>
      </c>
      <c r="Q4" s="171">
        <f t="shared" si="2"/>
        <v>16</v>
      </c>
      <c r="R4" s="171">
        <f t="shared" si="2"/>
        <v>15</v>
      </c>
      <c r="S4" s="171">
        <f t="shared" si="2"/>
        <v>14</v>
      </c>
      <c r="T4" s="171">
        <f t="shared" si="2"/>
        <v>18</v>
      </c>
      <c r="U4" s="171">
        <f t="shared" si="2"/>
        <v>19</v>
      </c>
      <c r="V4" s="171">
        <f t="shared" si="2"/>
        <v>13</v>
      </c>
      <c r="W4" s="171">
        <f t="shared" si="2"/>
        <v>17</v>
      </c>
      <c r="X4" s="171">
        <f t="shared" si="2"/>
        <v>14</v>
      </c>
      <c r="Y4" s="171">
        <f t="shared" si="2"/>
        <v>14</v>
      </c>
      <c r="Z4" s="171">
        <f t="shared" si="2"/>
        <v>17</v>
      </c>
      <c r="AA4" s="171">
        <f t="shared" si="2"/>
        <v>16</v>
      </c>
      <c r="AB4" s="171">
        <f t="shared" si="2"/>
        <v>20</v>
      </c>
      <c r="AC4" s="171">
        <f t="shared" si="2"/>
        <v>20</v>
      </c>
      <c r="AD4" s="171">
        <f t="shared" si="2"/>
        <v>20</v>
      </c>
      <c r="AE4" s="171">
        <f t="shared" si="2"/>
        <v>16</v>
      </c>
      <c r="AF4" s="166"/>
      <c r="AG4" s="166"/>
      <c r="AH4" s="166"/>
      <c r="AI4" s="166"/>
      <c r="AJ4" s="161"/>
      <c r="AK4" s="161"/>
      <c r="AL4" s="162"/>
      <c r="AM4" s="162"/>
      <c r="AN4" s="162"/>
      <c r="AO4" s="162"/>
      <c r="AP4" s="162"/>
      <c r="AQ4" s="162"/>
      <c r="AR4" s="162"/>
    </row>
    <row r="5">
      <c r="A5" s="166"/>
      <c r="B5" s="166"/>
      <c r="C5" s="167"/>
      <c r="D5" s="168"/>
      <c r="E5" s="166"/>
      <c r="F5" s="166"/>
      <c r="G5" s="166"/>
      <c r="H5" s="166"/>
      <c r="I5" s="166"/>
      <c r="J5" s="169"/>
      <c r="K5" s="170"/>
      <c r="L5" s="170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66"/>
      <c r="AG5" s="166"/>
      <c r="AH5" s="166"/>
      <c r="AI5" s="166"/>
      <c r="AJ5" s="161"/>
      <c r="AK5" s="161"/>
      <c r="AL5" s="162"/>
      <c r="AM5" s="162"/>
      <c r="AN5" s="162"/>
      <c r="AO5" s="162"/>
      <c r="AP5" s="162"/>
      <c r="AQ5" s="162"/>
      <c r="AR5" s="162"/>
    </row>
    <row r="6" ht="37.5" customHeight="1">
      <c r="A6" s="172" t="s">
        <v>70</v>
      </c>
      <c r="B6" s="173" t="s">
        <v>71</v>
      </c>
      <c r="C6" s="174" t="s">
        <v>72</v>
      </c>
      <c r="D6" s="175">
        <v>1.0</v>
      </c>
      <c r="E6" s="176" t="s">
        <v>73</v>
      </c>
      <c r="F6" s="177" t="s">
        <v>74</v>
      </c>
      <c r="G6" s="178" t="s">
        <v>75</v>
      </c>
      <c r="H6" s="179" t="s">
        <v>76</v>
      </c>
      <c r="I6" s="180" t="s">
        <v>77</v>
      </c>
      <c r="J6" s="181">
        <v>3.0E7</v>
      </c>
      <c r="K6" s="182">
        <v>206.0</v>
      </c>
      <c r="L6" s="183"/>
      <c r="M6" s="176" t="s">
        <v>78</v>
      </c>
      <c r="N6" s="176" t="s">
        <v>79</v>
      </c>
      <c r="O6" s="176" t="s">
        <v>78</v>
      </c>
      <c r="P6" s="176" t="s">
        <v>78</v>
      </c>
      <c r="Q6" s="176" t="s">
        <v>80</v>
      </c>
      <c r="R6" s="176" t="s">
        <v>78</v>
      </c>
      <c r="S6" s="176" t="s">
        <v>78</v>
      </c>
      <c r="T6" s="176" t="s">
        <v>80</v>
      </c>
      <c r="U6" s="176" t="s">
        <v>81</v>
      </c>
      <c r="V6" s="176" t="s">
        <v>78</v>
      </c>
      <c r="W6" s="176" t="s">
        <v>78</v>
      </c>
      <c r="X6" s="176" t="s">
        <v>80</v>
      </c>
      <c r="Y6" s="176" t="s">
        <v>78</v>
      </c>
      <c r="Z6" s="176" t="s">
        <v>81</v>
      </c>
      <c r="AA6" s="176" t="s">
        <v>78</v>
      </c>
      <c r="AB6" s="176" t="s">
        <v>78</v>
      </c>
      <c r="AC6" s="176" t="s">
        <v>79</v>
      </c>
      <c r="AD6" s="176" t="s">
        <v>79</v>
      </c>
      <c r="AE6" s="176" t="s">
        <v>79</v>
      </c>
      <c r="AF6" s="176" t="s">
        <v>82</v>
      </c>
      <c r="AG6" s="184" t="s">
        <v>83</v>
      </c>
      <c r="AH6" s="185">
        <v>46126.0</v>
      </c>
      <c r="AI6" s="176" t="s">
        <v>84</v>
      </c>
      <c r="AJ6" s="186"/>
      <c r="AK6" s="186"/>
      <c r="AL6" s="187"/>
      <c r="AM6" s="187"/>
      <c r="AN6" s="187"/>
      <c r="AO6" s="187"/>
      <c r="AP6" s="187"/>
      <c r="AQ6" s="187"/>
      <c r="AR6" s="187"/>
    </row>
    <row r="7" ht="37.5" customHeight="1">
      <c r="A7" s="172" t="s">
        <v>85</v>
      </c>
      <c r="B7" s="173" t="s">
        <v>86</v>
      </c>
      <c r="C7" s="174" t="s">
        <v>87</v>
      </c>
      <c r="D7" s="175">
        <v>2.0</v>
      </c>
      <c r="E7" s="176" t="s">
        <v>73</v>
      </c>
      <c r="F7" s="188" t="s">
        <v>88</v>
      </c>
      <c r="G7" s="178" t="s">
        <v>89</v>
      </c>
      <c r="H7" s="189" t="s">
        <v>90</v>
      </c>
      <c r="I7" s="190" t="s">
        <v>91</v>
      </c>
      <c r="J7" s="181">
        <v>7.5E7</v>
      </c>
      <c r="K7" s="182">
        <v>440.0</v>
      </c>
      <c r="L7" s="183">
        <v>870.0</v>
      </c>
      <c r="M7" s="176" t="s">
        <v>80</v>
      </c>
      <c r="N7" s="176" t="s">
        <v>80</v>
      </c>
      <c r="O7" s="176" t="s">
        <v>80</v>
      </c>
      <c r="P7" s="176" t="s">
        <v>80</v>
      </c>
      <c r="Q7" s="176" t="s">
        <v>80</v>
      </c>
      <c r="R7" s="176" t="s">
        <v>80</v>
      </c>
      <c r="S7" s="176" t="s">
        <v>80</v>
      </c>
      <c r="T7" s="176" t="s">
        <v>80</v>
      </c>
      <c r="U7" s="176" t="s">
        <v>80</v>
      </c>
      <c r="V7" s="176" t="s">
        <v>80</v>
      </c>
      <c r="W7" s="176" t="s">
        <v>80</v>
      </c>
      <c r="X7" s="176" t="s">
        <v>80</v>
      </c>
      <c r="Y7" s="176" t="s">
        <v>80</v>
      </c>
      <c r="Z7" s="176" t="s">
        <v>80</v>
      </c>
      <c r="AA7" s="176" t="s">
        <v>80</v>
      </c>
      <c r="AB7" s="176" t="s">
        <v>80</v>
      </c>
      <c r="AC7" s="176" t="s">
        <v>80</v>
      </c>
      <c r="AD7" s="176" t="s">
        <v>80</v>
      </c>
      <c r="AE7" s="176" t="s">
        <v>80</v>
      </c>
      <c r="AF7" s="176" t="s">
        <v>64</v>
      </c>
      <c r="AG7" s="184" t="s">
        <v>92</v>
      </c>
      <c r="AH7" s="191">
        <v>46199.0</v>
      </c>
      <c r="AI7" s="176" t="s">
        <v>84</v>
      </c>
      <c r="AJ7" s="186"/>
      <c r="AK7" s="186"/>
      <c r="AL7" s="187"/>
      <c r="AM7" s="187"/>
      <c r="AN7" s="187"/>
      <c r="AO7" s="187"/>
      <c r="AP7" s="187"/>
      <c r="AQ7" s="187"/>
      <c r="AR7" s="187"/>
    </row>
    <row r="8" ht="37.5" customHeight="1">
      <c r="A8" s="172" t="s">
        <v>93</v>
      </c>
      <c r="B8" s="173" t="s">
        <v>94</v>
      </c>
      <c r="C8" s="174" t="s">
        <v>95</v>
      </c>
      <c r="D8" s="175">
        <v>3.0</v>
      </c>
      <c r="E8" s="176" t="s">
        <v>96</v>
      </c>
      <c r="F8" s="188" t="s">
        <v>97</v>
      </c>
      <c r="G8" s="178" t="s">
        <v>98</v>
      </c>
      <c r="H8" s="179" t="s">
        <v>99</v>
      </c>
      <c r="I8" s="179"/>
      <c r="J8" s="181">
        <v>2.0E8</v>
      </c>
      <c r="K8" s="192"/>
      <c r="L8" s="183">
        <v>7440.0</v>
      </c>
      <c r="M8" s="176" t="s">
        <v>79</v>
      </c>
      <c r="N8" s="176" t="s">
        <v>79</v>
      </c>
      <c r="O8" s="176" t="s">
        <v>79</v>
      </c>
      <c r="P8" s="176" t="s">
        <v>79</v>
      </c>
      <c r="Q8" s="176" t="s">
        <v>80</v>
      </c>
      <c r="R8" s="176" t="s">
        <v>80</v>
      </c>
      <c r="S8" s="176" t="s">
        <v>80</v>
      </c>
      <c r="T8" s="176" t="s">
        <v>80</v>
      </c>
      <c r="U8" s="176" t="s">
        <v>80</v>
      </c>
      <c r="V8" s="176" t="s">
        <v>78</v>
      </c>
      <c r="W8" s="176" t="s">
        <v>80</v>
      </c>
      <c r="X8" s="176" t="s">
        <v>81</v>
      </c>
      <c r="Y8" s="176" t="s">
        <v>81</v>
      </c>
      <c r="Z8" s="176" t="s">
        <v>78</v>
      </c>
      <c r="AA8" s="176" t="s">
        <v>79</v>
      </c>
      <c r="AB8" s="176" t="s">
        <v>79</v>
      </c>
      <c r="AC8" s="176" t="s">
        <v>79</v>
      </c>
      <c r="AD8" s="176" t="s">
        <v>79</v>
      </c>
      <c r="AE8" s="176" t="s">
        <v>79</v>
      </c>
      <c r="AF8" s="176" t="s">
        <v>82</v>
      </c>
      <c r="AG8" s="184" t="s">
        <v>100</v>
      </c>
      <c r="AH8" s="191">
        <v>46155.0</v>
      </c>
      <c r="AI8" s="176" t="s">
        <v>101</v>
      </c>
      <c r="AJ8" s="186"/>
      <c r="AK8" s="186"/>
      <c r="AL8" s="187"/>
      <c r="AM8" s="187"/>
      <c r="AN8" s="187"/>
      <c r="AO8" s="187"/>
      <c r="AP8" s="187"/>
      <c r="AQ8" s="187"/>
      <c r="AR8" s="187"/>
    </row>
    <row r="9" ht="37.5" customHeight="1">
      <c r="A9" s="172" t="s">
        <v>102</v>
      </c>
      <c r="B9" s="173" t="s">
        <v>86</v>
      </c>
      <c r="C9" s="174" t="s">
        <v>103</v>
      </c>
      <c r="D9" s="193">
        <v>4.0</v>
      </c>
      <c r="E9" s="176" t="s">
        <v>96</v>
      </c>
      <c r="F9" s="188" t="s">
        <v>104</v>
      </c>
      <c r="G9" s="177" t="s">
        <v>105</v>
      </c>
      <c r="H9" s="194" t="s">
        <v>106</v>
      </c>
      <c r="I9" s="190" t="s">
        <v>107</v>
      </c>
      <c r="J9" s="181">
        <v>2.0E8</v>
      </c>
      <c r="K9" s="192"/>
      <c r="L9" s="183">
        <v>1823.0</v>
      </c>
      <c r="M9" s="176" t="s">
        <v>80</v>
      </c>
      <c r="N9" s="176" t="s">
        <v>80</v>
      </c>
      <c r="O9" s="176" t="s">
        <v>78</v>
      </c>
      <c r="P9" s="176" t="s">
        <v>80</v>
      </c>
      <c r="Q9" s="176" t="s">
        <v>80</v>
      </c>
      <c r="R9" s="176" t="s">
        <v>80</v>
      </c>
      <c r="S9" s="176" t="s">
        <v>80</v>
      </c>
      <c r="T9" s="176" t="s">
        <v>80</v>
      </c>
      <c r="U9" s="176" t="s">
        <v>80</v>
      </c>
      <c r="V9" s="176" t="s">
        <v>78</v>
      </c>
      <c r="W9" s="176" t="s">
        <v>80</v>
      </c>
      <c r="X9" s="176" t="s">
        <v>80</v>
      </c>
      <c r="Y9" s="176" t="s">
        <v>80</v>
      </c>
      <c r="Z9" s="176" t="s">
        <v>80</v>
      </c>
      <c r="AA9" s="176" t="s">
        <v>80</v>
      </c>
      <c r="AB9" s="176" t="s">
        <v>80</v>
      </c>
      <c r="AC9" s="176" t="s">
        <v>80</v>
      </c>
      <c r="AD9" s="176" t="s">
        <v>80</v>
      </c>
      <c r="AE9" s="176" t="s">
        <v>80</v>
      </c>
      <c r="AF9" s="176" t="s">
        <v>64</v>
      </c>
      <c r="AG9" s="184" t="s">
        <v>108</v>
      </c>
      <c r="AH9" s="191">
        <v>46203.0</v>
      </c>
      <c r="AI9" s="176" t="s">
        <v>84</v>
      </c>
      <c r="AJ9" s="186"/>
      <c r="AK9" s="186"/>
      <c r="AL9" s="187"/>
      <c r="AM9" s="187"/>
      <c r="AN9" s="187"/>
      <c r="AO9" s="187"/>
      <c r="AP9" s="187"/>
      <c r="AQ9" s="187"/>
      <c r="AR9" s="187"/>
    </row>
    <row r="10" ht="37.5" customHeight="1">
      <c r="A10" s="172" t="s">
        <v>109</v>
      </c>
      <c r="B10" s="173" t="s">
        <v>45</v>
      </c>
      <c r="C10" s="174" t="s">
        <v>110</v>
      </c>
      <c r="D10" s="175">
        <v>55.0</v>
      </c>
      <c r="E10" s="176" t="s">
        <v>96</v>
      </c>
      <c r="F10" s="188" t="s">
        <v>111</v>
      </c>
      <c r="G10" s="178" t="s">
        <v>112</v>
      </c>
      <c r="H10" s="180" t="s">
        <v>113</v>
      </c>
      <c r="I10" s="180" t="s">
        <v>114</v>
      </c>
      <c r="J10" s="181">
        <v>3.0E8</v>
      </c>
      <c r="K10" s="192"/>
      <c r="L10" s="195"/>
      <c r="M10" s="176" t="s">
        <v>78</v>
      </c>
      <c r="N10" s="176" t="s">
        <v>78</v>
      </c>
      <c r="O10" s="176" t="s">
        <v>78</v>
      </c>
      <c r="P10" s="176" t="s">
        <v>78</v>
      </c>
      <c r="Q10" s="176" t="s">
        <v>81</v>
      </c>
      <c r="R10" s="176" t="s">
        <v>81</v>
      </c>
      <c r="S10" s="176" t="s">
        <v>81</v>
      </c>
      <c r="T10" s="176" t="s">
        <v>81</v>
      </c>
      <c r="U10" s="176" t="s">
        <v>81</v>
      </c>
      <c r="V10" s="176" t="s">
        <v>81</v>
      </c>
      <c r="W10" s="176" t="s">
        <v>81</v>
      </c>
      <c r="X10" s="176" t="s">
        <v>81</v>
      </c>
      <c r="Y10" s="176" t="s">
        <v>81</v>
      </c>
      <c r="Z10" s="176" t="s">
        <v>81</v>
      </c>
      <c r="AA10" s="176" t="s">
        <v>80</v>
      </c>
      <c r="AB10" s="176" t="s">
        <v>80</v>
      </c>
      <c r="AC10" s="176" t="s">
        <v>80</v>
      </c>
      <c r="AD10" s="176" t="s">
        <v>80</v>
      </c>
      <c r="AE10" s="176" t="s">
        <v>80</v>
      </c>
      <c r="AF10" s="176" t="s">
        <v>82</v>
      </c>
      <c r="AG10" s="184" t="s">
        <v>115</v>
      </c>
      <c r="AH10" s="191">
        <v>46183.0</v>
      </c>
      <c r="AI10" s="176" t="s">
        <v>84</v>
      </c>
      <c r="AJ10" s="186"/>
      <c r="AK10" s="186"/>
      <c r="AL10" s="187"/>
      <c r="AM10" s="187"/>
      <c r="AN10" s="187"/>
      <c r="AO10" s="187"/>
      <c r="AP10" s="187"/>
      <c r="AQ10" s="187"/>
      <c r="AR10" s="187"/>
    </row>
    <row r="11" ht="37.5" customHeight="1">
      <c r="A11" s="172" t="s">
        <v>116</v>
      </c>
      <c r="B11" s="173" t="s">
        <v>45</v>
      </c>
      <c r="C11" s="174" t="s">
        <v>117</v>
      </c>
      <c r="D11" s="193">
        <v>6.0</v>
      </c>
      <c r="E11" s="176" t="s">
        <v>96</v>
      </c>
      <c r="F11" s="188" t="s">
        <v>118</v>
      </c>
      <c r="G11" s="178" t="s">
        <v>119</v>
      </c>
      <c r="H11" s="196" t="s">
        <v>120</v>
      </c>
      <c r="I11" s="196" t="s">
        <v>121</v>
      </c>
      <c r="J11" s="181">
        <v>2.0E8</v>
      </c>
      <c r="K11" s="192"/>
      <c r="L11" s="195"/>
      <c r="M11" s="176" t="s">
        <v>78</v>
      </c>
      <c r="N11" s="176" t="s">
        <v>80</v>
      </c>
      <c r="O11" s="176" t="s">
        <v>80</v>
      </c>
      <c r="P11" s="176" t="s">
        <v>122</v>
      </c>
      <c r="Q11" s="176" t="s">
        <v>78</v>
      </c>
      <c r="R11" s="176" t="s">
        <v>78</v>
      </c>
      <c r="S11" s="176" t="s">
        <v>78</v>
      </c>
      <c r="T11" s="176" t="s">
        <v>78</v>
      </c>
      <c r="U11" s="176" t="s">
        <v>80</v>
      </c>
      <c r="V11" s="176" t="s">
        <v>78</v>
      </c>
      <c r="W11" s="176" t="s">
        <v>78</v>
      </c>
      <c r="X11" s="176" t="s">
        <v>78</v>
      </c>
      <c r="Y11" s="176" t="s">
        <v>78</v>
      </c>
      <c r="Z11" s="176" t="s">
        <v>78</v>
      </c>
      <c r="AA11" s="176" t="s">
        <v>80</v>
      </c>
      <c r="AB11" s="176" t="s">
        <v>80</v>
      </c>
      <c r="AC11" s="176" t="s">
        <v>80</v>
      </c>
      <c r="AD11" s="176" t="s">
        <v>80</v>
      </c>
      <c r="AE11" s="176" t="s">
        <v>80</v>
      </c>
      <c r="AF11" s="176" t="s">
        <v>82</v>
      </c>
      <c r="AG11" s="184" t="s">
        <v>123</v>
      </c>
      <c r="AH11" s="191">
        <v>46192.0</v>
      </c>
      <c r="AI11" s="176" t="s">
        <v>84</v>
      </c>
      <c r="AJ11" s="186"/>
      <c r="AK11" s="186"/>
      <c r="AL11" s="187"/>
      <c r="AM11" s="187"/>
      <c r="AN11" s="187"/>
      <c r="AO11" s="187"/>
      <c r="AP11" s="187"/>
      <c r="AQ11" s="187"/>
      <c r="AR11" s="187"/>
    </row>
    <row r="12" ht="37.5" customHeight="1">
      <c r="A12" s="172" t="s">
        <v>124</v>
      </c>
      <c r="B12" s="173" t="s">
        <v>125</v>
      </c>
      <c r="C12" s="174" t="s">
        <v>126</v>
      </c>
      <c r="D12" s="197">
        <v>7.0</v>
      </c>
      <c r="E12" s="176" t="s">
        <v>73</v>
      </c>
      <c r="F12" s="198" t="s">
        <v>127</v>
      </c>
      <c r="G12" s="199" t="s">
        <v>128</v>
      </c>
      <c r="H12" s="200" t="s">
        <v>129</v>
      </c>
      <c r="I12" s="190" t="s">
        <v>130</v>
      </c>
      <c r="J12" s="201">
        <v>1.0E8</v>
      </c>
      <c r="K12" s="202"/>
      <c r="L12" s="203"/>
      <c r="M12" s="176" t="s">
        <v>78</v>
      </c>
      <c r="N12" s="176" t="s">
        <v>78</v>
      </c>
      <c r="O12" s="176" t="s">
        <v>78</v>
      </c>
      <c r="P12" s="176" t="s">
        <v>78</v>
      </c>
      <c r="Q12" s="176" t="s">
        <v>78</v>
      </c>
      <c r="R12" s="176" t="s">
        <v>78</v>
      </c>
      <c r="S12" s="176" t="s">
        <v>78</v>
      </c>
      <c r="T12" s="176" t="s">
        <v>78</v>
      </c>
      <c r="U12" s="176" t="s">
        <v>78</v>
      </c>
      <c r="V12" s="176" t="s">
        <v>78</v>
      </c>
      <c r="W12" s="176" t="s">
        <v>78</v>
      </c>
      <c r="X12" s="176" t="s">
        <v>78</v>
      </c>
      <c r="Y12" s="176" t="s">
        <v>78</v>
      </c>
      <c r="Z12" s="176" t="s">
        <v>78</v>
      </c>
      <c r="AA12" s="176" t="s">
        <v>122</v>
      </c>
      <c r="AB12" s="176" t="s">
        <v>122</v>
      </c>
      <c r="AC12" s="176" t="s">
        <v>122</v>
      </c>
      <c r="AD12" s="176" t="s">
        <v>122</v>
      </c>
      <c r="AE12" s="176" t="s">
        <v>122</v>
      </c>
      <c r="AF12" s="176" t="s">
        <v>82</v>
      </c>
      <c r="AG12" s="204" t="s">
        <v>131</v>
      </c>
      <c r="AH12" s="205">
        <v>46139.0</v>
      </c>
      <c r="AI12" s="176" t="s">
        <v>84</v>
      </c>
      <c r="AJ12" s="186"/>
      <c r="AK12" s="186"/>
      <c r="AL12" s="187"/>
      <c r="AM12" s="187"/>
      <c r="AN12" s="187"/>
      <c r="AO12" s="187"/>
      <c r="AP12" s="187"/>
      <c r="AQ12" s="187"/>
      <c r="AR12" s="187"/>
    </row>
    <row r="13" ht="37.5" customHeight="1">
      <c r="A13" s="172" t="s">
        <v>38</v>
      </c>
      <c r="B13" s="173" t="s">
        <v>125</v>
      </c>
      <c r="C13" s="174" t="s">
        <v>132</v>
      </c>
      <c r="D13" s="175">
        <v>8.0</v>
      </c>
      <c r="E13" s="176" t="s">
        <v>73</v>
      </c>
      <c r="F13" s="188" t="s">
        <v>133</v>
      </c>
      <c r="G13" s="178" t="s">
        <v>134</v>
      </c>
      <c r="H13" s="206" t="s">
        <v>135</v>
      </c>
      <c r="I13" s="190" t="s">
        <v>130</v>
      </c>
      <c r="J13" s="181">
        <v>2.0E8</v>
      </c>
      <c r="K13" s="192"/>
      <c r="L13" s="183">
        <v>3922.22</v>
      </c>
      <c r="M13" s="176" t="s">
        <v>78</v>
      </c>
      <c r="N13" s="176" t="s">
        <v>80</v>
      </c>
      <c r="O13" s="176" t="s">
        <v>80</v>
      </c>
      <c r="P13" s="176" t="s">
        <v>78</v>
      </c>
      <c r="Q13" s="176" t="s">
        <v>78</v>
      </c>
      <c r="R13" s="176" t="s">
        <v>78</v>
      </c>
      <c r="S13" s="176" t="s">
        <v>78</v>
      </c>
      <c r="T13" s="176" t="s">
        <v>78</v>
      </c>
      <c r="U13" s="176" t="s">
        <v>81</v>
      </c>
      <c r="V13" s="176" t="s">
        <v>78</v>
      </c>
      <c r="W13" s="176" t="s">
        <v>78</v>
      </c>
      <c r="X13" s="176" t="s">
        <v>81</v>
      </c>
      <c r="Y13" s="176" t="s">
        <v>81</v>
      </c>
      <c r="Z13" s="176" t="s">
        <v>78</v>
      </c>
      <c r="AA13" s="176" t="s">
        <v>80</v>
      </c>
      <c r="AB13" s="176" t="s">
        <v>80</v>
      </c>
      <c r="AC13" s="176" t="s">
        <v>80</v>
      </c>
      <c r="AD13" s="176" t="s">
        <v>80</v>
      </c>
      <c r="AE13" s="176" t="s">
        <v>80</v>
      </c>
      <c r="AF13" s="176" t="s">
        <v>82</v>
      </c>
      <c r="AG13" s="207" t="s">
        <v>136</v>
      </c>
      <c r="AH13" s="185">
        <v>46139.0</v>
      </c>
      <c r="AI13" s="176" t="s">
        <v>84</v>
      </c>
      <c r="AJ13" s="186"/>
      <c r="AK13" s="186"/>
      <c r="AL13" s="187"/>
      <c r="AM13" s="187"/>
      <c r="AN13" s="187"/>
      <c r="AO13" s="187"/>
      <c r="AP13" s="187"/>
      <c r="AQ13" s="187"/>
      <c r="AR13" s="187"/>
    </row>
    <row r="14" ht="37.5" customHeight="1">
      <c r="A14" s="172" t="s">
        <v>137</v>
      </c>
      <c r="B14" s="173" t="s">
        <v>86</v>
      </c>
      <c r="C14" s="174" t="s">
        <v>138</v>
      </c>
      <c r="D14" s="193">
        <v>9.0</v>
      </c>
      <c r="E14" s="176" t="s">
        <v>73</v>
      </c>
      <c r="F14" s="188" t="s">
        <v>139</v>
      </c>
      <c r="G14" s="178" t="s">
        <v>140</v>
      </c>
      <c r="H14" s="206" t="s">
        <v>141</v>
      </c>
      <c r="I14" s="190" t="s">
        <v>107</v>
      </c>
      <c r="J14" s="181">
        <v>1.5E8</v>
      </c>
      <c r="K14" s="182">
        <v>300.0</v>
      </c>
      <c r="L14" s="183">
        <v>2050.0</v>
      </c>
      <c r="M14" s="176" t="s">
        <v>80</v>
      </c>
      <c r="N14" s="176" t="s">
        <v>80</v>
      </c>
      <c r="O14" s="176" t="s">
        <v>80</v>
      </c>
      <c r="P14" s="176" t="s">
        <v>80</v>
      </c>
      <c r="Q14" s="176" t="s">
        <v>80</v>
      </c>
      <c r="R14" s="176" t="s">
        <v>80</v>
      </c>
      <c r="S14" s="176" t="s">
        <v>80</v>
      </c>
      <c r="T14" s="176" t="s">
        <v>80</v>
      </c>
      <c r="U14" s="176" t="s">
        <v>80</v>
      </c>
      <c r="V14" s="176" t="s">
        <v>80</v>
      </c>
      <c r="W14" s="176" t="s">
        <v>80</v>
      </c>
      <c r="X14" s="176" t="s">
        <v>80</v>
      </c>
      <c r="Y14" s="176" t="s">
        <v>80</v>
      </c>
      <c r="Z14" s="176" t="s">
        <v>80</v>
      </c>
      <c r="AA14" s="176" t="s">
        <v>80</v>
      </c>
      <c r="AB14" s="176" t="s">
        <v>80</v>
      </c>
      <c r="AC14" s="176" t="s">
        <v>80</v>
      </c>
      <c r="AD14" s="176" t="s">
        <v>80</v>
      </c>
      <c r="AE14" s="176" t="s">
        <v>80</v>
      </c>
      <c r="AF14" s="176" t="s">
        <v>142</v>
      </c>
      <c r="AG14" s="208" t="s">
        <v>143</v>
      </c>
      <c r="AH14" s="191">
        <v>46211.0</v>
      </c>
      <c r="AI14" s="176" t="s">
        <v>144</v>
      </c>
      <c r="AJ14" s="186"/>
      <c r="AK14" s="186"/>
      <c r="AL14" s="187"/>
      <c r="AM14" s="187"/>
      <c r="AN14" s="187"/>
      <c r="AO14" s="187"/>
      <c r="AP14" s="187"/>
      <c r="AQ14" s="187"/>
      <c r="AR14" s="187"/>
    </row>
    <row r="15" ht="37.5" customHeight="1">
      <c r="A15" s="172" t="s">
        <v>145</v>
      </c>
      <c r="B15" s="173" t="s">
        <v>94</v>
      </c>
      <c r="C15" s="209" t="s">
        <v>146</v>
      </c>
      <c r="D15" s="197">
        <v>10.0</v>
      </c>
      <c r="E15" s="176" t="s">
        <v>96</v>
      </c>
      <c r="F15" s="210" t="s">
        <v>147</v>
      </c>
      <c r="G15" s="199" t="s">
        <v>148</v>
      </c>
      <c r="H15" s="211" t="s">
        <v>90</v>
      </c>
      <c r="I15" s="211"/>
      <c r="J15" s="201">
        <v>3.5E8</v>
      </c>
      <c r="K15" s="202"/>
      <c r="L15" s="212">
        <v>5000.0</v>
      </c>
      <c r="M15" s="176" t="s">
        <v>80</v>
      </c>
      <c r="N15" s="176" t="s">
        <v>80</v>
      </c>
      <c r="O15" s="176" t="s">
        <v>80</v>
      </c>
      <c r="P15" s="176" t="s">
        <v>80</v>
      </c>
      <c r="Q15" s="176" t="s">
        <v>80</v>
      </c>
      <c r="R15" s="176" t="s">
        <v>80</v>
      </c>
      <c r="S15" s="176" t="s">
        <v>80</v>
      </c>
      <c r="T15" s="176" t="s">
        <v>80</v>
      </c>
      <c r="U15" s="176" t="s">
        <v>80</v>
      </c>
      <c r="V15" s="176" t="s">
        <v>80</v>
      </c>
      <c r="W15" s="176" t="s">
        <v>80</v>
      </c>
      <c r="X15" s="176" t="s">
        <v>80</v>
      </c>
      <c r="Y15" s="176" t="s">
        <v>80</v>
      </c>
      <c r="Z15" s="176" t="s">
        <v>80</v>
      </c>
      <c r="AA15" s="176" t="s">
        <v>80</v>
      </c>
      <c r="AB15" s="176" t="s">
        <v>80</v>
      </c>
      <c r="AC15" s="176" t="s">
        <v>80</v>
      </c>
      <c r="AD15" s="176" t="s">
        <v>80</v>
      </c>
      <c r="AE15" s="176" t="s">
        <v>80</v>
      </c>
      <c r="AF15" s="176" t="s">
        <v>64</v>
      </c>
      <c r="AG15" s="184" t="s">
        <v>149</v>
      </c>
      <c r="AH15" s="213" t="s">
        <v>150</v>
      </c>
      <c r="AI15" s="176" t="s">
        <v>151</v>
      </c>
      <c r="AJ15" s="186"/>
      <c r="AK15" s="186"/>
      <c r="AL15" s="187"/>
      <c r="AM15" s="187"/>
      <c r="AN15" s="187"/>
      <c r="AO15" s="187"/>
      <c r="AP15" s="187"/>
      <c r="AQ15" s="187"/>
      <c r="AR15" s="187"/>
    </row>
    <row r="16" ht="37.5" customHeight="1">
      <c r="A16" s="172" t="s">
        <v>152</v>
      </c>
      <c r="B16" s="173" t="s">
        <v>94</v>
      </c>
      <c r="C16" s="209" t="s">
        <v>153</v>
      </c>
      <c r="D16" s="197">
        <v>11.0</v>
      </c>
      <c r="E16" s="176" t="s">
        <v>96</v>
      </c>
      <c r="F16" s="210" t="s">
        <v>154</v>
      </c>
      <c r="G16" s="199" t="s">
        <v>155</v>
      </c>
      <c r="H16" s="214" t="s">
        <v>156</v>
      </c>
      <c r="I16" s="215" t="s">
        <v>157</v>
      </c>
      <c r="J16" s="201">
        <v>2.0E8</v>
      </c>
      <c r="K16" s="216">
        <v>1100.0</v>
      </c>
      <c r="L16" s="203"/>
      <c r="M16" s="176" t="s">
        <v>80</v>
      </c>
      <c r="N16" s="176" t="s">
        <v>80</v>
      </c>
      <c r="O16" s="176" t="s">
        <v>80</v>
      </c>
      <c r="P16" s="176" t="s">
        <v>80</v>
      </c>
      <c r="Q16" s="176" t="s">
        <v>80</v>
      </c>
      <c r="R16" s="176" t="s">
        <v>80</v>
      </c>
      <c r="S16" s="176" t="s">
        <v>80</v>
      </c>
      <c r="T16" s="176" t="s">
        <v>80</v>
      </c>
      <c r="U16" s="176" t="s">
        <v>80</v>
      </c>
      <c r="V16" s="176" t="s">
        <v>80</v>
      </c>
      <c r="W16" s="176" t="s">
        <v>80</v>
      </c>
      <c r="X16" s="176" t="s">
        <v>80</v>
      </c>
      <c r="Y16" s="176" t="s">
        <v>80</v>
      </c>
      <c r="Z16" s="176" t="s">
        <v>80</v>
      </c>
      <c r="AA16" s="176" t="s">
        <v>80</v>
      </c>
      <c r="AB16" s="176" t="s">
        <v>80</v>
      </c>
      <c r="AC16" s="176" t="s">
        <v>80</v>
      </c>
      <c r="AD16" s="176" t="s">
        <v>80</v>
      </c>
      <c r="AE16" s="176" t="s">
        <v>80</v>
      </c>
      <c r="AF16" s="176" t="s">
        <v>82</v>
      </c>
      <c r="AG16" s="204" t="s">
        <v>158</v>
      </c>
      <c r="AH16" s="217">
        <v>46147.0</v>
      </c>
      <c r="AI16" s="176" t="s">
        <v>84</v>
      </c>
      <c r="AJ16" s="186"/>
      <c r="AK16" s="186"/>
      <c r="AL16" s="187"/>
      <c r="AM16" s="187"/>
      <c r="AN16" s="187"/>
      <c r="AO16" s="187"/>
      <c r="AP16" s="187"/>
      <c r="AQ16" s="187"/>
      <c r="AR16" s="187"/>
    </row>
    <row r="17" ht="37.5" customHeight="1">
      <c r="A17" s="172" t="s">
        <v>159</v>
      </c>
      <c r="B17" s="173" t="s">
        <v>86</v>
      </c>
      <c r="C17" s="209" t="s">
        <v>160</v>
      </c>
      <c r="D17" s="193">
        <v>12.0</v>
      </c>
      <c r="E17" s="176" t="s">
        <v>73</v>
      </c>
      <c r="F17" s="177" t="s">
        <v>161</v>
      </c>
      <c r="G17" s="178" t="s">
        <v>162</v>
      </c>
      <c r="H17" s="218" t="s">
        <v>163</v>
      </c>
      <c r="I17" s="219" t="s">
        <v>107</v>
      </c>
      <c r="J17" s="181">
        <v>3.0E8</v>
      </c>
      <c r="K17" s="182">
        <v>930.0</v>
      </c>
      <c r="L17" s="183">
        <v>2795.0</v>
      </c>
      <c r="M17" s="176" t="s">
        <v>80</v>
      </c>
      <c r="N17" s="176" t="s">
        <v>78</v>
      </c>
      <c r="O17" s="176" t="s">
        <v>78</v>
      </c>
      <c r="P17" s="176" t="s">
        <v>80</v>
      </c>
      <c r="Q17" s="176" t="s">
        <v>80</v>
      </c>
      <c r="R17" s="176" t="s">
        <v>80</v>
      </c>
      <c r="S17" s="176" t="s">
        <v>78</v>
      </c>
      <c r="T17" s="176" t="s">
        <v>80</v>
      </c>
      <c r="U17" s="176" t="s">
        <v>80</v>
      </c>
      <c r="V17" s="176" t="s">
        <v>80</v>
      </c>
      <c r="W17" s="176" t="s">
        <v>80</v>
      </c>
      <c r="X17" s="176" t="s">
        <v>80</v>
      </c>
      <c r="Y17" s="176" t="s">
        <v>80</v>
      </c>
      <c r="Z17" s="176" t="s">
        <v>80</v>
      </c>
      <c r="AA17" s="176" t="s">
        <v>80</v>
      </c>
      <c r="AB17" s="176" t="s">
        <v>80</v>
      </c>
      <c r="AC17" s="176" t="s">
        <v>80</v>
      </c>
      <c r="AD17" s="176" t="s">
        <v>80</v>
      </c>
      <c r="AE17" s="176" t="s">
        <v>78</v>
      </c>
      <c r="AF17" s="176" t="s">
        <v>64</v>
      </c>
      <c r="AG17" s="220" t="s">
        <v>164</v>
      </c>
      <c r="AH17" s="191">
        <v>46205.0</v>
      </c>
      <c r="AI17" s="176" t="s">
        <v>101</v>
      </c>
      <c r="AJ17" s="186"/>
      <c r="AK17" s="186"/>
      <c r="AL17" s="187"/>
      <c r="AM17" s="187"/>
      <c r="AN17" s="187"/>
      <c r="AO17" s="187"/>
      <c r="AP17" s="187"/>
      <c r="AQ17" s="187"/>
      <c r="AR17" s="187"/>
    </row>
    <row r="18" ht="37.5" customHeight="1">
      <c r="A18" s="172" t="s">
        <v>51</v>
      </c>
      <c r="B18" s="173" t="s">
        <v>125</v>
      </c>
      <c r="C18" s="209" t="s">
        <v>165</v>
      </c>
      <c r="D18" s="193">
        <v>13.0</v>
      </c>
      <c r="E18" s="176" t="s">
        <v>73</v>
      </c>
      <c r="F18" s="188" t="s">
        <v>166</v>
      </c>
      <c r="G18" s="178" t="s">
        <v>167</v>
      </c>
      <c r="H18" s="221" t="s">
        <v>168</v>
      </c>
      <c r="I18" s="222"/>
      <c r="J18" s="181">
        <v>5.0E7</v>
      </c>
      <c r="K18" s="192"/>
      <c r="L18" s="195"/>
      <c r="M18" s="176" t="s">
        <v>122</v>
      </c>
      <c r="N18" s="176" t="s">
        <v>122</v>
      </c>
      <c r="O18" s="176" t="s">
        <v>122</v>
      </c>
      <c r="P18" s="176" t="s">
        <v>78</v>
      </c>
      <c r="Q18" s="176" t="s">
        <v>78</v>
      </c>
      <c r="R18" s="176" t="s">
        <v>78</v>
      </c>
      <c r="S18" s="176" t="s">
        <v>78</v>
      </c>
      <c r="T18" s="176" t="s">
        <v>78</v>
      </c>
      <c r="U18" s="176" t="s">
        <v>78</v>
      </c>
      <c r="V18" s="176" t="s">
        <v>78</v>
      </c>
      <c r="W18" s="176" t="s">
        <v>78</v>
      </c>
      <c r="X18" s="176" t="s">
        <v>78</v>
      </c>
      <c r="Y18" s="176" t="s">
        <v>78</v>
      </c>
      <c r="Z18" s="176" t="s">
        <v>78</v>
      </c>
      <c r="AA18" s="176" t="s">
        <v>122</v>
      </c>
      <c r="AB18" s="176" t="s">
        <v>122</v>
      </c>
      <c r="AC18" s="176" t="s">
        <v>122</v>
      </c>
      <c r="AD18" s="176" t="s">
        <v>122</v>
      </c>
      <c r="AE18" s="176" t="s">
        <v>122</v>
      </c>
      <c r="AF18" s="176" t="s">
        <v>82</v>
      </c>
      <c r="AG18" s="184" t="s">
        <v>169</v>
      </c>
      <c r="AH18" s="185">
        <v>46139.0</v>
      </c>
      <c r="AI18" s="176" t="s">
        <v>84</v>
      </c>
      <c r="AJ18" s="186"/>
      <c r="AK18" s="186"/>
      <c r="AL18" s="187"/>
      <c r="AM18" s="187"/>
      <c r="AN18" s="187"/>
      <c r="AO18" s="187"/>
      <c r="AP18" s="187"/>
      <c r="AQ18" s="187"/>
      <c r="AR18" s="187"/>
    </row>
    <row r="19" ht="37.5" customHeight="1">
      <c r="A19" s="172" t="s">
        <v>39</v>
      </c>
      <c r="B19" s="173" t="s">
        <v>94</v>
      </c>
      <c r="C19" s="209" t="s">
        <v>170</v>
      </c>
      <c r="D19" s="193">
        <v>14.0</v>
      </c>
      <c r="E19" s="176" t="s">
        <v>73</v>
      </c>
      <c r="F19" s="177" t="s">
        <v>171</v>
      </c>
      <c r="G19" s="178" t="s">
        <v>172</v>
      </c>
      <c r="H19" s="189" t="s">
        <v>90</v>
      </c>
      <c r="I19" s="177" t="s">
        <v>173</v>
      </c>
      <c r="J19" s="181">
        <v>2.1E8</v>
      </c>
      <c r="K19" s="182">
        <v>1530.0</v>
      </c>
      <c r="L19" s="183">
        <v>1575.0</v>
      </c>
      <c r="M19" s="176" t="s">
        <v>80</v>
      </c>
      <c r="N19" s="176" t="s">
        <v>80</v>
      </c>
      <c r="O19" s="176" t="s">
        <v>78</v>
      </c>
      <c r="P19" s="176" t="s">
        <v>78</v>
      </c>
      <c r="Q19" s="176" t="s">
        <v>80</v>
      </c>
      <c r="R19" s="176" t="s">
        <v>80</v>
      </c>
      <c r="S19" s="176" t="s">
        <v>81</v>
      </c>
      <c r="T19" s="176" t="s">
        <v>80</v>
      </c>
      <c r="U19" s="176" t="s">
        <v>80</v>
      </c>
      <c r="V19" s="176" t="s">
        <v>78</v>
      </c>
      <c r="W19" s="176" t="s">
        <v>81</v>
      </c>
      <c r="X19" s="176" t="s">
        <v>80</v>
      </c>
      <c r="Y19" s="176" t="s">
        <v>80</v>
      </c>
      <c r="Z19" s="176" t="s">
        <v>80</v>
      </c>
      <c r="AA19" s="176" t="s">
        <v>80</v>
      </c>
      <c r="AB19" s="176" t="s">
        <v>80</v>
      </c>
      <c r="AC19" s="176" t="s">
        <v>80</v>
      </c>
      <c r="AD19" s="176" t="s">
        <v>80</v>
      </c>
      <c r="AE19" s="176" t="s">
        <v>80</v>
      </c>
      <c r="AF19" s="176" t="s">
        <v>82</v>
      </c>
      <c r="AG19" s="184" t="s">
        <v>174</v>
      </c>
      <c r="AH19" s="185">
        <v>46139.0</v>
      </c>
      <c r="AI19" s="176" t="s">
        <v>84</v>
      </c>
      <c r="AJ19" s="186"/>
      <c r="AK19" s="186"/>
      <c r="AL19" s="187"/>
      <c r="AM19" s="187"/>
      <c r="AN19" s="187"/>
      <c r="AO19" s="187"/>
      <c r="AP19" s="187"/>
      <c r="AQ19" s="187"/>
      <c r="AR19" s="187"/>
    </row>
    <row r="20" ht="37.5" customHeight="1">
      <c r="A20" s="223" t="s">
        <v>175</v>
      </c>
      <c r="B20" s="224" t="s">
        <v>125</v>
      </c>
      <c r="C20" s="209" t="s">
        <v>176</v>
      </c>
      <c r="D20" s="225">
        <v>15.0</v>
      </c>
      <c r="E20" s="226" t="s">
        <v>73</v>
      </c>
      <c r="F20" s="227" t="s">
        <v>177</v>
      </c>
      <c r="G20" s="228" t="s">
        <v>178</v>
      </c>
      <c r="H20" s="229" t="s">
        <v>179</v>
      </c>
      <c r="I20" s="230"/>
      <c r="J20" s="231">
        <v>5.0E7</v>
      </c>
      <c r="K20" s="192"/>
      <c r="L20" s="195"/>
      <c r="M20" s="176" t="s">
        <v>81</v>
      </c>
      <c r="N20" s="176" t="s">
        <v>122</v>
      </c>
      <c r="O20" s="176" t="s">
        <v>122</v>
      </c>
      <c r="P20" s="176" t="s">
        <v>122</v>
      </c>
      <c r="Q20" s="176" t="s">
        <v>81</v>
      </c>
      <c r="R20" s="176" t="s">
        <v>81</v>
      </c>
      <c r="S20" s="176" t="s">
        <v>81</v>
      </c>
      <c r="T20" s="176" t="s">
        <v>81</v>
      </c>
      <c r="U20" s="176" t="s">
        <v>81</v>
      </c>
      <c r="V20" s="176" t="s">
        <v>81</v>
      </c>
      <c r="W20" s="176" t="s">
        <v>81</v>
      </c>
      <c r="X20" s="176" t="s">
        <v>81</v>
      </c>
      <c r="Y20" s="176" t="s">
        <v>81</v>
      </c>
      <c r="Z20" s="176" t="s">
        <v>81</v>
      </c>
      <c r="AA20" s="176" t="s">
        <v>122</v>
      </c>
      <c r="AB20" s="176" t="s">
        <v>122</v>
      </c>
      <c r="AC20" s="176" t="s">
        <v>122</v>
      </c>
      <c r="AD20" s="176" t="s">
        <v>122</v>
      </c>
      <c r="AE20" s="176" t="s">
        <v>122</v>
      </c>
      <c r="AF20" s="176" t="s">
        <v>180</v>
      </c>
      <c r="AG20" s="184" t="s">
        <v>181</v>
      </c>
      <c r="AH20" s="185">
        <v>46139.0</v>
      </c>
      <c r="AI20" s="176" t="s">
        <v>84</v>
      </c>
      <c r="AJ20" s="186"/>
      <c r="AK20" s="186"/>
      <c r="AL20" s="187"/>
      <c r="AM20" s="187"/>
      <c r="AN20" s="187"/>
      <c r="AO20" s="187"/>
      <c r="AP20" s="187"/>
      <c r="AQ20" s="187"/>
      <c r="AR20" s="187"/>
    </row>
    <row r="21" ht="37.5" customHeight="1">
      <c r="A21" s="172" t="s">
        <v>182</v>
      </c>
      <c r="B21" s="173" t="s">
        <v>125</v>
      </c>
      <c r="C21" s="174" t="s">
        <v>183</v>
      </c>
      <c r="D21" s="193">
        <v>16.0</v>
      </c>
      <c r="E21" s="176" t="s">
        <v>73</v>
      </c>
      <c r="F21" s="177" t="s">
        <v>184</v>
      </c>
      <c r="G21" s="232" t="s">
        <v>185</v>
      </c>
      <c r="H21" s="233" t="s">
        <v>186</v>
      </c>
      <c r="I21" s="218" t="s">
        <v>187</v>
      </c>
      <c r="J21" s="181">
        <v>2.0E8</v>
      </c>
      <c r="K21" s="182">
        <v>400.0</v>
      </c>
      <c r="L21" s="195"/>
      <c r="M21" s="176" t="s">
        <v>80</v>
      </c>
      <c r="N21" s="176" t="s">
        <v>80</v>
      </c>
      <c r="O21" s="176" t="s">
        <v>80</v>
      </c>
      <c r="P21" s="176" t="s">
        <v>80</v>
      </c>
      <c r="Q21" s="176" t="s">
        <v>80</v>
      </c>
      <c r="R21" s="176" t="s">
        <v>80</v>
      </c>
      <c r="S21" s="176" t="s">
        <v>80</v>
      </c>
      <c r="T21" s="176" t="s">
        <v>80</v>
      </c>
      <c r="U21" s="176" t="s">
        <v>80</v>
      </c>
      <c r="V21" s="176" t="s">
        <v>80</v>
      </c>
      <c r="W21" s="176" t="s">
        <v>80</v>
      </c>
      <c r="X21" s="176" t="s">
        <v>80</v>
      </c>
      <c r="Y21" s="176" t="s">
        <v>80</v>
      </c>
      <c r="Z21" s="176" t="s">
        <v>80</v>
      </c>
      <c r="AA21" s="176" t="s">
        <v>80</v>
      </c>
      <c r="AB21" s="176" t="s">
        <v>80</v>
      </c>
      <c r="AC21" s="176" t="s">
        <v>80</v>
      </c>
      <c r="AD21" s="176" t="s">
        <v>80</v>
      </c>
      <c r="AE21" s="176" t="s">
        <v>80</v>
      </c>
      <c r="AF21" s="176" t="s">
        <v>64</v>
      </c>
      <c r="AG21" s="184" t="s">
        <v>188</v>
      </c>
      <c r="AH21" s="191">
        <v>46205.0</v>
      </c>
      <c r="AI21" s="176" t="s">
        <v>151</v>
      </c>
      <c r="AJ21" s="186"/>
      <c r="AK21" s="186"/>
      <c r="AL21" s="187"/>
      <c r="AM21" s="187"/>
      <c r="AN21" s="187"/>
      <c r="AO21" s="187"/>
      <c r="AP21" s="187"/>
      <c r="AQ21" s="187"/>
      <c r="AR21" s="187"/>
    </row>
    <row r="22" ht="37.5" customHeight="1">
      <c r="A22" s="172" t="s">
        <v>189</v>
      </c>
      <c r="B22" s="173" t="s">
        <v>45</v>
      </c>
      <c r="C22" s="209" t="s">
        <v>190</v>
      </c>
      <c r="D22" s="193">
        <v>17.0</v>
      </c>
      <c r="E22" s="176" t="s">
        <v>96</v>
      </c>
      <c r="F22" s="177" t="s">
        <v>191</v>
      </c>
      <c r="G22" s="232" t="s">
        <v>192</v>
      </c>
      <c r="H22" s="234" t="s">
        <v>193</v>
      </c>
      <c r="I22" s="235"/>
      <c r="J22" s="181">
        <v>8.0E7</v>
      </c>
      <c r="K22" s="182">
        <v>889.0</v>
      </c>
      <c r="L22" s="195"/>
      <c r="M22" s="176" t="s">
        <v>80</v>
      </c>
      <c r="N22" s="176" t="s">
        <v>80</v>
      </c>
      <c r="O22" s="176" t="s">
        <v>80</v>
      </c>
      <c r="P22" s="176" t="s">
        <v>80</v>
      </c>
      <c r="Q22" s="176" t="s">
        <v>80</v>
      </c>
      <c r="R22" s="176" t="s">
        <v>80</v>
      </c>
      <c r="S22" s="176" t="s">
        <v>80</v>
      </c>
      <c r="T22" s="176" t="s">
        <v>80</v>
      </c>
      <c r="U22" s="176" t="s">
        <v>80</v>
      </c>
      <c r="V22" s="176" t="s">
        <v>80</v>
      </c>
      <c r="W22" s="176" t="s">
        <v>80</v>
      </c>
      <c r="X22" s="176" t="s">
        <v>80</v>
      </c>
      <c r="Y22" s="176" t="s">
        <v>80</v>
      </c>
      <c r="Z22" s="176" t="s">
        <v>80</v>
      </c>
      <c r="AA22" s="176" t="s">
        <v>80</v>
      </c>
      <c r="AB22" s="176" t="s">
        <v>80</v>
      </c>
      <c r="AC22" s="176" t="s">
        <v>80</v>
      </c>
      <c r="AD22" s="176" t="s">
        <v>80</v>
      </c>
      <c r="AE22" s="176" t="s">
        <v>80</v>
      </c>
      <c r="AF22" s="176" t="s">
        <v>64</v>
      </c>
      <c r="AG22" s="184" t="s">
        <v>194</v>
      </c>
      <c r="AH22" s="191">
        <v>46205.0</v>
      </c>
      <c r="AI22" s="176" t="s">
        <v>101</v>
      </c>
      <c r="AJ22" s="186"/>
      <c r="AK22" s="186"/>
      <c r="AL22" s="187"/>
      <c r="AM22" s="187"/>
      <c r="AN22" s="187"/>
      <c r="AO22" s="187"/>
      <c r="AP22" s="187"/>
      <c r="AQ22" s="187"/>
      <c r="AR22" s="187"/>
    </row>
    <row r="23" ht="37.5" customHeight="1">
      <c r="A23" s="172" t="s">
        <v>195</v>
      </c>
      <c r="B23" s="173" t="s">
        <v>86</v>
      </c>
      <c r="C23" s="209" t="s">
        <v>196</v>
      </c>
      <c r="D23" s="193">
        <v>18.0</v>
      </c>
      <c r="E23" s="176" t="s">
        <v>73</v>
      </c>
      <c r="F23" s="188" t="s">
        <v>197</v>
      </c>
      <c r="G23" s="232" t="s">
        <v>198</v>
      </c>
      <c r="H23" s="235" t="s">
        <v>90</v>
      </c>
      <c r="I23" s="219" t="s">
        <v>199</v>
      </c>
      <c r="J23" s="181">
        <v>1.5E8</v>
      </c>
      <c r="K23" s="182">
        <v>913.3</v>
      </c>
      <c r="L23" s="183">
        <v>534.0</v>
      </c>
      <c r="M23" s="176" t="s">
        <v>80</v>
      </c>
      <c r="N23" s="176" t="s">
        <v>80</v>
      </c>
      <c r="O23" s="176" t="s">
        <v>80</v>
      </c>
      <c r="P23" s="176" t="s">
        <v>80</v>
      </c>
      <c r="Q23" s="176" t="s">
        <v>80</v>
      </c>
      <c r="R23" s="176" t="s">
        <v>80</v>
      </c>
      <c r="S23" s="176" t="s">
        <v>80</v>
      </c>
      <c r="T23" s="176" t="s">
        <v>80</v>
      </c>
      <c r="U23" s="176" t="s">
        <v>80</v>
      </c>
      <c r="V23" s="176" t="s">
        <v>80</v>
      </c>
      <c r="W23" s="176" t="s">
        <v>80</v>
      </c>
      <c r="X23" s="176" t="s">
        <v>80</v>
      </c>
      <c r="Y23" s="176" t="s">
        <v>80</v>
      </c>
      <c r="Z23" s="176" t="s">
        <v>80</v>
      </c>
      <c r="AA23" s="176" t="s">
        <v>80</v>
      </c>
      <c r="AB23" s="176" t="s">
        <v>80</v>
      </c>
      <c r="AC23" s="176" t="s">
        <v>80</v>
      </c>
      <c r="AD23" s="176" t="s">
        <v>80</v>
      </c>
      <c r="AE23" s="176" t="s">
        <v>80</v>
      </c>
      <c r="AF23" s="176" t="s">
        <v>64</v>
      </c>
      <c r="AG23" s="184" t="s">
        <v>200</v>
      </c>
      <c r="AH23" s="191">
        <v>46199.0</v>
      </c>
      <c r="AI23" s="176" t="s">
        <v>151</v>
      </c>
      <c r="AJ23" s="186"/>
      <c r="AK23" s="186"/>
      <c r="AL23" s="187"/>
      <c r="AM23" s="187"/>
      <c r="AN23" s="187"/>
      <c r="AO23" s="187"/>
      <c r="AP23" s="187"/>
      <c r="AQ23" s="187"/>
      <c r="AR23" s="187"/>
    </row>
    <row r="24" ht="37.5" customHeight="1">
      <c r="A24" s="172" t="s">
        <v>94</v>
      </c>
      <c r="B24" s="173" t="s">
        <v>45</v>
      </c>
      <c r="C24" s="209" t="s">
        <v>201</v>
      </c>
      <c r="D24" s="193">
        <v>19.0</v>
      </c>
      <c r="E24" s="176" t="s">
        <v>96</v>
      </c>
      <c r="F24" s="177" t="s">
        <v>202</v>
      </c>
      <c r="G24" s="236" t="s">
        <v>203</v>
      </c>
      <c r="H24" s="222" t="s">
        <v>90</v>
      </c>
      <c r="I24" s="222"/>
      <c r="J24" s="181">
        <v>2.4E8</v>
      </c>
      <c r="K24" s="182"/>
      <c r="L24" s="195"/>
      <c r="M24" s="176" t="s">
        <v>80</v>
      </c>
      <c r="N24" s="176" t="s">
        <v>80</v>
      </c>
      <c r="O24" s="176" t="s">
        <v>80</v>
      </c>
      <c r="P24" s="176" t="s">
        <v>80</v>
      </c>
      <c r="Q24" s="176" t="s">
        <v>80</v>
      </c>
      <c r="R24" s="176" t="s">
        <v>80</v>
      </c>
      <c r="S24" s="176" t="s">
        <v>80</v>
      </c>
      <c r="T24" s="176" t="s">
        <v>80</v>
      </c>
      <c r="U24" s="176" t="s">
        <v>80</v>
      </c>
      <c r="V24" s="176" t="s">
        <v>80</v>
      </c>
      <c r="W24" s="176" t="s">
        <v>80</v>
      </c>
      <c r="X24" s="176" t="s">
        <v>80</v>
      </c>
      <c r="Y24" s="176" t="s">
        <v>80</v>
      </c>
      <c r="Z24" s="176" t="s">
        <v>80</v>
      </c>
      <c r="AA24" s="176" t="s">
        <v>80</v>
      </c>
      <c r="AB24" s="176" t="s">
        <v>80</v>
      </c>
      <c r="AC24" s="176" t="s">
        <v>80</v>
      </c>
      <c r="AD24" s="176" t="s">
        <v>80</v>
      </c>
      <c r="AE24" s="176" t="s">
        <v>80</v>
      </c>
      <c r="AF24" s="176" t="s">
        <v>64</v>
      </c>
      <c r="AG24" s="237" t="s">
        <v>204</v>
      </c>
      <c r="AH24" s="191">
        <v>46205.0</v>
      </c>
      <c r="AI24" s="176" t="s">
        <v>151</v>
      </c>
      <c r="AJ24" s="186"/>
      <c r="AK24" s="186"/>
      <c r="AL24" s="187"/>
      <c r="AM24" s="187"/>
      <c r="AN24" s="187"/>
      <c r="AO24" s="187"/>
      <c r="AP24" s="187"/>
      <c r="AQ24" s="187"/>
      <c r="AR24" s="187"/>
    </row>
    <row r="25" ht="37.5" customHeight="1">
      <c r="A25" s="172" t="s">
        <v>205</v>
      </c>
      <c r="B25" s="173" t="s">
        <v>71</v>
      </c>
      <c r="C25" s="209" t="s">
        <v>206</v>
      </c>
      <c r="D25" s="193">
        <v>20.0</v>
      </c>
      <c r="E25" s="176" t="s">
        <v>96</v>
      </c>
      <c r="F25" s="177" t="s">
        <v>207</v>
      </c>
      <c r="G25" s="178" t="s">
        <v>208</v>
      </c>
      <c r="H25" s="180" t="s">
        <v>209</v>
      </c>
      <c r="I25" s="238" t="s">
        <v>210</v>
      </c>
      <c r="J25" s="181">
        <v>1.0E8</v>
      </c>
      <c r="K25" s="192"/>
      <c r="L25" s="195"/>
      <c r="M25" s="176" t="s">
        <v>79</v>
      </c>
      <c r="N25" s="176" t="s">
        <v>79</v>
      </c>
      <c r="O25" s="176" t="s">
        <v>79</v>
      </c>
      <c r="P25" s="176" t="s">
        <v>78</v>
      </c>
      <c r="Q25" s="176" t="s">
        <v>78</v>
      </c>
      <c r="R25" s="176" t="s">
        <v>78</v>
      </c>
      <c r="S25" s="176" t="s">
        <v>78</v>
      </c>
      <c r="T25" s="176" t="s">
        <v>78</v>
      </c>
      <c r="U25" s="176" t="s">
        <v>78</v>
      </c>
      <c r="V25" s="176" t="s">
        <v>78</v>
      </c>
      <c r="W25" s="176" t="s">
        <v>78</v>
      </c>
      <c r="X25" s="176" t="s">
        <v>78</v>
      </c>
      <c r="Y25" s="176" t="s">
        <v>78</v>
      </c>
      <c r="Z25" s="176" t="s">
        <v>78</v>
      </c>
      <c r="AA25" s="176" t="s">
        <v>79</v>
      </c>
      <c r="AB25" s="176" t="s">
        <v>79</v>
      </c>
      <c r="AC25" s="176" t="s">
        <v>79</v>
      </c>
      <c r="AD25" s="176" t="s">
        <v>79</v>
      </c>
      <c r="AE25" s="176" t="s">
        <v>79</v>
      </c>
      <c r="AF25" s="176" t="s">
        <v>180</v>
      </c>
      <c r="AG25" s="184" t="s">
        <v>211</v>
      </c>
      <c r="AH25" s="185">
        <v>46139.0</v>
      </c>
      <c r="AI25" s="176" t="s">
        <v>84</v>
      </c>
      <c r="AJ25" s="186"/>
      <c r="AK25" s="186"/>
      <c r="AL25" s="187"/>
      <c r="AM25" s="187"/>
      <c r="AN25" s="187"/>
      <c r="AO25" s="187"/>
      <c r="AP25" s="187"/>
      <c r="AQ25" s="187"/>
      <c r="AR25" s="187"/>
    </row>
    <row r="26" ht="37.5" customHeight="1">
      <c r="A26" s="172" t="s">
        <v>212</v>
      </c>
      <c r="B26" s="173" t="s">
        <v>71</v>
      </c>
      <c r="C26" s="239" t="s">
        <v>213</v>
      </c>
      <c r="D26" s="197">
        <v>22.0</v>
      </c>
      <c r="E26" s="176" t="s">
        <v>96</v>
      </c>
      <c r="F26" s="210" t="s">
        <v>214</v>
      </c>
      <c r="G26" s="199" t="s">
        <v>215</v>
      </c>
      <c r="H26" s="240" t="s">
        <v>216</v>
      </c>
      <c r="I26" s="199"/>
      <c r="J26" s="241">
        <v>2.0E8</v>
      </c>
      <c r="K26" s="192"/>
      <c r="L26" s="183">
        <v>3440.0</v>
      </c>
      <c r="M26" s="176" t="s">
        <v>80</v>
      </c>
      <c r="N26" s="176" t="s">
        <v>80</v>
      </c>
      <c r="O26" s="176" t="s">
        <v>80</v>
      </c>
      <c r="P26" s="176" t="s">
        <v>80</v>
      </c>
      <c r="Q26" s="176" t="s">
        <v>80</v>
      </c>
      <c r="R26" s="176" t="s">
        <v>80</v>
      </c>
      <c r="S26" s="176" t="s">
        <v>80</v>
      </c>
      <c r="T26" s="176" t="s">
        <v>80</v>
      </c>
      <c r="U26" s="176" t="s">
        <v>80</v>
      </c>
      <c r="V26" s="176" t="s">
        <v>80</v>
      </c>
      <c r="W26" s="176" t="s">
        <v>80</v>
      </c>
      <c r="X26" s="176" t="s">
        <v>80</v>
      </c>
      <c r="Y26" s="176" t="s">
        <v>80</v>
      </c>
      <c r="Z26" s="176" t="s">
        <v>80</v>
      </c>
      <c r="AA26" s="176" t="s">
        <v>80</v>
      </c>
      <c r="AB26" s="176" t="s">
        <v>80</v>
      </c>
      <c r="AC26" s="176" t="s">
        <v>80</v>
      </c>
      <c r="AD26" s="176" t="s">
        <v>80</v>
      </c>
      <c r="AE26" s="176" t="s">
        <v>80</v>
      </c>
      <c r="AF26" s="176" t="s">
        <v>142</v>
      </c>
      <c r="AG26" s="204" t="s">
        <v>217</v>
      </c>
      <c r="AH26" s="217">
        <v>46211.0</v>
      </c>
      <c r="AI26" s="176" t="s">
        <v>144</v>
      </c>
      <c r="AJ26" s="186"/>
      <c r="AK26" s="186"/>
      <c r="AL26" s="187"/>
      <c r="AM26" s="187"/>
      <c r="AN26" s="187"/>
      <c r="AO26" s="187"/>
      <c r="AP26" s="187"/>
      <c r="AQ26" s="187"/>
      <c r="AR26" s="187"/>
    </row>
    <row r="27" ht="37.5" customHeight="1">
      <c r="A27" s="172" t="s">
        <v>218</v>
      </c>
      <c r="B27" s="173" t="s">
        <v>219</v>
      </c>
      <c r="C27" s="242" t="s">
        <v>220</v>
      </c>
      <c r="D27" s="193">
        <v>23.0</v>
      </c>
      <c r="E27" s="176" t="s">
        <v>96</v>
      </c>
      <c r="F27" s="177" t="s">
        <v>221</v>
      </c>
      <c r="G27" s="178" t="s">
        <v>222</v>
      </c>
      <c r="H27" s="189"/>
      <c r="I27" s="189"/>
      <c r="J27" s="243" t="s">
        <v>90</v>
      </c>
      <c r="K27" s="244"/>
      <c r="L27" s="245"/>
      <c r="M27" s="176" t="s">
        <v>122</v>
      </c>
      <c r="N27" s="176" t="s">
        <v>122</v>
      </c>
      <c r="O27" s="176" t="s">
        <v>122</v>
      </c>
      <c r="P27" s="176" t="s">
        <v>122</v>
      </c>
      <c r="Q27" s="176" t="s">
        <v>81</v>
      </c>
      <c r="R27" s="176" t="s">
        <v>81</v>
      </c>
      <c r="S27" s="176" t="s">
        <v>81</v>
      </c>
      <c r="T27" s="176" t="s">
        <v>81</v>
      </c>
      <c r="U27" s="176" t="s">
        <v>81</v>
      </c>
      <c r="V27" s="176" t="s">
        <v>81</v>
      </c>
      <c r="W27" s="176" t="s">
        <v>81</v>
      </c>
      <c r="X27" s="176" t="s">
        <v>81</v>
      </c>
      <c r="Y27" s="176" t="s">
        <v>81</v>
      </c>
      <c r="Z27" s="176" t="s">
        <v>81</v>
      </c>
      <c r="AA27" s="176" t="s">
        <v>122</v>
      </c>
      <c r="AB27" s="176" t="s">
        <v>122</v>
      </c>
      <c r="AC27" s="176" t="s">
        <v>122</v>
      </c>
      <c r="AD27" s="176" t="s">
        <v>122</v>
      </c>
      <c r="AE27" s="176" t="s">
        <v>122</v>
      </c>
      <c r="AF27" s="176" t="s">
        <v>180</v>
      </c>
      <c r="AG27" s="184" t="s">
        <v>223</v>
      </c>
      <c r="AH27" s="185">
        <v>46150.0</v>
      </c>
      <c r="AI27" s="246" t="s">
        <v>90</v>
      </c>
      <c r="AJ27" s="186"/>
      <c r="AK27" s="186"/>
      <c r="AL27" s="187"/>
      <c r="AM27" s="187"/>
      <c r="AN27" s="187"/>
      <c r="AO27" s="187"/>
      <c r="AP27" s="187"/>
      <c r="AQ27" s="187"/>
      <c r="AR27" s="187"/>
    </row>
    <row r="28" ht="37.5" customHeight="1">
      <c r="A28" s="172" t="s">
        <v>224</v>
      </c>
      <c r="B28" s="173" t="s">
        <v>45</v>
      </c>
      <c r="C28" s="209" t="s">
        <v>225</v>
      </c>
      <c r="D28" s="193">
        <v>24.0</v>
      </c>
      <c r="E28" s="176" t="s">
        <v>96</v>
      </c>
      <c r="F28" s="188" t="s">
        <v>226</v>
      </c>
      <c r="G28" s="178" t="s">
        <v>227</v>
      </c>
      <c r="H28" s="180" t="s">
        <v>228</v>
      </c>
      <c r="I28" s="196" t="s">
        <v>229</v>
      </c>
      <c r="J28" s="181">
        <v>5.0E7</v>
      </c>
      <c r="K28" s="192"/>
      <c r="L28" s="195"/>
      <c r="M28" s="176" t="s">
        <v>122</v>
      </c>
      <c r="N28" s="176" t="s">
        <v>122</v>
      </c>
      <c r="O28" s="176" t="s">
        <v>122</v>
      </c>
      <c r="P28" s="176" t="s">
        <v>122</v>
      </c>
      <c r="Q28" s="176" t="s">
        <v>81</v>
      </c>
      <c r="R28" s="176" t="s">
        <v>81</v>
      </c>
      <c r="S28" s="176" t="s">
        <v>81</v>
      </c>
      <c r="T28" s="176" t="s">
        <v>81</v>
      </c>
      <c r="U28" s="176" t="s">
        <v>81</v>
      </c>
      <c r="V28" s="176" t="s">
        <v>81</v>
      </c>
      <c r="W28" s="176" t="s">
        <v>81</v>
      </c>
      <c r="X28" s="176" t="s">
        <v>81</v>
      </c>
      <c r="Y28" s="176" t="s">
        <v>81</v>
      </c>
      <c r="Z28" s="176" t="s">
        <v>81</v>
      </c>
      <c r="AA28" s="176" t="s">
        <v>122</v>
      </c>
      <c r="AB28" s="176" t="s">
        <v>122</v>
      </c>
      <c r="AC28" s="176" t="s">
        <v>122</v>
      </c>
      <c r="AD28" s="176" t="s">
        <v>122</v>
      </c>
      <c r="AE28" s="176" t="s">
        <v>122</v>
      </c>
      <c r="AF28" s="176" t="s">
        <v>180</v>
      </c>
      <c r="AG28" s="184" t="s">
        <v>230</v>
      </c>
      <c r="AH28" s="185">
        <v>46153.0</v>
      </c>
      <c r="AI28" s="246" t="s">
        <v>90</v>
      </c>
      <c r="AJ28" s="186"/>
      <c r="AK28" s="186"/>
      <c r="AL28" s="187"/>
      <c r="AM28" s="187"/>
      <c r="AN28" s="187"/>
      <c r="AO28" s="187"/>
      <c r="AP28" s="187"/>
      <c r="AQ28" s="187"/>
      <c r="AR28" s="187"/>
    </row>
    <row r="29" ht="37.5" customHeight="1">
      <c r="A29" s="172" t="s">
        <v>231</v>
      </c>
      <c r="B29" s="173" t="s">
        <v>45</v>
      </c>
      <c r="C29" s="209" t="s">
        <v>232</v>
      </c>
      <c r="D29" s="193">
        <v>25.0</v>
      </c>
      <c r="E29" s="176" t="s">
        <v>96</v>
      </c>
      <c r="F29" s="188" t="s">
        <v>233</v>
      </c>
      <c r="G29" s="178" t="s">
        <v>234</v>
      </c>
      <c r="H29" s="247" t="s">
        <v>235</v>
      </c>
      <c r="I29" s="189"/>
      <c r="J29" s="181">
        <v>1.5E8</v>
      </c>
      <c r="K29" s="192"/>
      <c r="L29" s="195"/>
      <c r="M29" s="176" t="s">
        <v>122</v>
      </c>
      <c r="N29" s="176" t="s">
        <v>122</v>
      </c>
      <c r="O29" s="176" t="s">
        <v>122</v>
      </c>
      <c r="P29" s="176" t="s">
        <v>122</v>
      </c>
      <c r="Q29" s="176" t="s">
        <v>81</v>
      </c>
      <c r="R29" s="176" t="s">
        <v>81</v>
      </c>
      <c r="S29" s="176" t="s">
        <v>81</v>
      </c>
      <c r="T29" s="176" t="s">
        <v>81</v>
      </c>
      <c r="U29" s="176" t="s">
        <v>81</v>
      </c>
      <c r="V29" s="176" t="s">
        <v>81</v>
      </c>
      <c r="W29" s="176" t="s">
        <v>81</v>
      </c>
      <c r="X29" s="176" t="s">
        <v>81</v>
      </c>
      <c r="Y29" s="176" t="s">
        <v>81</v>
      </c>
      <c r="Z29" s="176" t="s">
        <v>81</v>
      </c>
      <c r="AA29" s="176" t="s">
        <v>122</v>
      </c>
      <c r="AB29" s="176" t="s">
        <v>122</v>
      </c>
      <c r="AC29" s="176" t="s">
        <v>122</v>
      </c>
      <c r="AD29" s="176" t="s">
        <v>122</v>
      </c>
      <c r="AE29" s="176" t="s">
        <v>122</v>
      </c>
      <c r="AF29" s="176" t="s">
        <v>180</v>
      </c>
      <c r="AG29" s="184" t="s">
        <v>236</v>
      </c>
      <c r="AH29" s="185">
        <v>46153.0</v>
      </c>
      <c r="AI29" s="246" t="s">
        <v>90</v>
      </c>
      <c r="AJ29" s="186"/>
      <c r="AK29" s="186"/>
      <c r="AL29" s="187"/>
      <c r="AM29" s="187"/>
      <c r="AN29" s="187"/>
      <c r="AO29" s="187"/>
      <c r="AP29" s="187"/>
      <c r="AQ29" s="187"/>
      <c r="AR29" s="187"/>
    </row>
    <row r="30" ht="37.5" customHeight="1">
      <c r="A30" s="172" t="s">
        <v>237</v>
      </c>
      <c r="B30" s="173" t="s">
        <v>45</v>
      </c>
      <c r="C30" s="209" t="s">
        <v>238</v>
      </c>
      <c r="D30" s="193">
        <v>26.0</v>
      </c>
      <c r="E30" s="176" t="s">
        <v>96</v>
      </c>
      <c r="F30" s="188" t="s">
        <v>239</v>
      </c>
      <c r="G30" s="178" t="s">
        <v>240</v>
      </c>
      <c r="H30" s="180" t="s">
        <v>241</v>
      </c>
      <c r="I30" s="178" t="s">
        <v>242</v>
      </c>
      <c r="J30" s="181">
        <v>1.0E8</v>
      </c>
      <c r="K30" s="192"/>
      <c r="L30" s="183">
        <v>3600.0</v>
      </c>
      <c r="M30" s="176" t="s">
        <v>80</v>
      </c>
      <c r="N30" s="176" t="s">
        <v>80</v>
      </c>
      <c r="O30" s="176" t="s">
        <v>80</v>
      </c>
      <c r="P30" s="176" t="s">
        <v>80</v>
      </c>
      <c r="Q30" s="176" t="s">
        <v>80</v>
      </c>
      <c r="R30" s="176" t="s">
        <v>80</v>
      </c>
      <c r="S30" s="176" t="s">
        <v>80</v>
      </c>
      <c r="T30" s="176" t="s">
        <v>80</v>
      </c>
      <c r="U30" s="176" t="s">
        <v>80</v>
      </c>
      <c r="V30" s="176" t="s">
        <v>80</v>
      </c>
      <c r="W30" s="176" t="s">
        <v>80</v>
      </c>
      <c r="X30" s="176" t="s">
        <v>81</v>
      </c>
      <c r="Y30" s="176" t="s">
        <v>81</v>
      </c>
      <c r="Z30" s="176" t="s">
        <v>80</v>
      </c>
      <c r="AA30" s="176" t="s">
        <v>80</v>
      </c>
      <c r="AB30" s="176" t="s">
        <v>80</v>
      </c>
      <c r="AC30" s="176" t="s">
        <v>80</v>
      </c>
      <c r="AD30" s="176" t="s">
        <v>80</v>
      </c>
      <c r="AE30" s="176" t="s">
        <v>80</v>
      </c>
      <c r="AF30" s="176" t="s">
        <v>64</v>
      </c>
      <c r="AG30" s="184" t="s">
        <v>243</v>
      </c>
      <c r="AH30" s="191">
        <v>46205.0</v>
      </c>
      <c r="AI30" s="176" t="s">
        <v>101</v>
      </c>
      <c r="AJ30" s="186"/>
      <c r="AK30" s="186"/>
      <c r="AL30" s="187"/>
      <c r="AM30" s="187"/>
      <c r="AN30" s="187"/>
      <c r="AO30" s="187"/>
      <c r="AP30" s="187"/>
      <c r="AQ30" s="187"/>
      <c r="AR30" s="187"/>
    </row>
    <row r="31" ht="37.5" customHeight="1">
      <c r="A31" s="172" t="s">
        <v>244</v>
      </c>
      <c r="B31" s="173" t="s">
        <v>45</v>
      </c>
      <c r="C31" s="209" t="s">
        <v>245</v>
      </c>
      <c r="D31" s="193">
        <v>27.0</v>
      </c>
      <c r="E31" s="176" t="s">
        <v>96</v>
      </c>
      <c r="F31" s="188" t="s">
        <v>246</v>
      </c>
      <c r="G31" s="178" t="s">
        <v>247</v>
      </c>
      <c r="H31" s="247" t="s">
        <v>248</v>
      </c>
      <c r="I31" s="177" t="s">
        <v>249</v>
      </c>
      <c r="J31" s="181">
        <v>1.0E8</v>
      </c>
      <c r="K31" s="192"/>
      <c r="L31" s="183">
        <v>920.9</v>
      </c>
      <c r="M31" s="176" t="s">
        <v>78</v>
      </c>
      <c r="N31" s="176" t="s">
        <v>78</v>
      </c>
      <c r="O31" s="176" t="s">
        <v>78</v>
      </c>
      <c r="P31" s="176" t="s">
        <v>78</v>
      </c>
      <c r="Q31" s="176" t="s">
        <v>78</v>
      </c>
      <c r="R31" s="176" t="s">
        <v>78</v>
      </c>
      <c r="S31" s="176" t="s">
        <v>78</v>
      </c>
      <c r="T31" s="176" t="s">
        <v>78</v>
      </c>
      <c r="U31" s="176" t="s">
        <v>80</v>
      </c>
      <c r="V31" s="176" t="s">
        <v>78</v>
      </c>
      <c r="W31" s="176" t="s">
        <v>80</v>
      </c>
      <c r="X31" s="176" t="s">
        <v>78</v>
      </c>
      <c r="Y31" s="176" t="s">
        <v>80</v>
      </c>
      <c r="Z31" s="176" t="s">
        <v>80</v>
      </c>
      <c r="AA31" s="176" t="s">
        <v>78</v>
      </c>
      <c r="AB31" s="176" t="s">
        <v>80</v>
      </c>
      <c r="AC31" s="176" t="s">
        <v>80</v>
      </c>
      <c r="AD31" s="176" t="s">
        <v>80</v>
      </c>
      <c r="AE31" s="176" t="s">
        <v>78</v>
      </c>
      <c r="AF31" s="176" t="s">
        <v>82</v>
      </c>
      <c r="AG31" s="184" t="s">
        <v>250</v>
      </c>
      <c r="AH31" s="185">
        <v>46153.0</v>
      </c>
      <c r="AI31" s="176" t="s">
        <v>84</v>
      </c>
      <c r="AJ31" s="186"/>
      <c r="AK31" s="186"/>
      <c r="AL31" s="187"/>
      <c r="AM31" s="187"/>
      <c r="AN31" s="187"/>
      <c r="AO31" s="187"/>
      <c r="AP31" s="187"/>
      <c r="AQ31" s="187"/>
      <c r="AR31" s="187"/>
    </row>
    <row r="32" ht="37.5" customHeight="1">
      <c r="A32" s="172" t="s">
        <v>251</v>
      </c>
      <c r="B32" s="173" t="s">
        <v>45</v>
      </c>
      <c r="C32" s="209" t="s">
        <v>252</v>
      </c>
      <c r="D32" s="193">
        <v>28.0</v>
      </c>
      <c r="E32" s="176" t="s">
        <v>96</v>
      </c>
      <c r="F32" s="188" t="s">
        <v>253</v>
      </c>
      <c r="G32" s="178" t="s">
        <v>254</v>
      </c>
      <c r="H32" s="180" t="s">
        <v>255</v>
      </c>
      <c r="I32" s="248" t="s">
        <v>256</v>
      </c>
      <c r="J32" s="181">
        <v>1.0E8</v>
      </c>
      <c r="K32" s="192"/>
      <c r="L32" s="195"/>
      <c r="M32" s="176" t="s">
        <v>122</v>
      </c>
      <c r="N32" s="176" t="s">
        <v>122</v>
      </c>
      <c r="O32" s="176" t="s">
        <v>122</v>
      </c>
      <c r="P32" s="176" t="s">
        <v>122</v>
      </c>
      <c r="Q32" s="176" t="s">
        <v>81</v>
      </c>
      <c r="R32" s="176" t="s">
        <v>81</v>
      </c>
      <c r="S32" s="176" t="s">
        <v>81</v>
      </c>
      <c r="T32" s="176" t="s">
        <v>81</v>
      </c>
      <c r="U32" s="176" t="s">
        <v>81</v>
      </c>
      <c r="V32" s="176" t="s">
        <v>81</v>
      </c>
      <c r="W32" s="176" t="s">
        <v>81</v>
      </c>
      <c r="X32" s="176" t="s">
        <v>81</v>
      </c>
      <c r="Y32" s="176" t="s">
        <v>81</v>
      </c>
      <c r="Z32" s="176" t="s">
        <v>81</v>
      </c>
      <c r="AA32" s="176" t="s">
        <v>122</v>
      </c>
      <c r="AB32" s="176" t="s">
        <v>122</v>
      </c>
      <c r="AC32" s="176" t="s">
        <v>122</v>
      </c>
      <c r="AD32" s="176" t="s">
        <v>122</v>
      </c>
      <c r="AE32" s="176" t="s">
        <v>122</v>
      </c>
      <c r="AF32" s="176" t="s">
        <v>180</v>
      </c>
      <c r="AG32" s="184" t="s">
        <v>257</v>
      </c>
      <c r="AH32" s="185">
        <v>46153.0</v>
      </c>
      <c r="AI32" s="246" t="s">
        <v>90</v>
      </c>
      <c r="AJ32" s="186"/>
      <c r="AK32" s="186"/>
      <c r="AL32" s="187"/>
      <c r="AM32" s="187"/>
      <c r="AN32" s="187"/>
      <c r="AO32" s="187"/>
      <c r="AP32" s="187"/>
      <c r="AQ32" s="187"/>
      <c r="AR32" s="187"/>
    </row>
    <row r="33" ht="37.5" customHeight="1">
      <c r="A33" s="172" t="s">
        <v>258</v>
      </c>
      <c r="B33" s="173" t="s">
        <v>259</v>
      </c>
      <c r="C33" s="209" t="s">
        <v>260</v>
      </c>
      <c r="D33" s="193">
        <v>29.0</v>
      </c>
      <c r="E33" s="176" t="s">
        <v>96</v>
      </c>
      <c r="F33" s="177" t="s">
        <v>261</v>
      </c>
      <c r="G33" s="178" t="s">
        <v>262</v>
      </c>
      <c r="H33" s="196" t="s">
        <v>263</v>
      </c>
      <c r="I33" s="238" t="s">
        <v>264</v>
      </c>
      <c r="J33" s="181">
        <v>8.0E7</v>
      </c>
      <c r="K33" s="192"/>
      <c r="L33" s="195"/>
      <c r="M33" s="176" t="s">
        <v>122</v>
      </c>
      <c r="N33" s="176" t="s">
        <v>122</v>
      </c>
      <c r="O33" s="176" t="s">
        <v>122</v>
      </c>
      <c r="P33" s="176" t="s">
        <v>122</v>
      </c>
      <c r="Q33" s="176" t="s">
        <v>81</v>
      </c>
      <c r="R33" s="176" t="s">
        <v>81</v>
      </c>
      <c r="S33" s="176" t="s">
        <v>81</v>
      </c>
      <c r="T33" s="176" t="s">
        <v>81</v>
      </c>
      <c r="U33" s="176" t="s">
        <v>81</v>
      </c>
      <c r="V33" s="176" t="s">
        <v>81</v>
      </c>
      <c r="W33" s="176" t="s">
        <v>81</v>
      </c>
      <c r="X33" s="176" t="s">
        <v>81</v>
      </c>
      <c r="Y33" s="176" t="s">
        <v>81</v>
      </c>
      <c r="Z33" s="176" t="s">
        <v>81</v>
      </c>
      <c r="AA33" s="176" t="s">
        <v>122</v>
      </c>
      <c r="AB33" s="176" t="s">
        <v>122</v>
      </c>
      <c r="AC33" s="176" t="s">
        <v>122</v>
      </c>
      <c r="AD33" s="176" t="s">
        <v>122</v>
      </c>
      <c r="AE33" s="176" t="s">
        <v>122</v>
      </c>
      <c r="AF33" s="176" t="s">
        <v>180</v>
      </c>
      <c r="AG33" s="184" t="s">
        <v>265</v>
      </c>
      <c r="AH33" s="185">
        <v>46167.0</v>
      </c>
      <c r="AI33" s="246" t="s">
        <v>90</v>
      </c>
      <c r="AJ33" s="186"/>
      <c r="AK33" s="186"/>
      <c r="AL33" s="187"/>
      <c r="AM33" s="187"/>
      <c r="AN33" s="187"/>
      <c r="AO33" s="187"/>
      <c r="AP33" s="187"/>
      <c r="AQ33" s="187"/>
      <c r="AR33" s="187"/>
    </row>
    <row r="34" ht="37.5" customHeight="1">
      <c r="A34" s="172" t="s">
        <v>266</v>
      </c>
      <c r="B34" s="173" t="s">
        <v>267</v>
      </c>
      <c r="C34" s="209" t="s">
        <v>268</v>
      </c>
      <c r="D34" s="193">
        <v>30.0</v>
      </c>
      <c r="E34" s="176" t="s">
        <v>96</v>
      </c>
      <c r="F34" s="188" t="s">
        <v>269</v>
      </c>
      <c r="G34" s="178" t="s">
        <v>270</v>
      </c>
      <c r="H34" s="247" t="s">
        <v>271</v>
      </c>
      <c r="I34" s="249" t="s">
        <v>272</v>
      </c>
      <c r="J34" s="181">
        <v>2.0E8</v>
      </c>
      <c r="K34" s="192"/>
      <c r="L34" s="195"/>
      <c r="M34" s="176" t="s">
        <v>80</v>
      </c>
      <c r="N34" s="176" t="s">
        <v>80</v>
      </c>
      <c r="O34" s="176" t="s">
        <v>80</v>
      </c>
      <c r="P34" s="176" t="s">
        <v>78</v>
      </c>
      <c r="Q34" s="176" t="s">
        <v>78</v>
      </c>
      <c r="R34" s="176" t="s">
        <v>78</v>
      </c>
      <c r="S34" s="176" t="s">
        <v>78</v>
      </c>
      <c r="T34" s="176" t="s">
        <v>80</v>
      </c>
      <c r="U34" s="176" t="s">
        <v>80</v>
      </c>
      <c r="V34" s="176" t="s">
        <v>78</v>
      </c>
      <c r="W34" s="176" t="s">
        <v>80</v>
      </c>
      <c r="X34" s="176" t="s">
        <v>81</v>
      </c>
      <c r="Y34" s="176" t="s">
        <v>81</v>
      </c>
      <c r="Z34" s="176" t="s">
        <v>81</v>
      </c>
      <c r="AA34" s="176" t="s">
        <v>81</v>
      </c>
      <c r="AB34" s="176" t="s">
        <v>80</v>
      </c>
      <c r="AC34" s="176" t="s">
        <v>80</v>
      </c>
      <c r="AD34" s="176" t="s">
        <v>80</v>
      </c>
      <c r="AE34" s="176" t="s">
        <v>78</v>
      </c>
      <c r="AF34" s="176" t="s">
        <v>82</v>
      </c>
      <c r="AG34" s="184" t="s">
        <v>273</v>
      </c>
      <c r="AH34" s="185">
        <v>46167.0</v>
      </c>
      <c r="AI34" s="176" t="s">
        <v>84</v>
      </c>
      <c r="AJ34" s="186"/>
      <c r="AK34" s="186"/>
      <c r="AL34" s="187"/>
      <c r="AM34" s="187"/>
      <c r="AN34" s="187"/>
      <c r="AO34" s="187"/>
      <c r="AP34" s="187"/>
      <c r="AQ34" s="187"/>
      <c r="AR34" s="187"/>
    </row>
    <row r="35" ht="37.5" customHeight="1">
      <c r="A35" s="172" t="s">
        <v>274</v>
      </c>
      <c r="B35" s="173" t="s">
        <v>275</v>
      </c>
      <c r="C35" s="209" t="s">
        <v>276</v>
      </c>
      <c r="D35" s="193">
        <v>31.0</v>
      </c>
      <c r="E35" s="176" t="s">
        <v>96</v>
      </c>
      <c r="F35" s="188" t="s">
        <v>277</v>
      </c>
      <c r="G35" s="178" t="s">
        <v>278</v>
      </c>
      <c r="H35" s="248" t="s">
        <v>279</v>
      </c>
      <c r="I35" s="189"/>
      <c r="J35" s="181">
        <v>4.0E8</v>
      </c>
      <c r="K35" s="192"/>
      <c r="L35" s="195"/>
      <c r="M35" s="176" t="s">
        <v>122</v>
      </c>
      <c r="N35" s="176" t="s">
        <v>122</v>
      </c>
      <c r="O35" s="176" t="s">
        <v>122</v>
      </c>
      <c r="P35" s="176" t="s">
        <v>122</v>
      </c>
      <c r="Q35" s="176" t="s">
        <v>81</v>
      </c>
      <c r="R35" s="176" t="s">
        <v>81</v>
      </c>
      <c r="S35" s="176" t="s">
        <v>81</v>
      </c>
      <c r="T35" s="176" t="s">
        <v>81</v>
      </c>
      <c r="U35" s="176" t="s">
        <v>81</v>
      </c>
      <c r="V35" s="176" t="s">
        <v>81</v>
      </c>
      <c r="W35" s="176" t="s">
        <v>81</v>
      </c>
      <c r="X35" s="176" t="s">
        <v>81</v>
      </c>
      <c r="Y35" s="176" t="s">
        <v>81</v>
      </c>
      <c r="Z35" s="176" t="s">
        <v>81</v>
      </c>
      <c r="AA35" s="176" t="s">
        <v>122</v>
      </c>
      <c r="AB35" s="176" t="s">
        <v>122</v>
      </c>
      <c r="AC35" s="176" t="s">
        <v>122</v>
      </c>
      <c r="AD35" s="176" t="s">
        <v>122</v>
      </c>
      <c r="AE35" s="176" t="s">
        <v>122</v>
      </c>
      <c r="AF35" s="176" t="s">
        <v>180</v>
      </c>
      <c r="AG35" s="184" t="s">
        <v>280</v>
      </c>
      <c r="AH35" s="185">
        <v>46167.0</v>
      </c>
      <c r="AI35" s="246" t="s">
        <v>90</v>
      </c>
      <c r="AJ35" s="186"/>
      <c r="AK35" s="186"/>
      <c r="AL35" s="187"/>
      <c r="AM35" s="187"/>
      <c r="AN35" s="187"/>
      <c r="AO35" s="187"/>
      <c r="AP35" s="187"/>
      <c r="AQ35" s="187"/>
      <c r="AR35" s="187"/>
    </row>
    <row r="36" ht="37.5" customHeight="1">
      <c r="A36" s="172" t="s">
        <v>281</v>
      </c>
      <c r="B36" s="173" t="s">
        <v>259</v>
      </c>
      <c r="C36" s="209" t="s">
        <v>282</v>
      </c>
      <c r="D36" s="193">
        <v>32.0</v>
      </c>
      <c r="E36" s="176" t="s">
        <v>96</v>
      </c>
      <c r="F36" s="177" t="s">
        <v>283</v>
      </c>
      <c r="G36" s="178" t="s">
        <v>284</v>
      </c>
      <c r="H36" s="180" t="s">
        <v>285</v>
      </c>
      <c r="I36" s="189"/>
      <c r="J36" s="181">
        <v>5.0E7</v>
      </c>
      <c r="K36" s="192"/>
      <c r="L36" s="195"/>
      <c r="M36" s="176" t="s">
        <v>78</v>
      </c>
      <c r="N36" s="176" t="s">
        <v>122</v>
      </c>
      <c r="O36" s="176" t="s">
        <v>78</v>
      </c>
      <c r="P36" s="176" t="s">
        <v>122</v>
      </c>
      <c r="Q36" s="176" t="s">
        <v>81</v>
      </c>
      <c r="R36" s="176" t="s">
        <v>81</v>
      </c>
      <c r="S36" s="176" t="s">
        <v>81</v>
      </c>
      <c r="T36" s="176" t="s">
        <v>81</v>
      </c>
      <c r="U36" s="176" t="s">
        <v>81</v>
      </c>
      <c r="V36" s="176" t="s">
        <v>81</v>
      </c>
      <c r="W36" s="176" t="s">
        <v>81</v>
      </c>
      <c r="X36" s="176" t="s">
        <v>81</v>
      </c>
      <c r="Y36" s="176" t="s">
        <v>81</v>
      </c>
      <c r="Z36" s="176" t="s">
        <v>81</v>
      </c>
      <c r="AA36" s="176" t="s">
        <v>78</v>
      </c>
      <c r="AB36" s="176" t="s">
        <v>122</v>
      </c>
      <c r="AC36" s="176" t="s">
        <v>122</v>
      </c>
      <c r="AD36" s="176" t="s">
        <v>122</v>
      </c>
      <c r="AE36" s="176" t="s">
        <v>122</v>
      </c>
      <c r="AF36" s="176" t="s">
        <v>82</v>
      </c>
      <c r="AG36" s="184" t="s">
        <v>286</v>
      </c>
      <c r="AH36" s="185">
        <v>46167.0</v>
      </c>
      <c r="AI36" s="250" t="s">
        <v>84</v>
      </c>
      <c r="AJ36" s="186"/>
      <c r="AK36" s="186"/>
      <c r="AL36" s="187"/>
      <c r="AM36" s="187"/>
      <c r="AN36" s="187"/>
      <c r="AO36" s="187"/>
      <c r="AP36" s="187"/>
      <c r="AQ36" s="187"/>
      <c r="AR36" s="187"/>
    </row>
    <row r="37" ht="37.5" customHeight="1">
      <c r="A37" s="172" t="s">
        <v>287</v>
      </c>
      <c r="B37" s="173" t="s">
        <v>288</v>
      </c>
      <c r="C37" s="209" t="s">
        <v>289</v>
      </c>
      <c r="D37" s="193">
        <v>33.0</v>
      </c>
      <c r="E37" s="176" t="s">
        <v>96</v>
      </c>
      <c r="F37" s="177" t="s">
        <v>290</v>
      </c>
      <c r="G37" s="178" t="s">
        <v>291</v>
      </c>
      <c r="H37" s="189"/>
      <c r="I37" s="189"/>
      <c r="J37" s="181">
        <v>1.5E8</v>
      </c>
      <c r="K37" s="192"/>
      <c r="L37" s="195"/>
      <c r="M37" s="176" t="s">
        <v>122</v>
      </c>
      <c r="N37" s="176" t="s">
        <v>122</v>
      </c>
      <c r="O37" s="176" t="s">
        <v>122</v>
      </c>
      <c r="P37" s="176" t="s">
        <v>122</v>
      </c>
      <c r="Q37" s="176" t="s">
        <v>81</v>
      </c>
      <c r="R37" s="176" t="s">
        <v>81</v>
      </c>
      <c r="S37" s="176" t="s">
        <v>81</v>
      </c>
      <c r="T37" s="176" t="s">
        <v>81</v>
      </c>
      <c r="U37" s="176" t="s">
        <v>81</v>
      </c>
      <c r="V37" s="176" t="s">
        <v>81</v>
      </c>
      <c r="W37" s="176" t="s">
        <v>81</v>
      </c>
      <c r="X37" s="176" t="s">
        <v>81</v>
      </c>
      <c r="Y37" s="176" t="s">
        <v>81</v>
      </c>
      <c r="Z37" s="176" t="s">
        <v>81</v>
      </c>
      <c r="AA37" s="176" t="s">
        <v>122</v>
      </c>
      <c r="AB37" s="176" t="s">
        <v>122</v>
      </c>
      <c r="AC37" s="176" t="s">
        <v>122</v>
      </c>
      <c r="AD37" s="176" t="s">
        <v>122</v>
      </c>
      <c r="AE37" s="176" t="s">
        <v>122</v>
      </c>
      <c r="AF37" s="176" t="s">
        <v>180</v>
      </c>
      <c r="AG37" s="184" t="s">
        <v>292</v>
      </c>
      <c r="AH37" s="185">
        <v>46167.0</v>
      </c>
      <c r="AI37" s="246" t="s">
        <v>90</v>
      </c>
      <c r="AJ37" s="186"/>
      <c r="AK37" s="186"/>
      <c r="AL37" s="187"/>
      <c r="AM37" s="187"/>
      <c r="AN37" s="187"/>
      <c r="AO37" s="187"/>
      <c r="AP37" s="187"/>
      <c r="AQ37" s="187"/>
      <c r="AR37" s="187"/>
    </row>
    <row r="38" ht="37.5" customHeight="1">
      <c r="A38" s="172" t="s">
        <v>293</v>
      </c>
      <c r="B38" s="173" t="s">
        <v>259</v>
      </c>
      <c r="C38" s="209" t="s">
        <v>294</v>
      </c>
      <c r="D38" s="193">
        <v>34.0</v>
      </c>
      <c r="E38" s="176" t="s">
        <v>96</v>
      </c>
      <c r="F38" s="177" t="s">
        <v>295</v>
      </c>
      <c r="G38" s="178" t="s">
        <v>296</v>
      </c>
      <c r="H38" s="238" t="s">
        <v>297</v>
      </c>
      <c r="I38" s="189"/>
      <c r="J38" s="181">
        <v>2.0E8</v>
      </c>
      <c r="K38" s="192"/>
      <c r="L38" s="195"/>
      <c r="M38" s="176" t="s">
        <v>122</v>
      </c>
      <c r="N38" s="176" t="s">
        <v>122</v>
      </c>
      <c r="O38" s="176" t="s">
        <v>122</v>
      </c>
      <c r="P38" s="176" t="s">
        <v>122</v>
      </c>
      <c r="Q38" s="176" t="s">
        <v>81</v>
      </c>
      <c r="R38" s="176" t="s">
        <v>81</v>
      </c>
      <c r="S38" s="176" t="s">
        <v>81</v>
      </c>
      <c r="T38" s="176" t="s">
        <v>81</v>
      </c>
      <c r="U38" s="176" t="s">
        <v>81</v>
      </c>
      <c r="V38" s="176" t="s">
        <v>81</v>
      </c>
      <c r="W38" s="176" t="s">
        <v>81</v>
      </c>
      <c r="X38" s="176" t="s">
        <v>81</v>
      </c>
      <c r="Y38" s="176" t="s">
        <v>81</v>
      </c>
      <c r="Z38" s="176" t="s">
        <v>81</v>
      </c>
      <c r="AA38" s="176" t="s">
        <v>122</v>
      </c>
      <c r="AB38" s="176" t="s">
        <v>122</v>
      </c>
      <c r="AC38" s="176" t="s">
        <v>122</v>
      </c>
      <c r="AD38" s="176" t="s">
        <v>122</v>
      </c>
      <c r="AE38" s="176" t="s">
        <v>122</v>
      </c>
      <c r="AF38" s="176" t="s">
        <v>180</v>
      </c>
      <c r="AG38" s="184" t="s">
        <v>298</v>
      </c>
      <c r="AH38" s="185">
        <v>46167.0</v>
      </c>
      <c r="AI38" s="246" t="s">
        <v>90</v>
      </c>
      <c r="AJ38" s="186"/>
      <c r="AK38" s="186"/>
      <c r="AL38" s="187"/>
      <c r="AM38" s="187"/>
      <c r="AN38" s="187"/>
      <c r="AO38" s="187"/>
      <c r="AP38" s="187"/>
      <c r="AQ38" s="187"/>
      <c r="AR38" s="187"/>
    </row>
    <row r="39" ht="37.5" customHeight="1">
      <c r="A39" s="172" t="s">
        <v>299</v>
      </c>
      <c r="B39" s="173" t="s">
        <v>259</v>
      </c>
      <c r="C39" s="209" t="s">
        <v>300</v>
      </c>
      <c r="D39" s="193">
        <v>35.0</v>
      </c>
      <c r="E39" s="176" t="s">
        <v>96</v>
      </c>
      <c r="F39" s="188" t="s">
        <v>301</v>
      </c>
      <c r="G39" s="178" t="s">
        <v>302</v>
      </c>
      <c r="H39" s="180" t="s">
        <v>303</v>
      </c>
      <c r="I39" s="180" t="s">
        <v>304</v>
      </c>
      <c r="J39" s="181">
        <v>1.0E8</v>
      </c>
      <c r="K39" s="192"/>
      <c r="L39" s="183">
        <v>1600.0</v>
      </c>
      <c r="M39" s="176" t="s">
        <v>78</v>
      </c>
      <c r="N39" s="176" t="s">
        <v>79</v>
      </c>
      <c r="O39" s="176" t="s">
        <v>79</v>
      </c>
      <c r="P39" s="176" t="s">
        <v>78</v>
      </c>
      <c r="Q39" s="176" t="s">
        <v>78</v>
      </c>
      <c r="R39" s="176" t="s">
        <v>78</v>
      </c>
      <c r="S39" s="176" t="s">
        <v>78</v>
      </c>
      <c r="T39" s="176" t="s">
        <v>78</v>
      </c>
      <c r="U39" s="176" t="s">
        <v>78</v>
      </c>
      <c r="V39" s="176" t="s">
        <v>81</v>
      </c>
      <c r="W39" s="176" t="s">
        <v>80</v>
      </c>
      <c r="X39" s="176" t="s">
        <v>81</v>
      </c>
      <c r="Y39" s="176" t="s">
        <v>81</v>
      </c>
      <c r="Z39" s="176" t="s">
        <v>80</v>
      </c>
      <c r="AA39" s="176" t="s">
        <v>79</v>
      </c>
      <c r="AB39" s="176" t="s">
        <v>79</v>
      </c>
      <c r="AC39" s="176" t="s">
        <v>79</v>
      </c>
      <c r="AD39" s="176" t="s">
        <v>79</v>
      </c>
      <c r="AE39" s="176" t="s">
        <v>79</v>
      </c>
      <c r="AF39" s="176" t="s">
        <v>82</v>
      </c>
      <c r="AG39" s="184" t="s">
        <v>305</v>
      </c>
      <c r="AH39" s="185">
        <v>46169.0</v>
      </c>
      <c r="AI39" s="246" t="s">
        <v>90</v>
      </c>
      <c r="AJ39" s="186"/>
      <c r="AK39" s="186"/>
      <c r="AL39" s="187"/>
      <c r="AM39" s="187"/>
      <c r="AN39" s="187"/>
      <c r="AO39" s="187"/>
      <c r="AP39" s="187"/>
      <c r="AQ39" s="187"/>
      <c r="AR39" s="187"/>
    </row>
    <row r="40" ht="37.5" customHeight="1">
      <c r="A40" s="172" t="s">
        <v>306</v>
      </c>
      <c r="B40" s="173" t="s">
        <v>275</v>
      </c>
      <c r="C40" s="242" t="s">
        <v>307</v>
      </c>
      <c r="D40" s="251">
        <v>38.0</v>
      </c>
      <c r="E40" s="176"/>
      <c r="F40" s="252" t="s">
        <v>308</v>
      </c>
      <c r="G40" s="253">
        <v>3.533580162E9</v>
      </c>
      <c r="H40" s="254" t="s">
        <v>309</v>
      </c>
      <c r="I40" s="255" t="s">
        <v>310</v>
      </c>
      <c r="J40" s="256">
        <v>7.0E7</v>
      </c>
      <c r="K40" s="192"/>
      <c r="L40" s="195"/>
      <c r="M40" s="176" t="s">
        <v>122</v>
      </c>
      <c r="N40" s="176" t="s">
        <v>122</v>
      </c>
      <c r="O40" s="176" t="s">
        <v>122</v>
      </c>
      <c r="P40" s="176" t="s">
        <v>122</v>
      </c>
      <c r="Q40" s="176" t="s">
        <v>81</v>
      </c>
      <c r="R40" s="176" t="s">
        <v>81</v>
      </c>
      <c r="S40" s="176" t="s">
        <v>81</v>
      </c>
      <c r="T40" s="176" t="s">
        <v>81</v>
      </c>
      <c r="U40" s="176" t="s">
        <v>81</v>
      </c>
      <c r="V40" s="176" t="s">
        <v>81</v>
      </c>
      <c r="W40" s="176" t="s">
        <v>81</v>
      </c>
      <c r="X40" s="176" t="s">
        <v>81</v>
      </c>
      <c r="Y40" s="176" t="s">
        <v>81</v>
      </c>
      <c r="Z40" s="176" t="s">
        <v>81</v>
      </c>
      <c r="AA40" s="176" t="s">
        <v>122</v>
      </c>
      <c r="AB40" s="176" t="s">
        <v>122</v>
      </c>
      <c r="AC40" s="176" t="s">
        <v>122</v>
      </c>
      <c r="AD40" s="176" t="s">
        <v>122</v>
      </c>
      <c r="AE40" s="176" t="s">
        <v>122</v>
      </c>
      <c r="AF40" s="176" t="s">
        <v>180</v>
      </c>
      <c r="AG40" s="184" t="s">
        <v>311</v>
      </c>
      <c r="AH40" s="185"/>
      <c r="AI40" s="176"/>
      <c r="AJ40" s="186"/>
      <c r="AK40" s="186"/>
      <c r="AL40" s="187"/>
      <c r="AM40" s="187"/>
      <c r="AN40" s="187"/>
      <c r="AO40" s="187"/>
      <c r="AP40" s="187"/>
      <c r="AQ40" s="187"/>
      <c r="AR40" s="187"/>
    </row>
    <row r="41" ht="37.5" customHeight="1">
      <c r="A41" s="172" t="s">
        <v>40</v>
      </c>
      <c r="B41" s="173" t="s">
        <v>267</v>
      </c>
      <c r="C41" s="242" t="s">
        <v>312</v>
      </c>
      <c r="D41" s="251">
        <v>39.0</v>
      </c>
      <c r="E41" s="176"/>
      <c r="F41" s="254"/>
      <c r="G41" s="232"/>
      <c r="H41" s="234" t="s">
        <v>313</v>
      </c>
      <c r="I41" s="234" t="s">
        <v>314</v>
      </c>
      <c r="J41" s="241">
        <v>1.0E8</v>
      </c>
      <c r="K41" s="182">
        <v>418.0</v>
      </c>
      <c r="L41" s="183">
        <v>1379.0</v>
      </c>
      <c r="M41" s="176" t="s">
        <v>79</v>
      </c>
      <c r="N41" s="176" t="s">
        <v>79</v>
      </c>
      <c r="O41" s="176" t="s">
        <v>79</v>
      </c>
      <c r="P41" s="176" t="s">
        <v>78</v>
      </c>
      <c r="Q41" s="176" t="s">
        <v>78</v>
      </c>
      <c r="R41" s="176" t="s">
        <v>78</v>
      </c>
      <c r="S41" s="176" t="s">
        <v>78</v>
      </c>
      <c r="T41" s="176" t="s">
        <v>78</v>
      </c>
      <c r="U41" s="176" t="s">
        <v>78</v>
      </c>
      <c r="V41" s="176" t="s">
        <v>78</v>
      </c>
      <c r="W41" s="176" t="s">
        <v>78</v>
      </c>
      <c r="X41" s="176" t="s">
        <v>78</v>
      </c>
      <c r="Y41" s="176" t="s">
        <v>78</v>
      </c>
      <c r="Z41" s="176" t="s">
        <v>78</v>
      </c>
      <c r="AA41" s="176" t="s">
        <v>79</v>
      </c>
      <c r="AB41" s="176" t="s">
        <v>79</v>
      </c>
      <c r="AC41" s="176" t="s">
        <v>79</v>
      </c>
      <c r="AD41" s="176" t="s">
        <v>79</v>
      </c>
      <c r="AE41" s="176" t="s">
        <v>79</v>
      </c>
      <c r="AF41" s="176" t="s">
        <v>82</v>
      </c>
      <c r="AG41" s="184" t="s">
        <v>315</v>
      </c>
      <c r="AH41" s="185"/>
      <c r="AI41" s="176"/>
      <c r="AJ41" s="186"/>
      <c r="AK41" s="186"/>
      <c r="AL41" s="187"/>
      <c r="AM41" s="187"/>
      <c r="AN41" s="187"/>
      <c r="AO41" s="187"/>
      <c r="AP41" s="187"/>
      <c r="AQ41" s="187"/>
      <c r="AR41" s="187"/>
    </row>
    <row r="42" ht="37.5" customHeight="1">
      <c r="A42" s="172" t="s">
        <v>316</v>
      </c>
      <c r="B42" s="173" t="s">
        <v>71</v>
      </c>
      <c r="C42" s="242" t="s">
        <v>317</v>
      </c>
      <c r="D42" s="251">
        <v>40.0</v>
      </c>
      <c r="E42" s="176"/>
      <c r="F42" s="254"/>
      <c r="G42" s="232"/>
      <c r="H42" s="234" t="s">
        <v>318</v>
      </c>
      <c r="I42" s="235"/>
      <c r="J42" s="241">
        <v>2.0E8</v>
      </c>
      <c r="K42" s="192"/>
      <c r="L42" s="195"/>
      <c r="M42" s="176" t="s">
        <v>122</v>
      </c>
      <c r="N42" s="176" t="s">
        <v>122</v>
      </c>
      <c r="O42" s="176" t="s">
        <v>122</v>
      </c>
      <c r="P42" s="176" t="s">
        <v>122</v>
      </c>
      <c r="Q42" s="176" t="s">
        <v>81</v>
      </c>
      <c r="R42" s="176" t="s">
        <v>81</v>
      </c>
      <c r="S42" s="176" t="s">
        <v>81</v>
      </c>
      <c r="T42" s="176" t="s">
        <v>81</v>
      </c>
      <c r="U42" s="176" t="s">
        <v>81</v>
      </c>
      <c r="V42" s="176" t="s">
        <v>81</v>
      </c>
      <c r="W42" s="176" t="s">
        <v>81</v>
      </c>
      <c r="X42" s="176" t="s">
        <v>81</v>
      </c>
      <c r="Y42" s="176" t="s">
        <v>81</v>
      </c>
      <c r="Z42" s="176" t="s">
        <v>81</v>
      </c>
      <c r="AA42" s="176" t="s">
        <v>122</v>
      </c>
      <c r="AB42" s="176" t="s">
        <v>122</v>
      </c>
      <c r="AC42" s="176" t="s">
        <v>122</v>
      </c>
      <c r="AD42" s="176" t="s">
        <v>122</v>
      </c>
      <c r="AE42" s="176" t="s">
        <v>122</v>
      </c>
      <c r="AF42" s="176" t="s">
        <v>180</v>
      </c>
      <c r="AG42" s="184" t="s">
        <v>319</v>
      </c>
      <c r="AH42" s="185"/>
      <c r="AI42" s="176"/>
      <c r="AJ42" s="186"/>
      <c r="AK42" s="186"/>
      <c r="AL42" s="187"/>
      <c r="AM42" s="187"/>
      <c r="AN42" s="187"/>
      <c r="AO42" s="187"/>
      <c r="AP42" s="187"/>
      <c r="AQ42" s="187"/>
      <c r="AR42" s="187"/>
    </row>
    <row r="43" ht="37.5" customHeight="1">
      <c r="A43" s="172" t="s">
        <v>320</v>
      </c>
      <c r="B43" s="173" t="s">
        <v>321</v>
      </c>
      <c r="C43" s="242" t="s">
        <v>322</v>
      </c>
      <c r="D43" s="251">
        <v>41.0</v>
      </c>
      <c r="E43" s="176" t="s">
        <v>96</v>
      </c>
      <c r="F43" s="257" t="s">
        <v>323</v>
      </c>
      <c r="G43" s="258">
        <v>3.584405706E9</v>
      </c>
      <c r="H43" s="255" t="s">
        <v>324</v>
      </c>
      <c r="I43" s="259" t="s">
        <v>325</v>
      </c>
      <c r="J43" s="241">
        <v>1.5E8</v>
      </c>
      <c r="K43" s="182">
        <v>580.0</v>
      </c>
      <c r="L43" s="183">
        <v>3101.0</v>
      </c>
      <c r="M43" s="176" t="s">
        <v>79</v>
      </c>
      <c r="N43" s="176" t="s">
        <v>79</v>
      </c>
      <c r="O43" s="176" t="s">
        <v>79</v>
      </c>
      <c r="P43" s="176" t="s">
        <v>326</v>
      </c>
      <c r="Q43" s="176" t="s">
        <v>78</v>
      </c>
      <c r="R43" s="176" t="s">
        <v>78</v>
      </c>
      <c r="S43" s="176" t="s">
        <v>81</v>
      </c>
      <c r="T43" s="176" t="s">
        <v>78</v>
      </c>
      <c r="U43" s="176" t="s">
        <v>81</v>
      </c>
      <c r="V43" s="176" t="s">
        <v>78</v>
      </c>
      <c r="W43" s="176" t="s">
        <v>78</v>
      </c>
      <c r="X43" s="176" t="s">
        <v>78</v>
      </c>
      <c r="Y43" s="176" t="s">
        <v>78</v>
      </c>
      <c r="Z43" s="176" t="s">
        <v>78</v>
      </c>
      <c r="AA43" s="176" t="s">
        <v>79</v>
      </c>
      <c r="AB43" s="176" t="s">
        <v>79</v>
      </c>
      <c r="AC43" s="176" t="s">
        <v>79</v>
      </c>
      <c r="AD43" s="176" t="s">
        <v>79</v>
      </c>
      <c r="AE43" s="176" t="s">
        <v>79</v>
      </c>
      <c r="AF43" s="176" t="s">
        <v>82</v>
      </c>
      <c r="AG43" s="184" t="s">
        <v>327</v>
      </c>
      <c r="AH43" s="191">
        <v>46178.0</v>
      </c>
      <c r="AI43" s="176" t="s">
        <v>84</v>
      </c>
      <c r="AJ43" s="186"/>
      <c r="AK43" s="186"/>
      <c r="AL43" s="187"/>
      <c r="AM43" s="187"/>
      <c r="AN43" s="187"/>
      <c r="AO43" s="187"/>
      <c r="AP43" s="187"/>
      <c r="AQ43" s="187"/>
      <c r="AR43" s="187"/>
    </row>
    <row r="44" ht="37.5" customHeight="1">
      <c r="A44" s="172" t="s">
        <v>3</v>
      </c>
      <c r="B44" s="173" t="s">
        <v>321</v>
      </c>
      <c r="C44" s="242" t="s">
        <v>328</v>
      </c>
      <c r="D44" s="251">
        <v>42.0</v>
      </c>
      <c r="E44" s="176" t="s">
        <v>96</v>
      </c>
      <c r="F44" s="254" t="s">
        <v>329</v>
      </c>
      <c r="G44" s="258">
        <v>3.586543232E9</v>
      </c>
      <c r="H44" s="260" t="s">
        <v>330</v>
      </c>
      <c r="I44" s="261" t="s">
        <v>330</v>
      </c>
      <c r="J44" s="241">
        <v>1.8E8</v>
      </c>
      <c r="K44" s="182">
        <v>496.0</v>
      </c>
      <c r="L44" s="183">
        <v>3200.0</v>
      </c>
      <c r="M44" s="176" t="s">
        <v>78</v>
      </c>
      <c r="N44" s="176" t="s">
        <v>80</v>
      </c>
      <c r="O44" s="176" t="s">
        <v>80</v>
      </c>
      <c r="P44" s="176" t="s">
        <v>78</v>
      </c>
      <c r="Q44" s="176" t="s">
        <v>78</v>
      </c>
      <c r="R44" s="176" t="s">
        <v>78</v>
      </c>
      <c r="S44" s="176" t="s">
        <v>80</v>
      </c>
      <c r="T44" s="176" t="s">
        <v>80</v>
      </c>
      <c r="U44" s="176" t="s">
        <v>80</v>
      </c>
      <c r="V44" s="176" t="s">
        <v>80</v>
      </c>
      <c r="W44" s="176" t="s">
        <v>78</v>
      </c>
      <c r="X44" s="176" t="s">
        <v>80</v>
      </c>
      <c r="Y44" s="176" t="s">
        <v>80</v>
      </c>
      <c r="Z44" s="176" t="s">
        <v>80</v>
      </c>
      <c r="AA44" s="176" t="s">
        <v>78</v>
      </c>
      <c r="AB44" s="176" t="s">
        <v>80</v>
      </c>
      <c r="AC44" s="176" t="s">
        <v>80</v>
      </c>
      <c r="AD44" s="176" t="s">
        <v>80</v>
      </c>
      <c r="AE44" s="176" t="s">
        <v>78</v>
      </c>
      <c r="AF44" s="176" t="s">
        <v>82</v>
      </c>
      <c r="AG44" s="184" t="s">
        <v>331</v>
      </c>
      <c r="AH44" s="191">
        <v>46192.0</v>
      </c>
      <c r="AI44" s="176" t="s">
        <v>84</v>
      </c>
      <c r="AJ44" s="186"/>
      <c r="AK44" s="186"/>
      <c r="AL44" s="187"/>
      <c r="AM44" s="187"/>
      <c r="AN44" s="187"/>
      <c r="AO44" s="187"/>
      <c r="AP44" s="187"/>
      <c r="AQ44" s="187"/>
      <c r="AR44" s="187"/>
    </row>
    <row r="45" ht="37.5" customHeight="1">
      <c r="A45" s="172" t="s">
        <v>332</v>
      </c>
      <c r="B45" s="173" t="s">
        <v>275</v>
      </c>
      <c r="C45" s="242" t="s">
        <v>333</v>
      </c>
      <c r="D45" s="251">
        <v>43.0</v>
      </c>
      <c r="E45" s="176" t="s">
        <v>96</v>
      </c>
      <c r="F45" s="262" t="s">
        <v>334</v>
      </c>
      <c r="G45" s="263">
        <v>3.53340289E9</v>
      </c>
      <c r="H45" s="261" t="s">
        <v>335</v>
      </c>
      <c r="I45" s="261" t="s">
        <v>336</v>
      </c>
      <c r="J45" s="241">
        <v>1.5E8</v>
      </c>
      <c r="K45" s="192"/>
      <c r="L45" s="195"/>
      <c r="M45" s="176" t="s">
        <v>122</v>
      </c>
      <c r="N45" s="176" t="s">
        <v>122</v>
      </c>
      <c r="O45" s="176" t="s">
        <v>122</v>
      </c>
      <c r="P45" s="176" t="s">
        <v>122</v>
      </c>
      <c r="Q45" s="176" t="s">
        <v>81</v>
      </c>
      <c r="R45" s="176" t="s">
        <v>81</v>
      </c>
      <c r="S45" s="176" t="s">
        <v>81</v>
      </c>
      <c r="T45" s="176" t="s">
        <v>81</v>
      </c>
      <c r="U45" s="176" t="s">
        <v>81</v>
      </c>
      <c r="V45" s="176" t="s">
        <v>81</v>
      </c>
      <c r="W45" s="176" t="s">
        <v>81</v>
      </c>
      <c r="X45" s="176" t="s">
        <v>81</v>
      </c>
      <c r="Y45" s="176" t="s">
        <v>81</v>
      </c>
      <c r="Z45" s="176" t="s">
        <v>81</v>
      </c>
      <c r="AA45" s="176" t="s">
        <v>122</v>
      </c>
      <c r="AB45" s="176" t="s">
        <v>122</v>
      </c>
      <c r="AC45" s="176" t="s">
        <v>122</v>
      </c>
      <c r="AD45" s="176" t="s">
        <v>122</v>
      </c>
      <c r="AE45" s="176" t="s">
        <v>122</v>
      </c>
      <c r="AF45" s="176" t="s">
        <v>180</v>
      </c>
      <c r="AG45" s="184" t="s">
        <v>337</v>
      </c>
      <c r="AH45" s="185"/>
      <c r="AI45" s="176"/>
      <c r="AJ45" s="186"/>
      <c r="AK45" s="186"/>
      <c r="AL45" s="187"/>
      <c r="AM45" s="187"/>
      <c r="AN45" s="187"/>
      <c r="AO45" s="187"/>
      <c r="AP45" s="187"/>
      <c r="AQ45" s="187"/>
      <c r="AR45" s="187"/>
    </row>
    <row r="46" ht="37.5" customHeight="1">
      <c r="A46" s="172" t="s">
        <v>338</v>
      </c>
      <c r="B46" s="173" t="s">
        <v>45</v>
      </c>
      <c r="C46" s="242"/>
      <c r="D46" s="251">
        <v>44.0</v>
      </c>
      <c r="E46" s="176" t="s">
        <v>96</v>
      </c>
      <c r="F46" s="254" t="s">
        <v>339</v>
      </c>
      <c r="G46" s="254">
        <v>3.513063795E9</v>
      </c>
      <c r="H46" s="234" t="s">
        <v>340</v>
      </c>
      <c r="I46" s="222"/>
      <c r="J46" s="241">
        <v>1.0E8</v>
      </c>
      <c r="K46" s="192"/>
      <c r="L46" s="195"/>
      <c r="M46" s="176" t="s">
        <v>122</v>
      </c>
      <c r="N46" s="176" t="s">
        <v>122</v>
      </c>
      <c r="O46" s="176" t="s">
        <v>122</v>
      </c>
      <c r="P46" s="176" t="s">
        <v>122</v>
      </c>
      <c r="Q46" s="176" t="s">
        <v>81</v>
      </c>
      <c r="R46" s="176" t="s">
        <v>81</v>
      </c>
      <c r="S46" s="176" t="s">
        <v>81</v>
      </c>
      <c r="T46" s="176" t="s">
        <v>81</v>
      </c>
      <c r="U46" s="176" t="s">
        <v>81</v>
      </c>
      <c r="V46" s="176" t="s">
        <v>81</v>
      </c>
      <c r="W46" s="176" t="s">
        <v>81</v>
      </c>
      <c r="X46" s="176" t="s">
        <v>81</v>
      </c>
      <c r="Y46" s="176" t="s">
        <v>81</v>
      </c>
      <c r="Z46" s="176" t="s">
        <v>81</v>
      </c>
      <c r="AA46" s="176" t="s">
        <v>122</v>
      </c>
      <c r="AB46" s="176" t="s">
        <v>122</v>
      </c>
      <c r="AC46" s="176" t="s">
        <v>122</v>
      </c>
      <c r="AD46" s="176" t="s">
        <v>122</v>
      </c>
      <c r="AE46" s="176" t="s">
        <v>122</v>
      </c>
      <c r="AF46" s="176" t="s">
        <v>180</v>
      </c>
      <c r="AG46" s="184" t="s">
        <v>341</v>
      </c>
      <c r="AH46" s="185"/>
      <c r="AI46" s="176"/>
      <c r="AJ46" s="186"/>
      <c r="AK46" s="186"/>
      <c r="AL46" s="187"/>
      <c r="AM46" s="187"/>
      <c r="AN46" s="187"/>
      <c r="AO46" s="187"/>
      <c r="AP46" s="187"/>
      <c r="AQ46" s="187"/>
      <c r="AR46" s="187"/>
    </row>
    <row r="47" ht="37.5" customHeight="1">
      <c r="A47" s="172" t="s">
        <v>342</v>
      </c>
      <c r="B47" s="173" t="s">
        <v>321</v>
      </c>
      <c r="C47" s="242" t="s">
        <v>343</v>
      </c>
      <c r="D47" s="251">
        <v>45.0</v>
      </c>
      <c r="E47" s="176" t="s">
        <v>96</v>
      </c>
      <c r="F47" s="257" t="s">
        <v>344</v>
      </c>
      <c r="G47" s="257">
        <v>3.584329533E9</v>
      </c>
      <c r="H47" s="264" t="s">
        <v>345</v>
      </c>
      <c r="I47" s="265">
        <v>3.584329533E9</v>
      </c>
      <c r="J47" s="241">
        <v>1.0E8</v>
      </c>
      <c r="K47" s="192"/>
      <c r="L47" s="183">
        <v>3960.0</v>
      </c>
      <c r="M47" s="176" t="s">
        <v>78</v>
      </c>
      <c r="N47" s="176" t="s">
        <v>80</v>
      </c>
      <c r="O47" s="176" t="s">
        <v>80</v>
      </c>
      <c r="P47" s="176" t="s">
        <v>80</v>
      </c>
      <c r="Q47" s="176" t="s">
        <v>80</v>
      </c>
      <c r="R47" s="176" t="s">
        <v>80</v>
      </c>
      <c r="S47" s="176" t="s">
        <v>80</v>
      </c>
      <c r="T47" s="176" t="s">
        <v>80</v>
      </c>
      <c r="U47" s="176" t="s">
        <v>80</v>
      </c>
      <c r="V47" s="176" t="s">
        <v>80</v>
      </c>
      <c r="W47" s="176" t="s">
        <v>80</v>
      </c>
      <c r="X47" s="176" t="s">
        <v>81</v>
      </c>
      <c r="Y47" s="176" t="s">
        <v>81</v>
      </c>
      <c r="Z47" s="176" t="s">
        <v>80</v>
      </c>
      <c r="AA47" s="176" t="s">
        <v>79</v>
      </c>
      <c r="AB47" s="176" t="s">
        <v>80</v>
      </c>
      <c r="AC47" s="176" t="s">
        <v>80</v>
      </c>
      <c r="AD47" s="176" t="s">
        <v>80</v>
      </c>
      <c r="AE47" s="176" t="s">
        <v>80</v>
      </c>
      <c r="AF47" s="176" t="s">
        <v>82</v>
      </c>
      <c r="AG47" s="184" t="s">
        <v>346</v>
      </c>
      <c r="AH47" s="191">
        <v>46190.0</v>
      </c>
      <c r="AI47" s="176" t="s">
        <v>84</v>
      </c>
      <c r="AJ47" s="186"/>
      <c r="AK47" s="186"/>
      <c r="AL47" s="187"/>
      <c r="AM47" s="187"/>
      <c r="AN47" s="187"/>
      <c r="AO47" s="187"/>
      <c r="AP47" s="187"/>
      <c r="AQ47" s="187"/>
      <c r="AR47" s="187"/>
    </row>
    <row r="48" ht="37.5" customHeight="1">
      <c r="A48" s="172" t="s">
        <v>347</v>
      </c>
      <c r="B48" s="173" t="s">
        <v>275</v>
      </c>
      <c r="C48" s="242" t="s">
        <v>348</v>
      </c>
      <c r="D48" s="251">
        <v>46.0</v>
      </c>
      <c r="E48" s="176"/>
      <c r="F48" s="177"/>
      <c r="G48" s="178"/>
      <c r="H48" s="266" t="s">
        <v>349</v>
      </c>
      <c r="I48" s="196" t="s">
        <v>350</v>
      </c>
      <c r="J48" s="241">
        <v>3.0E8</v>
      </c>
      <c r="K48" s="192"/>
      <c r="L48" s="195"/>
      <c r="M48" s="176" t="s">
        <v>122</v>
      </c>
      <c r="N48" s="176" t="s">
        <v>122</v>
      </c>
      <c r="O48" s="176" t="s">
        <v>122</v>
      </c>
      <c r="P48" s="176" t="s">
        <v>122</v>
      </c>
      <c r="Q48" s="176" t="s">
        <v>81</v>
      </c>
      <c r="R48" s="176" t="s">
        <v>81</v>
      </c>
      <c r="S48" s="176" t="s">
        <v>81</v>
      </c>
      <c r="T48" s="176" t="s">
        <v>81</v>
      </c>
      <c r="U48" s="176" t="s">
        <v>81</v>
      </c>
      <c r="V48" s="176" t="s">
        <v>81</v>
      </c>
      <c r="W48" s="176" t="s">
        <v>81</v>
      </c>
      <c r="X48" s="176" t="s">
        <v>81</v>
      </c>
      <c r="Y48" s="176" t="s">
        <v>81</v>
      </c>
      <c r="Z48" s="176" t="s">
        <v>81</v>
      </c>
      <c r="AA48" s="176" t="s">
        <v>122</v>
      </c>
      <c r="AB48" s="176" t="s">
        <v>122</v>
      </c>
      <c r="AC48" s="176" t="s">
        <v>122</v>
      </c>
      <c r="AD48" s="176" t="s">
        <v>122</v>
      </c>
      <c r="AE48" s="176" t="s">
        <v>122</v>
      </c>
      <c r="AF48" s="176" t="s">
        <v>180</v>
      </c>
      <c r="AG48" s="184" t="s">
        <v>351</v>
      </c>
      <c r="AH48" s="185"/>
      <c r="AI48" s="176"/>
      <c r="AJ48" s="186"/>
      <c r="AK48" s="186"/>
      <c r="AL48" s="187"/>
      <c r="AM48" s="187"/>
      <c r="AN48" s="187"/>
      <c r="AO48" s="187"/>
      <c r="AP48" s="187"/>
      <c r="AQ48" s="187"/>
      <c r="AR48" s="187"/>
    </row>
    <row r="49" ht="37.5" customHeight="1">
      <c r="A49" s="172" t="s">
        <v>352</v>
      </c>
      <c r="B49" s="173" t="s">
        <v>275</v>
      </c>
      <c r="C49" s="242" t="s">
        <v>353</v>
      </c>
      <c r="D49" s="251">
        <v>47.0</v>
      </c>
      <c r="E49" s="176" t="s">
        <v>96</v>
      </c>
      <c r="F49" s="252" t="s">
        <v>354</v>
      </c>
      <c r="G49" s="267">
        <v>3.533405587E9</v>
      </c>
      <c r="H49" s="196" t="s">
        <v>355</v>
      </c>
      <c r="I49" s="209"/>
      <c r="J49" s="241">
        <v>2.0E8</v>
      </c>
      <c r="K49" s="182">
        <v>0.0</v>
      </c>
      <c r="L49" s="183">
        <v>3500.0</v>
      </c>
      <c r="M49" s="176" t="s">
        <v>122</v>
      </c>
      <c r="N49" s="176" t="s">
        <v>122</v>
      </c>
      <c r="O49" s="176" t="s">
        <v>122</v>
      </c>
      <c r="P49" s="176" t="s">
        <v>78</v>
      </c>
      <c r="Q49" s="176" t="s">
        <v>78</v>
      </c>
      <c r="R49" s="176" t="s">
        <v>78</v>
      </c>
      <c r="S49" s="176" t="s">
        <v>78</v>
      </c>
      <c r="T49" s="176" t="s">
        <v>78</v>
      </c>
      <c r="U49" s="176" t="s">
        <v>78</v>
      </c>
      <c r="V49" s="176" t="s">
        <v>81</v>
      </c>
      <c r="W49" s="176" t="s">
        <v>81</v>
      </c>
      <c r="X49" s="176" t="s">
        <v>81</v>
      </c>
      <c r="Y49" s="176" t="s">
        <v>81</v>
      </c>
      <c r="Z49" s="176" t="s">
        <v>81</v>
      </c>
      <c r="AA49" s="176" t="s">
        <v>122</v>
      </c>
      <c r="AB49" s="176" t="s">
        <v>122</v>
      </c>
      <c r="AC49" s="176" t="s">
        <v>122</v>
      </c>
      <c r="AD49" s="176" t="s">
        <v>122</v>
      </c>
      <c r="AE49" s="176" t="s">
        <v>122</v>
      </c>
      <c r="AF49" s="176" t="s">
        <v>82</v>
      </c>
      <c r="AG49" s="184" t="s">
        <v>356</v>
      </c>
      <c r="AH49" s="185"/>
      <c r="AI49" s="176"/>
      <c r="AJ49" s="186"/>
      <c r="AK49" s="186"/>
      <c r="AL49" s="187"/>
      <c r="AM49" s="187"/>
      <c r="AN49" s="187"/>
      <c r="AO49" s="187"/>
      <c r="AP49" s="187"/>
      <c r="AQ49" s="187"/>
      <c r="AR49" s="187"/>
    </row>
    <row r="50" ht="37.5" customHeight="1">
      <c r="A50" s="172" t="s">
        <v>357</v>
      </c>
      <c r="B50" s="173" t="s">
        <v>275</v>
      </c>
      <c r="C50" s="242" t="s">
        <v>358</v>
      </c>
      <c r="D50" s="251">
        <v>48.0</v>
      </c>
      <c r="E50" s="176"/>
      <c r="F50" s="252" t="s">
        <v>359</v>
      </c>
      <c r="G50" s="268">
        <v>3.533442747E9</v>
      </c>
      <c r="H50" s="180" t="s">
        <v>360</v>
      </c>
      <c r="I50" s="196" t="s">
        <v>361</v>
      </c>
      <c r="J50" s="241">
        <v>2.0E8</v>
      </c>
      <c r="K50" s="192"/>
      <c r="L50" s="195"/>
      <c r="M50" s="176" t="s">
        <v>122</v>
      </c>
      <c r="N50" s="176" t="s">
        <v>122</v>
      </c>
      <c r="O50" s="176" t="s">
        <v>122</v>
      </c>
      <c r="P50" s="176" t="s">
        <v>122</v>
      </c>
      <c r="Q50" s="176" t="s">
        <v>81</v>
      </c>
      <c r="R50" s="176" t="s">
        <v>81</v>
      </c>
      <c r="S50" s="176" t="s">
        <v>81</v>
      </c>
      <c r="T50" s="176" t="s">
        <v>81</v>
      </c>
      <c r="U50" s="176" t="s">
        <v>81</v>
      </c>
      <c r="V50" s="176" t="s">
        <v>81</v>
      </c>
      <c r="W50" s="176" t="s">
        <v>81</v>
      </c>
      <c r="X50" s="176" t="s">
        <v>81</v>
      </c>
      <c r="Y50" s="176" t="s">
        <v>81</v>
      </c>
      <c r="Z50" s="176" t="s">
        <v>81</v>
      </c>
      <c r="AA50" s="176" t="s">
        <v>122</v>
      </c>
      <c r="AB50" s="176" t="s">
        <v>122</v>
      </c>
      <c r="AC50" s="176" t="s">
        <v>122</v>
      </c>
      <c r="AD50" s="176" t="s">
        <v>122</v>
      </c>
      <c r="AE50" s="176" t="s">
        <v>122</v>
      </c>
      <c r="AF50" s="176" t="s">
        <v>180</v>
      </c>
      <c r="AG50" s="184" t="s">
        <v>362</v>
      </c>
      <c r="AH50" s="185"/>
      <c r="AI50" s="176"/>
      <c r="AJ50" s="186"/>
      <c r="AK50" s="186"/>
      <c r="AL50" s="187"/>
      <c r="AM50" s="187"/>
      <c r="AN50" s="187"/>
      <c r="AO50" s="187"/>
      <c r="AP50" s="187"/>
      <c r="AQ50" s="187"/>
      <c r="AR50" s="187"/>
    </row>
    <row r="51" ht="37.5" customHeight="1">
      <c r="A51" s="172" t="s">
        <v>363</v>
      </c>
      <c r="B51" s="173" t="s">
        <v>288</v>
      </c>
      <c r="C51" s="242" t="s">
        <v>364</v>
      </c>
      <c r="D51" s="251">
        <v>49.0</v>
      </c>
      <c r="E51" s="176" t="s">
        <v>73</v>
      </c>
      <c r="F51" s="253" t="s">
        <v>365</v>
      </c>
      <c r="G51" s="269" t="s">
        <v>366</v>
      </c>
      <c r="H51" s="180" t="s">
        <v>367</v>
      </c>
      <c r="I51" s="189"/>
      <c r="J51" s="241">
        <v>5.0E7</v>
      </c>
      <c r="K51" s="192"/>
      <c r="L51" s="195"/>
      <c r="M51" s="176" t="s">
        <v>122</v>
      </c>
      <c r="N51" s="176" t="s">
        <v>122</v>
      </c>
      <c r="O51" s="176" t="s">
        <v>122</v>
      </c>
      <c r="P51" s="176" t="s">
        <v>122</v>
      </c>
      <c r="Q51" s="176" t="s">
        <v>78</v>
      </c>
      <c r="R51" s="176" t="s">
        <v>81</v>
      </c>
      <c r="S51" s="176" t="s">
        <v>81</v>
      </c>
      <c r="T51" s="176" t="s">
        <v>81</v>
      </c>
      <c r="U51" s="176" t="s">
        <v>81</v>
      </c>
      <c r="V51" s="176" t="s">
        <v>78</v>
      </c>
      <c r="W51" s="176" t="s">
        <v>81</v>
      </c>
      <c r="X51" s="176" t="s">
        <v>81</v>
      </c>
      <c r="Y51" s="176" t="s">
        <v>81</v>
      </c>
      <c r="Z51" s="176" t="s">
        <v>81</v>
      </c>
      <c r="AA51" s="176" t="s">
        <v>122</v>
      </c>
      <c r="AB51" s="176" t="s">
        <v>122</v>
      </c>
      <c r="AC51" s="176" t="s">
        <v>122</v>
      </c>
      <c r="AD51" s="176" t="s">
        <v>122</v>
      </c>
      <c r="AE51" s="176" t="s">
        <v>122</v>
      </c>
      <c r="AF51" s="176" t="s">
        <v>82</v>
      </c>
      <c r="AG51" s="184" t="s">
        <v>368</v>
      </c>
      <c r="AH51" s="185"/>
      <c r="AI51" s="176"/>
      <c r="AJ51" s="186"/>
      <c r="AK51" s="186"/>
      <c r="AL51" s="187"/>
      <c r="AM51" s="187"/>
      <c r="AN51" s="187"/>
      <c r="AO51" s="187"/>
      <c r="AP51" s="187"/>
      <c r="AQ51" s="187"/>
      <c r="AR51" s="187"/>
    </row>
    <row r="52" ht="37.5" customHeight="1">
      <c r="A52" s="172" t="s">
        <v>369</v>
      </c>
      <c r="B52" s="173"/>
      <c r="C52" s="242"/>
      <c r="D52" s="193"/>
      <c r="E52" s="176"/>
      <c r="F52" s="177"/>
      <c r="G52" s="178"/>
      <c r="H52" s="238" t="s">
        <v>370</v>
      </c>
      <c r="I52" s="189"/>
      <c r="J52" s="181"/>
      <c r="K52" s="192"/>
      <c r="L52" s="195"/>
      <c r="M52" s="176"/>
      <c r="N52" s="176"/>
      <c r="O52" s="176"/>
      <c r="P52" s="176"/>
      <c r="Q52" s="176" t="s">
        <v>81</v>
      </c>
      <c r="R52" s="176" t="s">
        <v>81</v>
      </c>
      <c r="S52" s="176" t="s">
        <v>81</v>
      </c>
      <c r="T52" s="176" t="s">
        <v>81</v>
      </c>
      <c r="U52" s="176" t="s">
        <v>81</v>
      </c>
      <c r="V52" s="176" t="s">
        <v>81</v>
      </c>
      <c r="W52" s="176" t="s">
        <v>81</v>
      </c>
      <c r="X52" s="176" t="s">
        <v>81</v>
      </c>
      <c r="Y52" s="176" t="s">
        <v>81</v>
      </c>
      <c r="Z52" s="176" t="s">
        <v>81</v>
      </c>
      <c r="AA52" s="176"/>
      <c r="AB52" s="176"/>
      <c r="AC52" s="176"/>
      <c r="AD52" s="176"/>
      <c r="AE52" s="176"/>
      <c r="AF52" s="176"/>
      <c r="AG52" s="184" t="s">
        <v>371</v>
      </c>
      <c r="AH52" s="185"/>
      <c r="AI52" s="176"/>
      <c r="AJ52" s="186"/>
      <c r="AK52" s="186"/>
      <c r="AL52" s="187"/>
      <c r="AM52" s="187"/>
      <c r="AN52" s="187"/>
      <c r="AO52" s="187"/>
      <c r="AP52" s="187"/>
      <c r="AQ52" s="187"/>
      <c r="AR52" s="187"/>
    </row>
    <row r="53" ht="37.5" customHeight="1">
      <c r="A53" s="172" t="s">
        <v>372</v>
      </c>
      <c r="B53" s="173"/>
      <c r="C53" s="242"/>
      <c r="D53" s="193"/>
      <c r="E53" s="176"/>
      <c r="F53" s="177"/>
      <c r="G53" s="178"/>
      <c r="H53" s="189"/>
      <c r="I53" s="189"/>
      <c r="J53" s="181"/>
      <c r="K53" s="192"/>
      <c r="L53" s="195"/>
      <c r="M53" s="176"/>
      <c r="N53" s="176"/>
      <c r="O53" s="176"/>
      <c r="P53" s="176"/>
      <c r="Q53" s="176" t="s">
        <v>81</v>
      </c>
      <c r="R53" s="176" t="s">
        <v>81</v>
      </c>
      <c r="S53" s="176" t="s">
        <v>81</v>
      </c>
      <c r="T53" s="176" t="s">
        <v>81</v>
      </c>
      <c r="U53" s="176" t="s">
        <v>81</v>
      </c>
      <c r="V53" s="176" t="s">
        <v>81</v>
      </c>
      <c r="W53" s="176" t="s">
        <v>81</v>
      </c>
      <c r="X53" s="176" t="s">
        <v>81</v>
      </c>
      <c r="Y53" s="176" t="s">
        <v>81</v>
      </c>
      <c r="Z53" s="176" t="s">
        <v>81</v>
      </c>
      <c r="AA53" s="176"/>
      <c r="AB53" s="176"/>
      <c r="AC53" s="176"/>
      <c r="AD53" s="176"/>
      <c r="AE53" s="176"/>
      <c r="AF53" s="176"/>
      <c r="AG53" s="184" t="s">
        <v>373</v>
      </c>
      <c r="AH53" s="185"/>
      <c r="AI53" s="176"/>
      <c r="AJ53" s="186"/>
      <c r="AK53" s="186"/>
      <c r="AL53" s="187"/>
      <c r="AM53" s="187"/>
      <c r="AN53" s="187"/>
      <c r="AO53" s="187"/>
      <c r="AP53" s="187"/>
      <c r="AQ53" s="187"/>
      <c r="AR53" s="187"/>
    </row>
    <row r="54" ht="37.5" customHeight="1">
      <c r="A54" s="172"/>
      <c r="B54" s="173"/>
      <c r="C54" s="242"/>
      <c r="D54" s="193"/>
      <c r="E54" s="176"/>
      <c r="F54" s="177"/>
      <c r="G54" s="178"/>
      <c r="H54" s="189"/>
      <c r="I54" s="189"/>
      <c r="J54" s="181"/>
      <c r="K54" s="192"/>
      <c r="L54" s="195"/>
      <c r="M54" s="176"/>
      <c r="N54" s="176"/>
      <c r="O54" s="176"/>
      <c r="P54" s="176"/>
      <c r="Q54" s="176" t="s">
        <v>81</v>
      </c>
      <c r="R54" s="176" t="s">
        <v>81</v>
      </c>
      <c r="S54" s="176" t="s">
        <v>81</v>
      </c>
      <c r="T54" s="176" t="s">
        <v>81</v>
      </c>
      <c r="U54" s="176" t="s">
        <v>81</v>
      </c>
      <c r="V54" s="176" t="s">
        <v>81</v>
      </c>
      <c r="W54" s="176" t="s">
        <v>81</v>
      </c>
      <c r="X54" s="176" t="s">
        <v>81</v>
      </c>
      <c r="Y54" s="176" t="s">
        <v>81</v>
      </c>
      <c r="Z54" s="176" t="s">
        <v>81</v>
      </c>
      <c r="AA54" s="176"/>
      <c r="AB54" s="176"/>
      <c r="AC54" s="176"/>
      <c r="AD54" s="176"/>
      <c r="AE54" s="176"/>
      <c r="AF54" s="176"/>
      <c r="AG54" s="237"/>
      <c r="AH54" s="185"/>
      <c r="AI54" s="176"/>
      <c r="AJ54" s="186"/>
      <c r="AK54" s="186"/>
      <c r="AL54" s="187"/>
      <c r="AM54" s="187"/>
      <c r="AN54" s="187"/>
      <c r="AO54" s="187"/>
      <c r="AP54" s="187"/>
      <c r="AQ54" s="187"/>
      <c r="AR54" s="187"/>
    </row>
    <row r="55" ht="37.5" customHeight="1">
      <c r="A55" s="172"/>
      <c r="B55" s="173"/>
      <c r="C55" s="242"/>
      <c r="D55" s="193"/>
      <c r="E55" s="176"/>
      <c r="F55" s="177"/>
      <c r="G55" s="178"/>
      <c r="H55" s="189"/>
      <c r="I55" s="189"/>
      <c r="J55" s="181"/>
      <c r="K55" s="192"/>
      <c r="L55" s="195"/>
      <c r="M55" s="176"/>
      <c r="N55" s="176"/>
      <c r="O55" s="176"/>
      <c r="P55" s="176"/>
      <c r="Q55" s="176" t="s">
        <v>81</v>
      </c>
      <c r="R55" s="176" t="s">
        <v>81</v>
      </c>
      <c r="S55" s="176" t="s">
        <v>81</v>
      </c>
      <c r="T55" s="176" t="s">
        <v>81</v>
      </c>
      <c r="U55" s="176" t="s">
        <v>81</v>
      </c>
      <c r="V55" s="176" t="s">
        <v>81</v>
      </c>
      <c r="W55" s="176" t="s">
        <v>81</v>
      </c>
      <c r="X55" s="176" t="s">
        <v>81</v>
      </c>
      <c r="Y55" s="176" t="s">
        <v>81</v>
      </c>
      <c r="Z55" s="176" t="s">
        <v>81</v>
      </c>
      <c r="AA55" s="176"/>
      <c r="AB55" s="176"/>
      <c r="AC55" s="176"/>
      <c r="AD55" s="176"/>
      <c r="AE55" s="176"/>
      <c r="AF55" s="176"/>
      <c r="AG55" s="237"/>
      <c r="AH55" s="185"/>
      <c r="AI55" s="176"/>
      <c r="AJ55" s="186"/>
      <c r="AK55" s="186"/>
      <c r="AL55" s="187"/>
      <c r="AM55" s="187"/>
      <c r="AN55" s="187"/>
      <c r="AO55" s="187"/>
      <c r="AP55" s="187"/>
      <c r="AQ55" s="187"/>
      <c r="AR55" s="187"/>
    </row>
    <row r="56" ht="37.5" customHeight="1">
      <c r="A56" s="172"/>
      <c r="B56" s="173"/>
      <c r="C56" s="242"/>
      <c r="D56" s="193"/>
      <c r="E56" s="176"/>
      <c r="F56" s="177"/>
      <c r="G56" s="178"/>
      <c r="H56" s="189"/>
      <c r="I56" s="189"/>
      <c r="J56" s="181"/>
      <c r="K56" s="192"/>
      <c r="L56" s="195"/>
      <c r="M56" s="176"/>
      <c r="N56" s="176"/>
      <c r="O56" s="176"/>
      <c r="P56" s="176"/>
      <c r="Q56" s="176" t="s">
        <v>81</v>
      </c>
      <c r="R56" s="176" t="s">
        <v>81</v>
      </c>
      <c r="S56" s="176" t="s">
        <v>81</v>
      </c>
      <c r="T56" s="176" t="s">
        <v>81</v>
      </c>
      <c r="U56" s="176" t="s">
        <v>81</v>
      </c>
      <c r="V56" s="176" t="s">
        <v>81</v>
      </c>
      <c r="W56" s="176" t="s">
        <v>81</v>
      </c>
      <c r="X56" s="176" t="s">
        <v>81</v>
      </c>
      <c r="Y56" s="176" t="s">
        <v>81</v>
      </c>
      <c r="Z56" s="176" t="s">
        <v>81</v>
      </c>
      <c r="AA56" s="176"/>
      <c r="AB56" s="176"/>
      <c r="AC56" s="176"/>
      <c r="AD56" s="176"/>
      <c r="AE56" s="176"/>
      <c r="AF56" s="176"/>
      <c r="AG56" s="237"/>
      <c r="AH56" s="185"/>
      <c r="AI56" s="176"/>
      <c r="AJ56" s="186"/>
      <c r="AK56" s="186"/>
      <c r="AL56" s="187"/>
      <c r="AM56" s="187"/>
      <c r="AN56" s="187"/>
      <c r="AO56" s="187"/>
      <c r="AP56" s="187"/>
      <c r="AQ56" s="187"/>
      <c r="AR56" s="187"/>
    </row>
    <row r="57" ht="37.5" customHeight="1">
      <c r="A57" s="172"/>
      <c r="B57" s="173"/>
      <c r="C57" s="242"/>
      <c r="D57" s="193"/>
      <c r="E57" s="176"/>
      <c r="F57" s="177"/>
      <c r="G57" s="178"/>
      <c r="H57" s="189"/>
      <c r="I57" s="189"/>
      <c r="J57" s="181"/>
      <c r="K57" s="192"/>
      <c r="L57" s="195"/>
      <c r="M57" s="176"/>
      <c r="N57" s="176"/>
      <c r="O57" s="176"/>
      <c r="P57" s="176"/>
      <c r="Q57" s="176" t="s">
        <v>81</v>
      </c>
      <c r="R57" s="176" t="s">
        <v>81</v>
      </c>
      <c r="S57" s="176" t="s">
        <v>81</v>
      </c>
      <c r="T57" s="176" t="s">
        <v>81</v>
      </c>
      <c r="U57" s="176" t="s">
        <v>81</v>
      </c>
      <c r="V57" s="176" t="s">
        <v>81</v>
      </c>
      <c r="W57" s="176" t="s">
        <v>81</v>
      </c>
      <c r="X57" s="176" t="s">
        <v>81</v>
      </c>
      <c r="Y57" s="176" t="s">
        <v>81</v>
      </c>
      <c r="Z57" s="176" t="s">
        <v>81</v>
      </c>
      <c r="AA57" s="176"/>
      <c r="AB57" s="176"/>
      <c r="AC57" s="176"/>
      <c r="AD57" s="176"/>
      <c r="AE57" s="176"/>
      <c r="AF57" s="176"/>
      <c r="AG57" s="237"/>
      <c r="AH57" s="185"/>
      <c r="AI57" s="176"/>
      <c r="AJ57" s="186"/>
      <c r="AK57" s="186"/>
      <c r="AL57" s="187"/>
      <c r="AM57" s="187"/>
      <c r="AN57" s="187"/>
      <c r="AO57" s="187"/>
      <c r="AP57" s="187"/>
      <c r="AQ57" s="187"/>
      <c r="AR57" s="187"/>
    </row>
    <row r="58" ht="37.5" customHeight="1">
      <c r="A58" s="270" t="s">
        <v>374</v>
      </c>
      <c r="B58" s="271"/>
      <c r="C58" s="271"/>
      <c r="D58" s="272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3"/>
      <c r="AJ58" s="274"/>
      <c r="AK58" s="275"/>
      <c r="AL58" s="275"/>
      <c r="AM58" s="275"/>
      <c r="AN58" s="275"/>
      <c r="AO58" s="275"/>
      <c r="AP58" s="275"/>
      <c r="AQ58" s="275"/>
      <c r="AR58" s="275"/>
    </row>
    <row r="59" ht="15.75" customHeight="1">
      <c r="A59" s="276"/>
      <c r="B59" s="276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</row>
    <row r="60" ht="15.75" customHeight="1">
      <c r="A60" s="276"/>
      <c r="B60" s="276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</row>
    <row r="61" ht="15.75" customHeight="1">
      <c r="A61" s="276"/>
      <c r="B61" s="276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</row>
    <row r="62" ht="15.75" customHeight="1">
      <c r="A62" s="276"/>
      <c r="B62" s="276"/>
      <c r="C62" s="162"/>
      <c r="D62" s="162"/>
      <c r="E62" s="162"/>
      <c r="F62" s="162"/>
      <c r="G62" s="277" t="s">
        <v>375</v>
      </c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</row>
    <row r="63" ht="15.75" customHeight="1">
      <c r="A63" s="276"/>
      <c r="B63" s="276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</row>
    <row r="64" ht="15.75" customHeight="1">
      <c r="A64" s="276"/>
      <c r="B64" s="276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</row>
    <row r="65" ht="15.75" customHeight="1">
      <c r="A65" s="276"/>
      <c r="B65" s="276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</row>
    <row r="66" ht="15.75" customHeight="1">
      <c r="A66" s="276"/>
      <c r="B66" s="276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</row>
    <row r="67" ht="15.75" customHeight="1">
      <c r="A67" s="276"/>
      <c r="B67" s="276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</row>
    <row r="68" ht="15.75" customHeight="1">
      <c r="A68" s="276"/>
      <c r="B68" s="276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</row>
    <row r="69" ht="15.75" customHeight="1">
      <c r="A69" s="276"/>
      <c r="B69" s="276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</row>
    <row r="70" ht="15.75" customHeight="1">
      <c r="A70" s="276"/>
      <c r="B70" s="276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</row>
    <row r="71" ht="15.75" customHeight="1">
      <c r="A71" s="276"/>
      <c r="B71" s="276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</row>
    <row r="72" ht="15.75" customHeight="1">
      <c r="A72" s="276"/>
      <c r="B72" s="276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</row>
    <row r="73" ht="15.75" customHeight="1">
      <c r="A73" s="276"/>
      <c r="B73" s="276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</row>
    <row r="74" ht="15.75" customHeight="1">
      <c r="A74" s="276"/>
      <c r="B74" s="276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</row>
    <row r="75" ht="15.75" customHeight="1">
      <c r="A75" s="276"/>
      <c r="B75" s="276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</row>
    <row r="76" ht="15.75" customHeight="1">
      <c r="A76" s="276"/>
      <c r="B76" s="276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</row>
    <row r="77" ht="15.75" customHeight="1">
      <c r="A77" s="276"/>
      <c r="B77" s="276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</row>
    <row r="78" ht="15.75" customHeight="1">
      <c r="A78" s="276"/>
      <c r="B78" s="276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</row>
    <row r="79" ht="15.75" customHeight="1">
      <c r="A79" s="276"/>
      <c r="B79" s="276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</row>
    <row r="80" ht="15.75" customHeight="1">
      <c r="A80" s="276"/>
      <c r="B80" s="276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</row>
    <row r="81" ht="15.75" customHeight="1">
      <c r="A81" s="276"/>
      <c r="B81" s="276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</row>
    <row r="82" ht="15.75" customHeight="1">
      <c r="A82" s="276"/>
      <c r="B82" s="276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</row>
    <row r="83" ht="15.75" customHeight="1">
      <c r="A83" s="276"/>
      <c r="B83" s="276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</row>
    <row r="84" ht="15.75" customHeight="1">
      <c r="A84" s="276"/>
      <c r="B84" s="276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</row>
    <row r="85" ht="15.75" customHeight="1">
      <c r="A85" s="276"/>
      <c r="B85" s="276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</row>
    <row r="86" ht="15.75" customHeight="1">
      <c r="A86" s="276"/>
      <c r="B86" s="276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</row>
    <row r="87" ht="15.75" customHeight="1">
      <c r="A87" s="276"/>
      <c r="B87" s="276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</row>
    <row r="88" ht="15.75" customHeight="1">
      <c r="A88" s="276"/>
      <c r="B88" s="276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</row>
    <row r="89" ht="15.75" customHeight="1">
      <c r="A89" s="276"/>
      <c r="B89" s="276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</row>
    <row r="90" ht="15.75" customHeight="1">
      <c r="A90" s="276"/>
      <c r="B90" s="276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</row>
    <row r="91" ht="15.75" customHeight="1">
      <c r="A91" s="276"/>
      <c r="B91" s="276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</row>
    <row r="92" ht="15.75" customHeight="1">
      <c r="A92" s="276"/>
      <c r="B92" s="276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</row>
    <row r="93" ht="15.75" customHeight="1">
      <c r="A93" s="276"/>
      <c r="B93" s="276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</row>
    <row r="94" ht="15.75" customHeight="1">
      <c r="A94" s="276"/>
      <c r="B94" s="276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2"/>
      <c r="AQ94" s="162"/>
      <c r="AR94" s="162"/>
    </row>
    <row r="95" ht="15.75" customHeight="1">
      <c r="A95" s="276"/>
      <c r="B95" s="276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</row>
    <row r="96" ht="15.75" customHeight="1">
      <c r="A96" s="276"/>
      <c r="B96" s="276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</row>
    <row r="97" ht="15.75" customHeight="1">
      <c r="A97" s="276"/>
      <c r="B97" s="276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</row>
    <row r="98" ht="15.75" customHeight="1">
      <c r="A98" s="276"/>
      <c r="B98" s="276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</row>
    <row r="99" ht="15.75" customHeight="1">
      <c r="A99" s="276"/>
      <c r="B99" s="276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</row>
    <row r="100" ht="15.75" customHeight="1">
      <c r="A100" s="276"/>
      <c r="B100" s="276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</row>
    <row r="101" ht="15.75" customHeight="1">
      <c r="A101" s="276"/>
      <c r="B101" s="276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</row>
    <row r="102" ht="15.75" customHeight="1">
      <c r="A102" s="276"/>
      <c r="B102" s="276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</row>
    <row r="103" ht="15.75" customHeight="1">
      <c r="A103" s="276"/>
      <c r="B103" s="276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  <c r="AM103" s="162"/>
      <c r="AN103" s="162"/>
      <c r="AO103" s="162"/>
      <c r="AP103" s="162"/>
      <c r="AQ103" s="162"/>
      <c r="AR103" s="162"/>
    </row>
    <row r="104" ht="15.75" customHeight="1">
      <c r="A104" s="276"/>
      <c r="B104" s="276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  <c r="AM104" s="162"/>
      <c r="AN104" s="162"/>
      <c r="AO104" s="162"/>
      <c r="AP104" s="162"/>
      <c r="AQ104" s="162"/>
      <c r="AR104" s="162"/>
    </row>
    <row r="105" ht="15.75" customHeight="1">
      <c r="A105" s="276"/>
      <c r="B105" s="276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  <c r="AM105" s="162"/>
      <c r="AN105" s="162"/>
      <c r="AO105" s="162"/>
      <c r="AP105" s="162"/>
      <c r="AQ105" s="162"/>
      <c r="AR105" s="162"/>
    </row>
    <row r="106" ht="15.75" customHeight="1">
      <c r="A106" s="276"/>
      <c r="B106" s="276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</row>
    <row r="107" ht="15.75" customHeight="1">
      <c r="A107" s="276"/>
      <c r="B107" s="276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</row>
    <row r="108" ht="15.75" customHeight="1">
      <c r="A108" s="276"/>
      <c r="B108" s="276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</row>
    <row r="109" ht="15.75" customHeight="1">
      <c r="A109" s="276"/>
      <c r="B109" s="276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</row>
    <row r="110" ht="15.75" customHeight="1">
      <c r="A110" s="276"/>
      <c r="B110" s="276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</row>
    <row r="111" ht="15.75" customHeight="1">
      <c r="A111" s="276"/>
      <c r="B111" s="276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</row>
    <row r="112" ht="15.75" customHeight="1">
      <c r="A112" s="276"/>
      <c r="B112" s="276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</row>
    <row r="113" ht="15.75" customHeight="1">
      <c r="A113" s="276"/>
      <c r="B113" s="276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  <c r="AM113" s="162"/>
      <c r="AN113" s="162"/>
      <c r="AO113" s="162"/>
      <c r="AP113" s="162"/>
      <c r="AQ113" s="162"/>
      <c r="AR113" s="162"/>
    </row>
    <row r="114" ht="15.75" customHeight="1">
      <c r="A114" s="276"/>
      <c r="B114" s="276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  <c r="AM114" s="162"/>
      <c r="AN114" s="162"/>
      <c r="AO114" s="162"/>
      <c r="AP114" s="162"/>
      <c r="AQ114" s="162"/>
      <c r="AR114" s="162"/>
    </row>
    <row r="115" ht="15.75" customHeight="1">
      <c r="A115" s="276"/>
      <c r="B115" s="276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2"/>
    </row>
    <row r="116" ht="15.75" customHeight="1">
      <c r="A116" s="276"/>
      <c r="B116" s="276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  <c r="AM116" s="162"/>
      <c r="AN116" s="162"/>
      <c r="AO116" s="162"/>
      <c r="AP116" s="162"/>
      <c r="AQ116" s="162"/>
      <c r="AR116" s="162"/>
    </row>
    <row r="117" ht="15.75" customHeight="1">
      <c r="A117" s="276"/>
      <c r="B117" s="276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  <c r="AM117" s="162"/>
      <c r="AN117" s="162"/>
      <c r="AO117" s="162"/>
      <c r="AP117" s="162"/>
      <c r="AQ117" s="162"/>
      <c r="AR117" s="162"/>
    </row>
    <row r="118" ht="15.75" customHeight="1">
      <c r="A118" s="276"/>
      <c r="B118" s="276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  <c r="AM118" s="162"/>
      <c r="AN118" s="162"/>
      <c r="AO118" s="162"/>
      <c r="AP118" s="162"/>
      <c r="AQ118" s="162"/>
      <c r="AR118" s="162"/>
    </row>
    <row r="119" ht="15.75" customHeight="1">
      <c r="A119" s="276"/>
      <c r="B119" s="276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  <c r="AM119" s="162"/>
      <c r="AN119" s="162"/>
      <c r="AO119" s="162"/>
      <c r="AP119" s="162"/>
      <c r="AQ119" s="162"/>
      <c r="AR119" s="162"/>
    </row>
    <row r="120" ht="15.75" customHeight="1">
      <c r="A120" s="276"/>
      <c r="B120" s="276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</row>
    <row r="121" ht="15.75" customHeight="1">
      <c r="A121" s="276"/>
      <c r="B121" s="276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</row>
    <row r="122" ht="15.75" customHeight="1">
      <c r="A122" s="276"/>
      <c r="B122" s="276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</row>
    <row r="123" ht="15.75" customHeight="1">
      <c r="A123" s="276"/>
      <c r="B123" s="276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</row>
    <row r="124" ht="15.75" customHeight="1">
      <c r="A124" s="276"/>
      <c r="B124" s="276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</row>
    <row r="125" ht="15.75" customHeight="1">
      <c r="A125" s="276"/>
      <c r="B125" s="276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  <c r="AP125" s="162"/>
      <c r="AQ125" s="162"/>
      <c r="AR125" s="162"/>
    </row>
    <row r="126" ht="15.75" customHeight="1">
      <c r="A126" s="276"/>
      <c r="B126" s="276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</row>
    <row r="127" ht="15.75" customHeight="1">
      <c r="A127" s="276"/>
      <c r="B127" s="276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</row>
    <row r="128" ht="15.75" customHeight="1">
      <c r="A128" s="276"/>
      <c r="B128" s="276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</row>
    <row r="129" ht="15.75" customHeight="1">
      <c r="A129" s="276"/>
      <c r="B129" s="276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  <c r="AP129" s="162"/>
      <c r="AQ129" s="162"/>
      <c r="AR129" s="162"/>
    </row>
    <row r="130" ht="15.75" customHeight="1">
      <c r="A130" s="276"/>
      <c r="B130" s="276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2"/>
      <c r="AQ130" s="162"/>
      <c r="AR130" s="162"/>
    </row>
    <row r="131" ht="15.75" customHeight="1">
      <c r="A131" s="276"/>
      <c r="B131" s="276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</row>
    <row r="132" ht="15.75" customHeight="1">
      <c r="A132" s="276"/>
      <c r="B132" s="276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</row>
    <row r="133" ht="15.75" customHeight="1">
      <c r="A133" s="276"/>
      <c r="B133" s="276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</row>
    <row r="134" ht="15.75" customHeight="1">
      <c r="A134" s="276"/>
      <c r="B134" s="276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</row>
    <row r="135" ht="15.75" customHeight="1">
      <c r="A135" s="276"/>
      <c r="B135" s="276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</row>
    <row r="136" ht="15.75" customHeight="1">
      <c r="A136" s="276"/>
      <c r="B136" s="276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</row>
    <row r="137" ht="15.75" customHeight="1">
      <c r="A137" s="276"/>
      <c r="B137" s="276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</row>
    <row r="138" ht="15.75" customHeight="1">
      <c r="A138" s="276"/>
      <c r="B138" s="276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</row>
    <row r="139" ht="15.75" customHeight="1">
      <c r="A139" s="276"/>
      <c r="B139" s="276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</row>
    <row r="140" ht="15.75" customHeight="1">
      <c r="A140" s="276"/>
      <c r="B140" s="276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</row>
    <row r="141" ht="15.75" customHeight="1">
      <c r="A141" s="276"/>
      <c r="B141" s="276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2"/>
    </row>
    <row r="142" ht="15.75" customHeight="1">
      <c r="A142" s="276"/>
      <c r="B142" s="276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2"/>
      <c r="AQ142" s="162"/>
      <c r="AR142" s="162"/>
    </row>
    <row r="143" ht="15.75" customHeight="1">
      <c r="A143" s="276"/>
      <c r="B143" s="276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  <c r="AP143" s="162"/>
      <c r="AQ143" s="162"/>
      <c r="AR143" s="162"/>
    </row>
    <row r="144" ht="15.75" customHeight="1">
      <c r="A144" s="276"/>
      <c r="B144" s="276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</row>
    <row r="145" ht="15.75" customHeight="1">
      <c r="A145" s="276"/>
      <c r="B145" s="276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62"/>
      <c r="AL145" s="162"/>
      <c r="AM145" s="162"/>
      <c r="AN145" s="162"/>
      <c r="AO145" s="162"/>
      <c r="AP145" s="162"/>
      <c r="AQ145" s="162"/>
      <c r="AR145" s="162"/>
    </row>
    <row r="146" ht="15.75" customHeight="1">
      <c r="A146" s="276"/>
      <c r="B146" s="276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  <c r="AK146" s="162"/>
      <c r="AL146" s="162"/>
      <c r="AM146" s="162"/>
      <c r="AN146" s="162"/>
      <c r="AO146" s="162"/>
      <c r="AP146" s="162"/>
      <c r="AQ146" s="162"/>
      <c r="AR146" s="162"/>
    </row>
    <row r="147" ht="15.75" customHeight="1">
      <c r="A147" s="276"/>
      <c r="B147" s="276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  <c r="AK147" s="162"/>
      <c r="AL147" s="162"/>
      <c r="AM147" s="162"/>
      <c r="AN147" s="162"/>
      <c r="AO147" s="162"/>
      <c r="AP147" s="162"/>
      <c r="AQ147" s="162"/>
      <c r="AR147" s="162"/>
    </row>
    <row r="148" ht="15.75" customHeight="1">
      <c r="A148" s="276"/>
      <c r="B148" s="276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162"/>
      <c r="AQ148" s="162"/>
      <c r="AR148" s="162"/>
    </row>
    <row r="149" ht="15.75" customHeight="1">
      <c r="A149" s="276"/>
      <c r="B149" s="276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2"/>
    </row>
    <row r="150" ht="15.75" customHeight="1">
      <c r="A150" s="276"/>
      <c r="B150" s="276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2"/>
      <c r="AQ150" s="162"/>
      <c r="AR150" s="162"/>
    </row>
    <row r="151" ht="15.75" customHeight="1">
      <c r="A151" s="276"/>
      <c r="B151" s="276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  <c r="AK151" s="162"/>
      <c r="AL151" s="162"/>
      <c r="AM151" s="162"/>
      <c r="AN151" s="162"/>
      <c r="AO151" s="162"/>
      <c r="AP151" s="162"/>
      <c r="AQ151" s="162"/>
      <c r="AR151" s="162"/>
    </row>
    <row r="152" ht="15.75" customHeight="1">
      <c r="A152" s="276"/>
      <c r="B152" s="276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  <c r="AK152" s="162"/>
      <c r="AL152" s="162"/>
      <c r="AM152" s="162"/>
      <c r="AN152" s="162"/>
      <c r="AO152" s="162"/>
      <c r="AP152" s="162"/>
      <c r="AQ152" s="162"/>
      <c r="AR152" s="162"/>
    </row>
    <row r="153" ht="15.75" customHeight="1">
      <c r="A153" s="276"/>
      <c r="B153" s="276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62"/>
      <c r="AL153" s="162"/>
      <c r="AM153" s="162"/>
      <c r="AN153" s="162"/>
      <c r="AO153" s="162"/>
      <c r="AP153" s="162"/>
      <c r="AQ153" s="162"/>
      <c r="AR153" s="162"/>
    </row>
    <row r="154" ht="15.75" customHeight="1">
      <c r="A154" s="276"/>
      <c r="B154" s="276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2"/>
      <c r="AQ154" s="162"/>
      <c r="AR154" s="162"/>
    </row>
    <row r="155" ht="15.75" customHeight="1">
      <c r="A155" s="276"/>
      <c r="B155" s="276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62"/>
      <c r="AL155" s="162"/>
      <c r="AM155" s="162"/>
      <c r="AN155" s="162"/>
      <c r="AO155" s="162"/>
      <c r="AP155" s="162"/>
      <c r="AQ155" s="162"/>
      <c r="AR155" s="162"/>
    </row>
    <row r="156" ht="15.75" customHeight="1">
      <c r="A156" s="276"/>
      <c r="B156" s="276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62"/>
      <c r="AL156" s="162"/>
      <c r="AM156" s="162"/>
      <c r="AN156" s="162"/>
      <c r="AO156" s="162"/>
      <c r="AP156" s="162"/>
      <c r="AQ156" s="162"/>
      <c r="AR156" s="162"/>
    </row>
    <row r="157" ht="15.75" customHeight="1">
      <c r="A157" s="276"/>
      <c r="B157" s="276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62"/>
      <c r="AL157" s="162"/>
      <c r="AM157" s="162"/>
      <c r="AN157" s="162"/>
      <c r="AO157" s="162"/>
      <c r="AP157" s="162"/>
      <c r="AQ157" s="162"/>
      <c r="AR157" s="162"/>
    </row>
    <row r="158" ht="15.75" customHeight="1">
      <c r="A158" s="276"/>
      <c r="B158" s="276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2"/>
      <c r="AO158" s="162"/>
      <c r="AP158" s="162"/>
      <c r="AQ158" s="162"/>
      <c r="AR158" s="162"/>
    </row>
    <row r="159" ht="15.75" customHeight="1">
      <c r="A159" s="276"/>
      <c r="B159" s="276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  <c r="AK159" s="162"/>
      <c r="AL159" s="162"/>
      <c r="AM159" s="162"/>
      <c r="AN159" s="162"/>
      <c r="AO159" s="162"/>
      <c r="AP159" s="162"/>
      <c r="AQ159" s="162"/>
      <c r="AR159" s="162"/>
    </row>
    <row r="160" ht="15.75" customHeight="1">
      <c r="A160" s="276"/>
      <c r="B160" s="276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  <c r="AK160" s="162"/>
      <c r="AL160" s="162"/>
      <c r="AM160" s="162"/>
      <c r="AN160" s="162"/>
      <c r="AO160" s="162"/>
      <c r="AP160" s="162"/>
      <c r="AQ160" s="162"/>
      <c r="AR160" s="162"/>
    </row>
    <row r="161" ht="15.75" customHeight="1">
      <c r="A161" s="276"/>
      <c r="B161" s="276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2"/>
    </row>
    <row r="162" ht="15.75" customHeight="1">
      <c r="A162" s="276"/>
      <c r="B162" s="276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  <c r="AK162" s="162"/>
      <c r="AL162" s="162"/>
      <c r="AM162" s="162"/>
      <c r="AN162" s="162"/>
      <c r="AO162" s="162"/>
      <c r="AP162" s="162"/>
      <c r="AQ162" s="162"/>
      <c r="AR162" s="162"/>
    </row>
    <row r="163" ht="15.75" customHeight="1">
      <c r="A163" s="276"/>
      <c r="B163" s="276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  <c r="AK163" s="162"/>
      <c r="AL163" s="162"/>
      <c r="AM163" s="162"/>
      <c r="AN163" s="162"/>
      <c r="AO163" s="162"/>
      <c r="AP163" s="162"/>
      <c r="AQ163" s="162"/>
      <c r="AR163" s="162"/>
    </row>
    <row r="164" ht="15.75" customHeight="1">
      <c r="A164" s="276"/>
      <c r="B164" s="276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  <c r="AK164" s="162"/>
      <c r="AL164" s="162"/>
      <c r="AM164" s="162"/>
      <c r="AN164" s="162"/>
      <c r="AO164" s="162"/>
      <c r="AP164" s="162"/>
      <c r="AQ164" s="162"/>
      <c r="AR164" s="162"/>
    </row>
    <row r="165" ht="15.75" customHeight="1">
      <c r="A165" s="276"/>
      <c r="B165" s="276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  <c r="AK165" s="162"/>
      <c r="AL165" s="162"/>
      <c r="AM165" s="162"/>
      <c r="AN165" s="162"/>
      <c r="AO165" s="162"/>
      <c r="AP165" s="162"/>
      <c r="AQ165" s="162"/>
      <c r="AR165" s="162"/>
    </row>
    <row r="166" ht="15.75" customHeight="1">
      <c r="A166" s="276"/>
      <c r="B166" s="276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62"/>
      <c r="AL166" s="162"/>
      <c r="AM166" s="162"/>
      <c r="AN166" s="162"/>
      <c r="AO166" s="162"/>
      <c r="AP166" s="162"/>
      <c r="AQ166" s="162"/>
      <c r="AR166" s="162"/>
    </row>
    <row r="167" ht="15.75" customHeight="1">
      <c r="A167" s="276"/>
      <c r="B167" s="276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62"/>
      <c r="AL167" s="162"/>
      <c r="AM167" s="162"/>
      <c r="AN167" s="162"/>
      <c r="AO167" s="162"/>
      <c r="AP167" s="162"/>
      <c r="AQ167" s="162"/>
      <c r="AR167" s="162"/>
    </row>
    <row r="168" ht="15.75" customHeight="1">
      <c r="A168" s="276"/>
      <c r="B168" s="276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2"/>
      <c r="AQ168" s="162"/>
      <c r="AR168" s="162"/>
    </row>
    <row r="169" ht="15.75" customHeight="1">
      <c r="A169" s="276"/>
      <c r="B169" s="276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162"/>
      <c r="AQ169" s="162"/>
      <c r="AR169" s="162"/>
    </row>
    <row r="170" ht="15.75" customHeight="1">
      <c r="A170" s="276"/>
      <c r="B170" s="276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62"/>
      <c r="AL170" s="162"/>
      <c r="AM170" s="162"/>
      <c r="AN170" s="162"/>
      <c r="AO170" s="162"/>
      <c r="AP170" s="162"/>
      <c r="AQ170" s="162"/>
      <c r="AR170" s="162"/>
    </row>
    <row r="171" ht="15.75" customHeight="1">
      <c r="A171" s="276"/>
      <c r="B171" s="276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62"/>
      <c r="AL171" s="162"/>
      <c r="AM171" s="162"/>
      <c r="AN171" s="162"/>
      <c r="AO171" s="162"/>
      <c r="AP171" s="162"/>
      <c r="AQ171" s="162"/>
      <c r="AR171" s="162"/>
    </row>
    <row r="172" ht="15.75" customHeight="1">
      <c r="A172" s="276"/>
      <c r="B172" s="276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62"/>
      <c r="AL172" s="162"/>
      <c r="AM172" s="162"/>
      <c r="AN172" s="162"/>
      <c r="AO172" s="162"/>
      <c r="AP172" s="162"/>
      <c r="AQ172" s="162"/>
      <c r="AR172" s="162"/>
    </row>
    <row r="173" ht="15.75" customHeight="1">
      <c r="A173" s="276"/>
      <c r="B173" s="276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2"/>
      <c r="AQ173" s="162"/>
      <c r="AR173" s="162"/>
    </row>
    <row r="174" ht="15.75" customHeight="1">
      <c r="A174" s="276"/>
      <c r="B174" s="276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2"/>
      <c r="AQ174" s="162"/>
      <c r="AR174" s="162"/>
    </row>
    <row r="175" ht="15.75" customHeight="1">
      <c r="A175" s="276"/>
      <c r="B175" s="276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2"/>
      <c r="AQ175" s="162"/>
      <c r="AR175" s="162"/>
    </row>
    <row r="176" ht="15.75" customHeight="1">
      <c r="A176" s="276"/>
      <c r="B176" s="276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  <c r="AK176" s="162"/>
      <c r="AL176" s="162"/>
      <c r="AM176" s="162"/>
      <c r="AN176" s="162"/>
      <c r="AO176" s="162"/>
      <c r="AP176" s="162"/>
      <c r="AQ176" s="162"/>
      <c r="AR176" s="162"/>
    </row>
    <row r="177" ht="15.75" customHeight="1">
      <c r="A177" s="276"/>
      <c r="B177" s="276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  <c r="AK177" s="162"/>
      <c r="AL177" s="162"/>
      <c r="AM177" s="162"/>
      <c r="AN177" s="162"/>
      <c r="AO177" s="162"/>
      <c r="AP177" s="162"/>
      <c r="AQ177" s="162"/>
      <c r="AR177" s="162"/>
    </row>
    <row r="178" ht="15.75" customHeight="1">
      <c r="A178" s="276"/>
      <c r="B178" s="276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2"/>
      <c r="AQ178" s="162"/>
      <c r="AR178" s="162"/>
    </row>
    <row r="179" ht="15.75" customHeight="1">
      <c r="A179" s="276"/>
      <c r="B179" s="276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2"/>
      <c r="AQ179" s="162"/>
      <c r="AR179" s="162"/>
    </row>
    <row r="180" ht="15.75" customHeight="1">
      <c r="A180" s="276"/>
      <c r="B180" s="276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2"/>
      <c r="AQ180" s="162"/>
      <c r="AR180" s="162"/>
    </row>
    <row r="181" ht="15.75" customHeight="1">
      <c r="A181" s="276"/>
      <c r="B181" s="276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62"/>
      <c r="AL181" s="162"/>
      <c r="AM181" s="162"/>
      <c r="AN181" s="162"/>
      <c r="AO181" s="162"/>
      <c r="AP181" s="162"/>
      <c r="AQ181" s="162"/>
      <c r="AR181" s="162"/>
    </row>
    <row r="182" ht="15.75" customHeight="1">
      <c r="A182" s="276"/>
      <c r="B182" s="276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62"/>
      <c r="AL182" s="162"/>
      <c r="AM182" s="162"/>
      <c r="AN182" s="162"/>
      <c r="AO182" s="162"/>
      <c r="AP182" s="162"/>
      <c r="AQ182" s="162"/>
      <c r="AR182" s="162"/>
    </row>
    <row r="183" ht="15.75" customHeight="1">
      <c r="A183" s="276"/>
      <c r="B183" s="276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62"/>
      <c r="AL183" s="162"/>
      <c r="AM183" s="162"/>
      <c r="AN183" s="162"/>
      <c r="AO183" s="162"/>
      <c r="AP183" s="162"/>
      <c r="AQ183" s="162"/>
      <c r="AR183" s="162"/>
    </row>
    <row r="184" ht="15.75" customHeight="1">
      <c r="A184" s="276"/>
      <c r="B184" s="276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  <c r="AK184" s="162"/>
      <c r="AL184" s="162"/>
      <c r="AM184" s="162"/>
      <c r="AN184" s="162"/>
      <c r="AO184" s="162"/>
      <c r="AP184" s="162"/>
      <c r="AQ184" s="162"/>
      <c r="AR184" s="162"/>
    </row>
    <row r="185" ht="15.75" customHeight="1">
      <c r="A185" s="276"/>
      <c r="B185" s="276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  <c r="AK185" s="162"/>
      <c r="AL185" s="162"/>
      <c r="AM185" s="162"/>
      <c r="AN185" s="162"/>
      <c r="AO185" s="162"/>
      <c r="AP185" s="162"/>
      <c r="AQ185" s="162"/>
      <c r="AR185" s="162"/>
    </row>
    <row r="186" ht="15.75" customHeight="1">
      <c r="A186" s="276"/>
      <c r="B186" s="276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  <c r="AK186" s="162"/>
      <c r="AL186" s="162"/>
      <c r="AM186" s="162"/>
      <c r="AN186" s="162"/>
      <c r="AO186" s="162"/>
      <c r="AP186" s="162"/>
      <c r="AQ186" s="162"/>
      <c r="AR186" s="162"/>
    </row>
    <row r="187" ht="15.75" customHeight="1">
      <c r="A187" s="276"/>
      <c r="B187" s="276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  <c r="AK187" s="162"/>
      <c r="AL187" s="162"/>
      <c r="AM187" s="162"/>
      <c r="AN187" s="162"/>
      <c r="AO187" s="162"/>
      <c r="AP187" s="162"/>
      <c r="AQ187" s="162"/>
      <c r="AR187" s="162"/>
    </row>
    <row r="188" ht="15.75" customHeight="1">
      <c r="A188" s="276"/>
      <c r="B188" s="276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  <c r="AK188" s="162"/>
      <c r="AL188" s="162"/>
      <c r="AM188" s="162"/>
      <c r="AN188" s="162"/>
      <c r="AO188" s="162"/>
      <c r="AP188" s="162"/>
      <c r="AQ188" s="162"/>
      <c r="AR188" s="162"/>
    </row>
    <row r="189" ht="15.75" customHeight="1">
      <c r="A189" s="276"/>
      <c r="B189" s="276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  <c r="AK189" s="162"/>
      <c r="AL189" s="162"/>
      <c r="AM189" s="162"/>
      <c r="AN189" s="162"/>
      <c r="AO189" s="162"/>
      <c r="AP189" s="162"/>
      <c r="AQ189" s="162"/>
      <c r="AR189" s="162"/>
    </row>
    <row r="190" ht="15.75" customHeight="1">
      <c r="A190" s="276"/>
      <c r="B190" s="276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  <c r="AK190" s="162"/>
      <c r="AL190" s="162"/>
      <c r="AM190" s="162"/>
      <c r="AN190" s="162"/>
      <c r="AO190" s="162"/>
      <c r="AP190" s="162"/>
      <c r="AQ190" s="162"/>
      <c r="AR190" s="162"/>
    </row>
    <row r="191" ht="15.75" customHeight="1">
      <c r="A191" s="276"/>
      <c r="B191" s="276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  <c r="AK191" s="162"/>
      <c r="AL191" s="162"/>
      <c r="AM191" s="162"/>
      <c r="AN191" s="162"/>
      <c r="AO191" s="162"/>
      <c r="AP191" s="162"/>
      <c r="AQ191" s="162"/>
      <c r="AR191" s="162"/>
    </row>
    <row r="192" ht="15.75" customHeight="1">
      <c r="A192" s="276"/>
      <c r="B192" s="276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  <c r="AK192" s="162"/>
      <c r="AL192" s="162"/>
      <c r="AM192" s="162"/>
      <c r="AN192" s="162"/>
      <c r="AO192" s="162"/>
      <c r="AP192" s="162"/>
      <c r="AQ192" s="162"/>
      <c r="AR192" s="162"/>
    </row>
    <row r="193" ht="15.75" customHeight="1">
      <c r="A193" s="276"/>
      <c r="B193" s="276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  <c r="AK193" s="162"/>
      <c r="AL193" s="162"/>
      <c r="AM193" s="162"/>
      <c r="AN193" s="162"/>
      <c r="AO193" s="162"/>
      <c r="AP193" s="162"/>
      <c r="AQ193" s="162"/>
      <c r="AR193" s="162"/>
    </row>
    <row r="194" ht="15.75" customHeight="1">
      <c r="A194" s="276"/>
      <c r="B194" s="276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  <c r="AK194" s="162"/>
      <c r="AL194" s="162"/>
      <c r="AM194" s="162"/>
      <c r="AN194" s="162"/>
      <c r="AO194" s="162"/>
      <c r="AP194" s="162"/>
      <c r="AQ194" s="162"/>
      <c r="AR194" s="162"/>
    </row>
    <row r="195" ht="15.75" customHeight="1">
      <c r="A195" s="276"/>
      <c r="B195" s="276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  <c r="AK195" s="162"/>
      <c r="AL195" s="162"/>
      <c r="AM195" s="162"/>
      <c r="AN195" s="162"/>
      <c r="AO195" s="162"/>
      <c r="AP195" s="162"/>
      <c r="AQ195" s="162"/>
      <c r="AR195" s="162"/>
    </row>
    <row r="196" ht="15.75" customHeight="1">
      <c r="A196" s="276"/>
      <c r="B196" s="276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  <c r="AK196" s="162"/>
      <c r="AL196" s="162"/>
      <c r="AM196" s="162"/>
      <c r="AN196" s="162"/>
      <c r="AO196" s="162"/>
      <c r="AP196" s="162"/>
      <c r="AQ196" s="162"/>
      <c r="AR196" s="162"/>
    </row>
    <row r="197" ht="15.75" customHeight="1">
      <c r="A197" s="276"/>
      <c r="B197" s="276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  <c r="AK197" s="162"/>
      <c r="AL197" s="162"/>
      <c r="AM197" s="162"/>
      <c r="AN197" s="162"/>
      <c r="AO197" s="162"/>
      <c r="AP197" s="162"/>
      <c r="AQ197" s="162"/>
      <c r="AR197" s="162"/>
    </row>
    <row r="198" ht="15.75" customHeight="1">
      <c r="A198" s="276"/>
      <c r="B198" s="276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  <c r="AK198" s="162"/>
      <c r="AL198" s="162"/>
      <c r="AM198" s="162"/>
      <c r="AN198" s="162"/>
      <c r="AO198" s="162"/>
      <c r="AP198" s="162"/>
      <c r="AQ198" s="162"/>
      <c r="AR198" s="162"/>
    </row>
    <row r="199" ht="15.75" customHeight="1">
      <c r="A199" s="276"/>
      <c r="B199" s="276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  <c r="AK199" s="162"/>
      <c r="AL199" s="162"/>
      <c r="AM199" s="162"/>
      <c r="AN199" s="162"/>
      <c r="AO199" s="162"/>
      <c r="AP199" s="162"/>
      <c r="AQ199" s="162"/>
      <c r="AR199" s="162"/>
    </row>
    <row r="200" ht="15.75" customHeight="1">
      <c r="A200" s="276"/>
      <c r="B200" s="276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  <c r="AK200" s="162"/>
      <c r="AL200" s="162"/>
      <c r="AM200" s="162"/>
      <c r="AN200" s="162"/>
      <c r="AO200" s="162"/>
      <c r="AP200" s="162"/>
      <c r="AQ200" s="162"/>
      <c r="AR200" s="162"/>
    </row>
    <row r="201" ht="15.75" customHeight="1">
      <c r="A201" s="276"/>
      <c r="B201" s="276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  <c r="AK201" s="162"/>
      <c r="AL201" s="162"/>
      <c r="AM201" s="162"/>
      <c r="AN201" s="162"/>
      <c r="AO201" s="162"/>
      <c r="AP201" s="162"/>
      <c r="AQ201" s="162"/>
      <c r="AR201" s="162"/>
    </row>
    <row r="202" ht="15.75" customHeight="1">
      <c r="A202" s="276"/>
      <c r="B202" s="276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  <c r="AK202" s="162"/>
      <c r="AL202" s="162"/>
      <c r="AM202" s="162"/>
      <c r="AN202" s="162"/>
      <c r="AO202" s="162"/>
      <c r="AP202" s="162"/>
      <c r="AQ202" s="162"/>
      <c r="AR202" s="162"/>
    </row>
    <row r="203" ht="15.75" customHeight="1">
      <c r="A203" s="276"/>
      <c r="B203" s="276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  <c r="AK203" s="162"/>
      <c r="AL203" s="162"/>
      <c r="AM203" s="162"/>
      <c r="AN203" s="162"/>
      <c r="AO203" s="162"/>
      <c r="AP203" s="162"/>
      <c r="AQ203" s="162"/>
      <c r="AR203" s="162"/>
    </row>
    <row r="204" ht="15.75" customHeight="1">
      <c r="A204" s="276"/>
      <c r="B204" s="276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2"/>
      <c r="AO204" s="162"/>
      <c r="AP204" s="162"/>
      <c r="AQ204" s="162"/>
      <c r="AR204" s="162"/>
    </row>
    <row r="205" ht="15.75" customHeight="1">
      <c r="A205" s="276"/>
      <c r="B205" s="276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  <c r="AK205" s="162"/>
      <c r="AL205" s="162"/>
      <c r="AM205" s="162"/>
      <c r="AN205" s="162"/>
      <c r="AO205" s="162"/>
      <c r="AP205" s="162"/>
      <c r="AQ205" s="162"/>
      <c r="AR205" s="162"/>
    </row>
    <row r="206" ht="15.75" customHeight="1">
      <c r="A206" s="276"/>
      <c r="B206" s="276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  <c r="AK206" s="162"/>
      <c r="AL206" s="162"/>
      <c r="AM206" s="162"/>
      <c r="AN206" s="162"/>
      <c r="AO206" s="162"/>
      <c r="AP206" s="162"/>
      <c r="AQ206" s="162"/>
      <c r="AR206" s="162"/>
    </row>
    <row r="207" ht="15.75" customHeight="1">
      <c r="A207" s="276"/>
      <c r="B207" s="276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  <c r="AK207" s="162"/>
      <c r="AL207" s="162"/>
      <c r="AM207" s="162"/>
      <c r="AN207" s="162"/>
      <c r="AO207" s="162"/>
      <c r="AP207" s="162"/>
      <c r="AQ207" s="162"/>
      <c r="AR207" s="162"/>
    </row>
    <row r="208" ht="15.75" customHeight="1">
      <c r="A208" s="276"/>
      <c r="B208" s="276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  <c r="AK208" s="162"/>
      <c r="AL208" s="162"/>
      <c r="AM208" s="162"/>
      <c r="AN208" s="162"/>
      <c r="AO208" s="162"/>
      <c r="AP208" s="162"/>
      <c r="AQ208" s="162"/>
      <c r="AR208" s="162"/>
    </row>
    <row r="209" ht="15.75" customHeight="1">
      <c r="A209" s="276"/>
      <c r="B209" s="276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  <c r="AK209" s="162"/>
      <c r="AL209" s="162"/>
      <c r="AM209" s="162"/>
      <c r="AN209" s="162"/>
      <c r="AO209" s="162"/>
      <c r="AP209" s="162"/>
      <c r="AQ209" s="162"/>
      <c r="AR209" s="162"/>
    </row>
    <row r="210" ht="15.75" customHeight="1">
      <c r="A210" s="276"/>
      <c r="B210" s="276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2"/>
      <c r="AQ210" s="162"/>
      <c r="AR210" s="162"/>
    </row>
    <row r="211" ht="15.75" customHeight="1">
      <c r="A211" s="276"/>
      <c r="B211" s="276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2"/>
      <c r="AQ211" s="162"/>
      <c r="AR211" s="162"/>
    </row>
    <row r="212" ht="15.75" customHeight="1">
      <c r="A212" s="276"/>
      <c r="B212" s="276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2"/>
      <c r="AQ212" s="162"/>
      <c r="AR212" s="162"/>
    </row>
    <row r="213" ht="15.75" customHeight="1">
      <c r="A213" s="276"/>
      <c r="B213" s="276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  <c r="AK213" s="162"/>
      <c r="AL213" s="162"/>
      <c r="AM213" s="162"/>
      <c r="AN213" s="162"/>
      <c r="AO213" s="162"/>
      <c r="AP213" s="162"/>
      <c r="AQ213" s="162"/>
      <c r="AR213" s="162"/>
    </row>
    <row r="214" ht="15.75" customHeight="1">
      <c r="A214" s="276"/>
      <c r="B214" s="276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  <c r="AK214" s="162"/>
      <c r="AL214" s="162"/>
      <c r="AM214" s="162"/>
      <c r="AN214" s="162"/>
      <c r="AO214" s="162"/>
      <c r="AP214" s="162"/>
      <c r="AQ214" s="162"/>
      <c r="AR214" s="162"/>
    </row>
    <row r="215" ht="15.75" customHeight="1">
      <c r="A215" s="276"/>
      <c r="B215" s="276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  <c r="AK215" s="162"/>
      <c r="AL215" s="162"/>
      <c r="AM215" s="162"/>
      <c r="AN215" s="162"/>
      <c r="AO215" s="162"/>
      <c r="AP215" s="162"/>
      <c r="AQ215" s="162"/>
      <c r="AR215" s="162"/>
    </row>
    <row r="216" ht="15.75" customHeight="1">
      <c r="A216" s="276"/>
      <c r="B216" s="276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  <c r="AK216" s="162"/>
      <c r="AL216" s="162"/>
      <c r="AM216" s="162"/>
      <c r="AN216" s="162"/>
      <c r="AO216" s="162"/>
      <c r="AP216" s="162"/>
      <c r="AQ216" s="162"/>
      <c r="AR216" s="162"/>
    </row>
    <row r="217" ht="15.75" customHeight="1">
      <c r="A217" s="276"/>
      <c r="B217" s="276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</row>
    <row r="218" ht="15.75" customHeight="1">
      <c r="A218" s="276"/>
      <c r="B218" s="276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  <c r="AK218" s="162"/>
      <c r="AL218" s="162"/>
      <c r="AM218" s="162"/>
      <c r="AN218" s="162"/>
      <c r="AO218" s="162"/>
      <c r="AP218" s="162"/>
      <c r="AQ218" s="162"/>
      <c r="AR218" s="162"/>
    </row>
    <row r="219" ht="15.75" customHeight="1">
      <c r="A219" s="276"/>
      <c r="B219" s="276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  <c r="AK219" s="162"/>
      <c r="AL219" s="162"/>
      <c r="AM219" s="162"/>
      <c r="AN219" s="162"/>
      <c r="AO219" s="162"/>
      <c r="AP219" s="162"/>
      <c r="AQ219" s="162"/>
      <c r="AR219" s="162"/>
    </row>
    <row r="220" ht="15.75" customHeight="1">
      <c r="A220" s="276"/>
      <c r="B220" s="276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  <c r="AK220" s="162"/>
      <c r="AL220" s="162"/>
      <c r="AM220" s="162"/>
      <c r="AN220" s="162"/>
      <c r="AO220" s="162"/>
      <c r="AP220" s="162"/>
      <c r="AQ220" s="162"/>
      <c r="AR220" s="162"/>
    </row>
    <row r="221" ht="15.75" customHeight="1">
      <c r="A221" s="276"/>
      <c r="B221" s="276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  <c r="AK221" s="162"/>
      <c r="AL221" s="162"/>
      <c r="AM221" s="162"/>
      <c r="AN221" s="162"/>
      <c r="AO221" s="162"/>
      <c r="AP221" s="162"/>
      <c r="AQ221" s="162"/>
      <c r="AR221" s="162"/>
    </row>
    <row r="222" ht="15.75" customHeight="1">
      <c r="A222" s="276"/>
      <c r="B222" s="276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  <c r="AK222" s="162"/>
      <c r="AL222" s="162"/>
      <c r="AM222" s="162"/>
      <c r="AN222" s="162"/>
      <c r="AO222" s="162"/>
      <c r="AP222" s="162"/>
      <c r="AQ222" s="162"/>
      <c r="AR222" s="162"/>
    </row>
    <row r="223" ht="15.75" customHeight="1">
      <c r="A223" s="276"/>
      <c r="B223" s="276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  <c r="AK223" s="162"/>
      <c r="AL223" s="162"/>
      <c r="AM223" s="162"/>
      <c r="AN223" s="162"/>
      <c r="AO223" s="162"/>
      <c r="AP223" s="162"/>
      <c r="AQ223" s="162"/>
      <c r="AR223" s="162"/>
    </row>
    <row r="224" ht="15.75" customHeight="1">
      <c r="A224" s="276"/>
      <c r="B224" s="276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  <c r="AK224" s="162"/>
      <c r="AL224" s="162"/>
      <c r="AM224" s="162"/>
      <c r="AN224" s="162"/>
      <c r="AO224" s="162"/>
      <c r="AP224" s="162"/>
      <c r="AQ224" s="162"/>
      <c r="AR224" s="162"/>
    </row>
    <row r="225" ht="15.75" customHeight="1">
      <c r="A225" s="276"/>
      <c r="B225" s="276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  <c r="AK225" s="162"/>
      <c r="AL225" s="162"/>
      <c r="AM225" s="162"/>
      <c r="AN225" s="162"/>
      <c r="AO225" s="162"/>
      <c r="AP225" s="162"/>
      <c r="AQ225" s="162"/>
      <c r="AR225" s="162"/>
    </row>
    <row r="226" ht="15.75" customHeight="1">
      <c r="A226" s="276"/>
      <c r="B226" s="276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  <c r="AK226" s="162"/>
      <c r="AL226" s="162"/>
      <c r="AM226" s="162"/>
      <c r="AN226" s="162"/>
      <c r="AO226" s="162"/>
      <c r="AP226" s="162"/>
      <c r="AQ226" s="162"/>
      <c r="AR226" s="162"/>
    </row>
    <row r="227" ht="15.75" customHeight="1">
      <c r="A227" s="276"/>
      <c r="B227" s="276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  <c r="AK227" s="162"/>
      <c r="AL227" s="162"/>
      <c r="AM227" s="162"/>
      <c r="AN227" s="162"/>
      <c r="AO227" s="162"/>
      <c r="AP227" s="162"/>
      <c r="AQ227" s="162"/>
      <c r="AR227" s="162"/>
    </row>
    <row r="228" ht="15.75" customHeight="1">
      <c r="A228" s="276"/>
      <c r="B228" s="276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  <c r="AK228" s="162"/>
      <c r="AL228" s="162"/>
      <c r="AM228" s="162"/>
      <c r="AN228" s="162"/>
      <c r="AO228" s="162"/>
      <c r="AP228" s="162"/>
      <c r="AQ228" s="162"/>
      <c r="AR228" s="162"/>
    </row>
    <row r="229" ht="15.75" customHeight="1">
      <c r="A229" s="276"/>
      <c r="B229" s="276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  <c r="AK229" s="162"/>
      <c r="AL229" s="162"/>
      <c r="AM229" s="162"/>
      <c r="AN229" s="162"/>
      <c r="AO229" s="162"/>
      <c r="AP229" s="162"/>
      <c r="AQ229" s="162"/>
      <c r="AR229" s="162"/>
    </row>
    <row r="230" ht="15.75" customHeight="1">
      <c r="A230" s="276"/>
      <c r="B230" s="276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  <c r="AK230" s="162"/>
      <c r="AL230" s="162"/>
      <c r="AM230" s="162"/>
      <c r="AN230" s="162"/>
      <c r="AO230" s="162"/>
      <c r="AP230" s="162"/>
      <c r="AQ230" s="162"/>
      <c r="AR230" s="162"/>
    </row>
    <row r="231" ht="15.75" customHeight="1">
      <c r="A231" s="276"/>
      <c r="B231" s="276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  <c r="AK231" s="162"/>
      <c r="AL231" s="162"/>
      <c r="AM231" s="162"/>
      <c r="AN231" s="162"/>
      <c r="AO231" s="162"/>
      <c r="AP231" s="162"/>
      <c r="AQ231" s="162"/>
      <c r="AR231" s="162"/>
    </row>
    <row r="232" ht="15.75" customHeight="1">
      <c r="A232" s="276"/>
      <c r="B232" s="276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  <c r="AK232" s="162"/>
      <c r="AL232" s="162"/>
      <c r="AM232" s="162"/>
      <c r="AN232" s="162"/>
      <c r="AO232" s="162"/>
      <c r="AP232" s="162"/>
      <c r="AQ232" s="162"/>
      <c r="AR232" s="162"/>
    </row>
    <row r="233" ht="15.75" customHeight="1">
      <c r="A233" s="276"/>
      <c r="B233" s="276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  <c r="AK233" s="162"/>
      <c r="AL233" s="162"/>
      <c r="AM233" s="162"/>
      <c r="AN233" s="162"/>
      <c r="AO233" s="162"/>
      <c r="AP233" s="162"/>
      <c r="AQ233" s="162"/>
      <c r="AR233" s="162"/>
    </row>
    <row r="234" ht="15.75" customHeight="1">
      <c r="A234" s="276"/>
      <c r="B234" s="276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  <c r="AK234" s="162"/>
      <c r="AL234" s="162"/>
      <c r="AM234" s="162"/>
      <c r="AN234" s="162"/>
      <c r="AO234" s="162"/>
      <c r="AP234" s="162"/>
      <c r="AQ234" s="162"/>
      <c r="AR234" s="162"/>
    </row>
    <row r="235" ht="15.75" customHeight="1">
      <c r="A235" s="276"/>
      <c r="B235" s="276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  <c r="AK235" s="162"/>
      <c r="AL235" s="162"/>
      <c r="AM235" s="162"/>
      <c r="AN235" s="162"/>
      <c r="AO235" s="162"/>
      <c r="AP235" s="162"/>
      <c r="AQ235" s="162"/>
      <c r="AR235" s="162"/>
    </row>
    <row r="236" ht="15.75" customHeight="1">
      <c r="A236" s="276"/>
      <c r="B236" s="276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  <c r="AK236" s="162"/>
      <c r="AL236" s="162"/>
      <c r="AM236" s="162"/>
      <c r="AN236" s="162"/>
      <c r="AO236" s="162"/>
      <c r="AP236" s="162"/>
      <c r="AQ236" s="162"/>
      <c r="AR236" s="162"/>
    </row>
    <row r="237" ht="15.75" customHeight="1">
      <c r="A237" s="276"/>
      <c r="B237" s="276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  <c r="AK237" s="162"/>
      <c r="AL237" s="162"/>
      <c r="AM237" s="162"/>
      <c r="AN237" s="162"/>
      <c r="AO237" s="162"/>
      <c r="AP237" s="162"/>
      <c r="AQ237" s="162"/>
      <c r="AR237" s="162"/>
    </row>
    <row r="238" ht="15.75" customHeight="1">
      <c r="A238" s="276"/>
      <c r="B238" s="276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  <c r="AK238" s="162"/>
      <c r="AL238" s="162"/>
      <c r="AM238" s="162"/>
      <c r="AN238" s="162"/>
      <c r="AO238" s="162"/>
      <c r="AP238" s="162"/>
      <c r="AQ238" s="162"/>
      <c r="AR238" s="162"/>
    </row>
    <row r="239" ht="15.75" customHeight="1">
      <c r="A239" s="276"/>
      <c r="B239" s="276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  <c r="AK239" s="162"/>
      <c r="AL239" s="162"/>
      <c r="AM239" s="162"/>
      <c r="AN239" s="162"/>
      <c r="AO239" s="162"/>
      <c r="AP239" s="162"/>
      <c r="AQ239" s="162"/>
      <c r="AR239" s="162"/>
    </row>
    <row r="240" ht="15.75" customHeight="1">
      <c r="A240" s="276"/>
      <c r="B240" s="276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  <c r="AK240" s="162"/>
      <c r="AL240" s="162"/>
      <c r="AM240" s="162"/>
      <c r="AN240" s="162"/>
      <c r="AO240" s="162"/>
      <c r="AP240" s="162"/>
      <c r="AQ240" s="162"/>
      <c r="AR240" s="162"/>
    </row>
    <row r="241" ht="15.75" customHeight="1">
      <c r="A241" s="276"/>
      <c r="B241" s="276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  <c r="AK241" s="162"/>
      <c r="AL241" s="162"/>
      <c r="AM241" s="162"/>
      <c r="AN241" s="162"/>
      <c r="AO241" s="162"/>
      <c r="AP241" s="162"/>
      <c r="AQ241" s="162"/>
      <c r="AR241" s="162"/>
    </row>
    <row r="242" ht="15.75" customHeight="1">
      <c r="A242" s="276"/>
      <c r="B242" s="276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  <c r="AK242" s="162"/>
      <c r="AL242" s="162"/>
      <c r="AM242" s="162"/>
      <c r="AN242" s="162"/>
      <c r="AO242" s="162"/>
      <c r="AP242" s="162"/>
      <c r="AQ242" s="162"/>
      <c r="AR242" s="162"/>
    </row>
    <row r="243" ht="15.75" customHeight="1">
      <c r="A243" s="276"/>
      <c r="B243" s="276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  <c r="AK243" s="162"/>
      <c r="AL243" s="162"/>
      <c r="AM243" s="162"/>
      <c r="AN243" s="162"/>
      <c r="AO243" s="162"/>
      <c r="AP243" s="162"/>
      <c r="AQ243" s="162"/>
      <c r="AR243" s="162"/>
    </row>
    <row r="244" ht="15.75" customHeight="1">
      <c r="A244" s="276"/>
      <c r="B244" s="276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  <c r="AK244" s="162"/>
      <c r="AL244" s="162"/>
      <c r="AM244" s="162"/>
      <c r="AN244" s="162"/>
      <c r="AO244" s="162"/>
      <c r="AP244" s="162"/>
      <c r="AQ244" s="162"/>
      <c r="AR244" s="162"/>
    </row>
    <row r="245" ht="15.75" customHeight="1">
      <c r="A245" s="276"/>
      <c r="B245" s="276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</row>
    <row r="246" ht="15.75" customHeight="1">
      <c r="A246" s="276"/>
      <c r="B246" s="276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  <c r="AK246" s="162"/>
      <c r="AL246" s="162"/>
      <c r="AM246" s="162"/>
      <c r="AN246" s="162"/>
      <c r="AO246" s="162"/>
      <c r="AP246" s="162"/>
      <c r="AQ246" s="162"/>
      <c r="AR246" s="162"/>
    </row>
    <row r="247" ht="15.75" customHeight="1">
      <c r="A247" s="276"/>
      <c r="B247" s="276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  <c r="AK247" s="162"/>
      <c r="AL247" s="162"/>
      <c r="AM247" s="162"/>
      <c r="AN247" s="162"/>
      <c r="AO247" s="162"/>
      <c r="AP247" s="162"/>
      <c r="AQ247" s="162"/>
      <c r="AR247" s="162"/>
    </row>
    <row r="248" ht="15.75" customHeight="1">
      <c r="A248" s="276"/>
      <c r="B248" s="276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  <c r="AK248" s="162"/>
      <c r="AL248" s="162"/>
      <c r="AM248" s="162"/>
      <c r="AN248" s="162"/>
      <c r="AO248" s="162"/>
      <c r="AP248" s="162"/>
      <c r="AQ248" s="162"/>
      <c r="AR248" s="162"/>
    </row>
    <row r="249" ht="15.75" customHeight="1">
      <c r="A249" s="276"/>
      <c r="B249" s="276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  <c r="AK249" s="162"/>
      <c r="AL249" s="162"/>
      <c r="AM249" s="162"/>
      <c r="AN249" s="162"/>
      <c r="AO249" s="162"/>
      <c r="AP249" s="162"/>
      <c r="AQ249" s="162"/>
      <c r="AR249" s="162"/>
    </row>
    <row r="250" ht="15.75" customHeight="1">
      <c r="A250" s="276"/>
      <c r="B250" s="276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  <c r="AK250" s="162"/>
      <c r="AL250" s="162"/>
      <c r="AM250" s="162"/>
      <c r="AN250" s="162"/>
      <c r="AO250" s="162"/>
      <c r="AP250" s="162"/>
      <c r="AQ250" s="162"/>
      <c r="AR250" s="162"/>
    </row>
    <row r="251" ht="15.75" customHeight="1">
      <c r="A251" s="276"/>
      <c r="B251" s="276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  <c r="AK251" s="162"/>
      <c r="AL251" s="162"/>
      <c r="AM251" s="162"/>
      <c r="AN251" s="162"/>
      <c r="AO251" s="162"/>
      <c r="AP251" s="162"/>
      <c r="AQ251" s="162"/>
      <c r="AR251" s="162"/>
    </row>
    <row r="252" ht="15.75" customHeight="1">
      <c r="A252" s="276"/>
      <c r="B252" s="276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  <c r="AK252" s="162"/>
      <c r="AL252" s="162"/>
      <c r="AM252" s="162"/>
      <c r="AN252" s="162"/>
      <c r="AO252" s="162"/>
      <c r="AP252" s="162"/>
      <c r="AQ252" s="162"/>
      <c r="AR252" s="162"/>
    </row>
    <row r="253" ht="15.75" customHeight="1">
      <c r="A253" s="276"/>
      <c r="B253" s="276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  <c r="AK253" s="162"/>
      <c r="AL253" s="162"/>
      <c r="AM253" s="162"/>
      <c r="AN253" s="162"/>
      <c r="AO253" s="162"/>
      <c r="AP253" s="162"/>
      <c r="AQ253" s="162"/>
      <c r="AR253" s="162"/>
    </row>
    <row r="254" ht="15.75" customHeight="1">
      <c r="A254" s="276"/>
      <c r="B254" s="276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  <c r="AK254" s="162"/>
      <c r="AL254" s="162"/>
      <c r="AM254" s="162"/>
      <c r="AN254" s="162"/>
      <c r="AO254" s="162"/>
      <c r="AP254" s="162"/>
      <c r="AQ254" s="162"/>
      <c r="AR254" s="162"/>
    </row>
    <row r="255" ht="15.75" customHeight="1">
      <c r="A255" s="276"/>
      <c r="B255" s="276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  <c r="AK255" s="162"/>
      <c r="AL255" s="162"/>
      <c r="AM255" s="162"/>
      <c r="AN255" s="162"/>
      <c r="AO255" s="162"/>
      <c r="AP255" s="162"/>
      <c r="AQ255" s="162"/>
      <c r="AR255" s="162"/>
    </row>
    <row r="256" ht="15.75" customHeight="1">
      <c r="A256" s="276"/>
      <c r="B256" s="276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  <c r="AK256" s="162"/>
      <c r="AL256" s="162"/>
      <c r="AM256" s="162"/>
      <c r="AN256" s="162"/>
      <c r="AO256" s="162"/>
      <c r="AP256" s="162"/>
      <c r="AQ256" s="162"/>
      <c r="AR256" s="162"/>
    </row>
    <row r="257" ht="15.75" customHeight="1">
      <c r="A257" s="276"/>
      <c r="B257" s="276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  <c r="AK257" s="162"/>
      <c r="AL257" s="162"/>
      <c r="AM257" s="162"/>
      <c r="AN257" s="162"/>
      <c r="AO257" s="162"/>
      <c r="AP257" s="162"/>
      <c r="AQ257" s="162"/>
      <c r="AR257" s="162"/>
    </row>
    <row r="258" ht="15.75" customHeight="1">
      <c r="A258" s="276"/>
      <c r="B258" s="276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  <c r="AK258" s="162"/>
      <c r="AL258" s="162"/>
      <c r="AM258" s="162"/>
      <c r="AN258" s="162"/>
      <c r="AO258" s="162"/>
      <c r="AP258" s="162"/>
      <c r="AQ258" s="162"/>
      <c r="AR258" s="162"/>
    </row>
    <row r="259" ht="15.75" customHeight="1">
      <c r="A259" s="276"/>
      <c r="B259" s="276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  <c r="AK259" s="162"/>
      <c r="AL259" s="162"/>
      <c r="AM259" s="162"/>
      <c r="AN259" s="162"/>
      <c r="AO259" s="162"/>
      <c r="AP259" s="162"/>
      <c r="AQ259" s="162"/>
      <c r="AR259" s="162"/>
    </row>
    <row r="260" ht="15.75" customHeight="1">
      <c r="A260" s="276"/>
      <c r="B260" s="276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  <c r="AK260" s="162"/>
      <c r="AL260" s="162"/>
      <c r="AM260" s="162"/>
      <c r="AN260" s="162"/>
      <c r="AO260" s="162"/>
      <c r="AP260" s="162"/>
      <c r="AQ260" s="162"/>
      <c r="AR260" s="162"/>
    </row>
    <row r="261" ht="15.75" customHeight="1">
      <c r="A261" s="276"/>
      <c r="B261" s="276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  <c r="AK261" s="162"/>
      <c r="AL261" s="162"/>
      <c r="AM261" s="162"/>
      <c r="AN261" s="162"/>
      <c r="AO261" s="162"/>
      <c r="AP261" s="162"/>
      <c r="AQ261" s="162"/>
      <c r="AR261" s="162"/>
    </row>
    <row r="262" ht="15.75" customHeight="1">
      <c r="A262" s="276"/>
      <c r="B262" s="276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  <c r="AK262" s="162"/>
      <c r="AL262" s="162"/>
      <c r="AM262" s="162"/>
      <c r="AN262" s="162"/>
      <c r="AO262" s="162"/>
      <c r="AP262" s="162"/>
      <c r="AQ262" s="162"/>
      <c r="AR262" s="162"/>
    </row>
    <row r="263" ht="15.75" customHeight="1">
      <c r="A263" s="276"/>
      <c r="B263" s="276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  <c r="AK263" s="162"/>
      <c r="AL263" s="162"/>
      <c r="AM263" s="162"/>
      <c r="AN263" s="162"/>
      <c r="AO263" s="162"/>
      <c r="AP263" s="162"/>
      <c r="AQ263" s="162"/>
      <c r="AR263" s="162"/>
    </row>
    <row r="264" ht="15.75" customHeight="1">
      <c r="A264" s="276"/>
      <c r="B264" s="276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  <c r="AK264" s="162"/>
      <c r="AL264" s="162"/>
      <c r="AM264" s="162"/>
      <c r="AN264" s="162"/>
      <c r="AO264" s="162"/>
      <c r="AP264" s="162"/>
      <c r="AQ264" s="162"/>
      <c r="AR264" s="162"/>
    </row>
    <row r="265" ht="15.75" customHeight="1">
      <c r="A265" s="276"/>
      <c r="B265" s="276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  <c r="AK265" s="162"/>
      <c r="AL265" s="162"/>
      <c r="AM265" s="162"/>
      <c r="AN265" s="162"/>
      <c r="AO265" s="162"/>
      <c r="AP265" s="162"/>
      <c r="AQ265" s="162"/>
      <c r="AR265" s="162"/>
    </row>
    <row r="266" ht="15.75" customHeight="1">
      <c r="A266" s="276"/>
      <c r="B266" s="276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  <c r="AK266" s="162"/>
      <c r="AL266" s="162"/>
      <c r="AM266" s="162"/>
      <c r="AN266" s="162"/>
      <c r="AO266" s="162"/>
      <c r="AP266" s="162"/>
      <c r="AQ266" s="162"/>
      <c r="AR266" s="162"/>
    </row>
    <row r="267" ht="15.75" customHeight="1">
      <c r="A267" s="276"/>
      <c r="B267" s="276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  <c r="AK267" s="162"/>
      <c r="AL267" s="162"/>
      <c r="AM267" s="162"/>
      <c r="AN267" s="162"/>
      <c r="AO267" s="162"/>
      <c r="AP267" s="162"/>
      <c r="AQ267" s="162"/>
      <c r="AR267" s="162"/>
    </row>
    <row r="268" ht="15.75" customHeight="1">
      <c r="A268" s="276"/>
      <c r="B268" s="276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  <c r="AK268" s="162"/>
      <c r="AL268" s="162"/>
      <c r="AM268" s="162"/>
      <c r="AN268" s="162"/>
      <c r="AO268" s="162"/>
      <c r="AP268" s="162"/>
      <c r="AQ268" s="162"/>
      <c r="AR268" s="162"/>
    </row>
    <row r="269" ht="15.75" customHeight="1">
      <c r="A269" s="276"/>
      <c r="B269" s="276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  <c r="AK269" s="162"/>
      <c r="AL269" s="162"/>
      <c r="AM269" s="162"/>
      <c r="AN269" s="162"/>
      <c r="AO269" s="162"/>
      <c r="AP269" s="162"/>
      <c r="AQ269" s="162"/>
      <c r="AR269" s="162"/>
    </row>
    <row r="270" ht="15.75" customHeight="1">
      <c r="A270" s="276"/>
      <c r="B270" s="276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  <c r="AK270" s="162"/>
      <c r="AL270" s="162"/>
      <c r="AM270" s="162"/>
      <c r="AN270" s="162"/>
      <c r="AO270" s="162"/>
      <c r="AP270" s="162"/>
      <c r="AQ270" s="162"/>
      <c r="AR270" s="162"/>
    </row>
    <row r="271" ht="15.75" customHeight="1">
      <c r="A271" s="276"/>
      <c r="B271" s="276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  <c r="AK271" s="162"/>
      <c r="AL271" s="162"/>
      <c r="AM271" s="162"/>
      <c r="AN271" s="162"/>
      <c r="AO271" s="162"/>
      <c r="AP271" s="162"/>
      <c r="AQ271" s="162"/>
      <c r="AR271" s="162"/>
    </row>
    <row r="272" ht="15.75" customHeight="1">
      <c r="A272" s="276"/>
      <c r="B272" s="276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  <c r="AK272" s="162"/>
      <c r="AL272" s="162"/>
      <c r="AM272" s="162"/>
      <c r="AN272" s="162"/>
      <c r="AO272" s="162"/>
      <c r="AP272" s="162"/>
      <c r="AQ272" s="162"/>
      <c r="AR272" s="162"/>
    </row>
    <row r="273" ht="15.75" customHeight="1">
      <c r="A273" s="276"/>
      <c r="B273" s="276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  <c r="AK273" s="162"/>
      <c r="AL273" s="162"/>
      <c r="AM273" s="162"/>
      <c r="AN273" s="162"/>
      <c r="AO273" s="162"/>
      <c r="AP273" s="162"/>
      <c r="AQ273" s="162"/>
      <c r="AR273" s="162"/>
    </row>
    <row r="274" ht="15.75" customHeight="1">
      <c r="A274" s="276"/>
      <c r="B274" s="276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  <c r="AK274" s="162"/>
      <c r="AL274" s="162"/>
      <c r="AM274" s="162"/>
      <c r="AN274" s="162"/>
      <c r="AO274" s="162"/>
      <c r="AP274" s="162"/>
      <c r="AQ274" s="162"/>
      <c r="AR274" s="162"/>
    </row>
    <row r="275" ht="15.75" customHeight="1">
      <c r="A275" s="276"/>
      <c r="B275" s="276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  <c r="AK275" s="162"/>
      <c r="AL275" s="162"/>
      <c r="AM275" s="162"/>
      <c r="AN275" s="162"/>
      <c r="AO275" s="162"/>
      <c r="AP275" s="162"/>
      <c r="AQ275" s="162"/>
      <c r="AR275" s="162"/>
    </row>
    <row r="276" ht="15.75" customHeight="1">
      <c r="A276" s="276"/>
      <c r="B276" s="276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  <c r="AK276" s="162"/>
      <c r="AL276" s="162"/>
      <c r="AM276" s="162"/>
      <c r="AN276" s="162"/>
      <c r="AO276" s="162"/>
      <c r="AP276" s="162"/>
      <c r="AQ276" s="162"/>
      <c r="AR276" s="162"/>
    </row>
    <row r="277" ht="15.75" customHeight="1">
      <c r="A277" s="276"/>
      <c r="B277" s="276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  <c r="AK277" s="162"/>
      <c r="AL277" s="162"/>
      <c r="AM277" s="162"/>
      <c r="AN277" s="162"/>
      <c r="AO277" s="162"/>
      <c r="AP277" s="162"/>
      <c r="AQ277" s="162"/>
      <c r="AR277" s="162"/>
    </row>
    <row r="278" ht="15.75" customHeight="1">
      <c r="A278" s="276"/>
      <c r="B278" s="276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  <c r="AK278" s="162"/>
      <c r="AL278" s="162"/>
      <c r="AM278" s="162"/>
      <c r="AN278" s="162"/>
      <c r="AO278" s="162"/>
      <c r="AP278" s="162"/>
      <c r="AQ278" s="162"/>
      <c r="AR278" s="162"/>
    </row>
    <row r="279" ht="15.75" customHeight="1">
      <c r="A279" s="276"/>
      <c r="B279" s="276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  <c r="AK279" s="162"/>
      <c r="AL279" s="162"/>
      <c r="AM279" s="162"/>
      <c r="AN279" s="162"/>
      <c r="AO279" s="162"/>
      <c r="AP279" s="162"/>
      <c r="AQ279" s="162"/>
      <c r="AR279" s="162"/>
    </row>
    <row r="280" ht="15.75" customHeight="1">
      <c r="A280" s="276"/>
      <c r="B280" s="276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  <c r="AK280" s="162"/>
      <c r="AL280" s="162"/>
      <c r="AM280" s="162"/>
      <c r="AN280" s="162"/>
      <c r="AO280" s="162"/>
      <c r="AP280" s="162"/>
      <c r="AQ280" s="162"/>
      <c r="AR280" s="162"/>
    </row>
    <row r="281" ht="15.75" customHeight="1">
      <c r="A281" s="276"/>
      <c r="B281" s="276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  <c r="AK281" s="162"/>
      <c r="AL281" s="162"/>
      <c r="AM281" s="162"/>
      <c r="AN281" s="162"/>
      <c r="AO281" s="162"/>
      <c r="AP281" s="162"/>
      <c r="AQ281" s="162"/>
      <c r="AR281" s="162"/>
    </row>
    <row r="282" ht="15.75" customHeight="1">
      <c r="A282" s="276"/>
      <c r="B282" s="276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  <c r="AK282" s="162"/>
      <c r="AL282" s="162"/>
      <c r="AM282" s="162"/>
      <c r="AN282" s="162"/>
      <c r="AO282" s="162"/>
      <c r="AP282" s="162"/>
      <c r="AQ282" s="162"/>
      <c r="AR282" s="162"/>
    </row>
    <row r="283" ht="15.75" customHeight="1">
      <c r="A283" s="276"/>
      <c r="B283" s="276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  <c r="AK283" s="162"/>
      <c r="AL283" s="162"/>
      <c r="AM283" s="162"/>
      <c r="AN283" s="162"/>
      <c r="AO283" s="162"/>
      <c r="AP283" s="162"/>
      <c r="AQ283" s="162"/>
      <c r="AR283" s="162"/>
    </row>
    <row r="284" ht="15.75" customHeight="1">
      <c r="A284" s="276"/>
      <c r="B284" s="276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  <c r="AK284" s="162"/>
      <c r="AL284" s="162"/>
      <c r="AM284" s="162"/>
      <c r="AN284" s="162"/>
      <c r="AO284" s="162"/>
      <c r="AP284" s="162"/>
      <c r="AQ284" s="162"/>
      <c r="AR284" s="162"/>
    </row>
    <row r="285" ht="15.75" customHeight="1">
      <c r="A285" s="276"/>
      <c r="B285" s="276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  <c r="AK285" s="162"/>
      <c r="AL285" s="162"/>
      <c r="AM285" s="162"/>
      <c r="AN285" s="162"/>
      <c r="AO285" s="162"/>
      <c r="AP285" s="162"/>
      <c r="AQ285" s="162"/>
      <c r="AR285" s="162"/>
    </row>
    <row r="286" ht="15.75" customHeight="1">
      <c r="A286" s="276"/>
      <c r="B286" s="276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  <c r="AK286" s="162"/>
      <c r="AL286" s="162"/>
      <c r="AM286" s="162"/>
      <c r="AN286" s="162"/>
      <c r="AO286" s="162"/>
      <c r="AP286" s="162"/>
      <c r="AQ286" s="162"/>
      <c r="AR286" s="162"/>
    </row>
    <row r="287" ht="15.75" customHeight="1">
      <c r="A287" s="276"/>
      <c r="B287" s="276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  <c r="AK287" s="162"/>
      <c r="AL287" s="162"/>
      <c r="AM287" s="162"/>
      <c r="AN287" s="162"/>
      <c r="AO287" s="162"/>
      <c r="AP287" s="162"/>
      <c r="AQ287" s="162"/>
      <c r="AR287" s="162"/>
    </row>
    <row r="288" ht="15.75" customHeight="1">
      <c r="A288" s="276"/>
      <c r="B288" s="276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  <c r="AK288" s="162"/>
      <c r="AL288" s="162"/>
      <c r="AM288" s="162"/>
      <c r="AN288" s="162"/>
      <c r="AO288" s="162"/>
      <c r="AP288" s="162"/>
      <c r="AQ288" s="162"/>
      <c r="AR288" s="162"/>
    </row>
    <row r="289" ht="15.75" customHeight="1">
      <c r="A289" s="276"/>
      <c r="B289" s="276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  <c r="AK289" s="162"/>
      <c r="AL289" s="162"/>
      <c r="AM289" s="162"/>
      <c r="AN289" s="162"/>
      <c r="AO289" s="162"/>
      <c r="AP289" s="162"/>
      <c r="AQ289" s="162"/>
      <c r="AR289" s="162"/>
    </row>
    <row r="290" ht="15.75" customHeight="1">
      <c r="A290" s="276"/>
      <c r="B290" s="276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  <c r="AK290" s="162"/>
      <c r="AL290" s="162"/>
      <c r="AM290" s="162"/>
      <c r="AN290" s="162"/>
      <c r="AO290" s="162"/>
      <c r="AP290" s="162"/>
      <c r="AQ290" s="162"/>
      <c r="AR290" s="162"/>
    </row>
    <row r="291" ht="15.75" customHeight="1">
      <c r="A291" s="276"/>
      <c r="B291" s="276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  <c r="AK291" s="162"/>
      <c r="AL291" s="162"/>
      <c r="AM291" s="162"/>
      <c r="AN291" s="162"/>
      <c r="AO291" s="162"/>
      <c r="AP291" s="162"/>
      <c r="AQ291" s="162"/>
      <c r="AR291" s="162"/>
    </row>
    <row r="292" ht="15.75" customHeight="1">
      <c r="A292" s="276"/>
      <c r="B292" s="276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  <c r="AK292" s="162"/>
      <c r="AL292" s="162"/>
      <c r="AM292" s="162"/>
      <c r="AN292" s="162"/>
      <c r="AO292" s="162"/>
      <c r="AP292" s="162"/>
      <c r="AQ292" s="162"/>
      <c r="AR292" s="162"/>
    </row>
    <row r="293" ht="15.75" customHeight="1">
      <c r="A293" s="276"/>
      <c r="B293" s="276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  <c r="AK293" s="162"/>
      <c r="AL293" s="162"/>
      <c r="AM293" s="162"/>
      <c r="AN293" s="162"/>
      <c r="AO293" s="162"/>
      <c r="AP293" s="162"/>
      <c r="AQ293" s="162"/>
      <c r="AR293" s="162"/>
    </row>
    <row r="294" ht="15.75" customHeight="1">
      <c r="A294" s="276"/>
      <c r="B294" s="276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  <c r="AK294" s="162"/>
      <c r="AL294" s="162"/>
      <c r="AM294" s="162"/>
      <c r="AN294" s="162"/>
      <c r="AO294" s="162"/>
      <c r="AP294" s="162"/>
      <c r="AQ294" s="162"/>
      <c r="AR294" s="162"/>
    </row>
    <row r="295" ht="15.75" customHeight="1">
      <c r="A295" s="276"/>
      <c r="B295" s="276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  <c r="AK295" s="162"/>
      <c r="AL295" s="162"/>
      <c r="AM295" s="162"/>
      <c r="AN295" s="162"/>
      <c r="AO295" s="162"/>
      <c r="AP295" s="162"/>
      <c r="AQ295" s="162"/>
      <c r="AR295" s="162"/>
    </row>
    <row r="296" ht="15.75" customHeight="1">
      <c r="A296" s="276"/>
      <c r="B296" s="276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  <c r="AK296" s="162"/>
      <c r="AL296" s="162"/>
      <c r="AM296" s="162"/>
      <c r="AN296" s="162"/>
      <c r="AO296" s="162"/>
      <c r="AP296" s="162"/>
      <c r="AQ296" s="162"/>
      <c r="AR296" s="162"/>
    </row>
    <row r="297" ht="15.75" customHeight="1">
      <c r="A297" s="276"/>
      <c r="B297" s="276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  <c r="AK297" s="162"/>
      <c r="AL297" s="162"/>
      <c r="AM297" s="162"/>
      <c r="AN297" s="162"/>
      <c r="AO297" s="162"/>
      <c r="AP297" s="162"/>
      <c r="AQ297" s="162"/>
      <c r="AR297" s="162"/>
    </row>
    <row r="298" ht="15.75" customHeight="1">
      <c r="A298" s="276"/>
      <c r="B298" s="276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  <c r="AK298" s="162"/>
      <c r="AL298" s="162"/>
      <c r="AM298" s="162"/>
      <c r="AN298" s="162"/>
      <c r="AO298" s="162"/>
      <c r="AP298" s="162"/>
      <c r="AQ298" s="162"/>
      <c r="AR298" s="162"/>
    </row>
    <row r="299" ht="15.75" customHeight="1">
      <c r="A299" s="276"/>
      <c r="B299" s="276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  <c r="AK299" s="162"/>
      <c r="AL299" s="162"/>
      <c r="AM299" s="162"/>
      <c r="AN299" s="162"/>
      <c r="AO299" s="162"/>
      <c r="AP299" s="162"/>
      <c r="AQ299" s="162"/>
      <c r="AR299" s="162"/>
    </row>
    <row r="300" ht="15.75" customHeight="1">
      <c r="A300" s="276"/>
      <c r="B300" s="276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  <c r="AK300" s="162"/>
      <c r="AL300" s="162"/>
      <c r="AM300" s="162"/>
      <c r="AN300" s="162"/>
      <c r="AO300" s="162"/>
      <c r="AP300" s="162"/>
      <c r="AQ300" s="162"/>
      <c r="AR300" s="162"/>
    </row>
    <row r="301" ht="15.75" customHeight="1">
      <c r="A301" s="276"/>
      <c r="B301" s="276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  <c r="AK301" s="162"/>
      <c r="AL301" s="162"/>
      <c r="AM301" s="162"/>
      <c r="AN301" s="162"/>
      <c r="AO301" s="162"/>
      <c r="AP301" s="162"/>
      <c r="AQ301" s="162"/>
      <c r="AR301" s="162"/>
    </row>
    <row r="302" ht="15.75" customHeight="1">
      <c r="A302" s="276"/>
      <c r="B302" s="276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  <c r="AK302" s="162"/>
      <c r="AL302" s="162"/>
      <c r="AM302" s="162"/>
      <c r="AN302" s="162"/>
      <c r="AO302" s="162"/>
      <c r="AP302" s="162"/>
      <c r="AQ302" s="162"/>
      <c r="AR302" s="162"/>
    </row>
    <row r="303" ht="15.75" customHeight="1">
      <c r="A303" s="276"/>
      <c r="B303" s="276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  <c r="AK303" s="162"/>
      <c r="AL303" s="162"/>
      <c r="AM303" s="162"/>
      <c r="AN303" s="162"/>
      <c r="AO303" s="162"/>
      <c r="AP303" s="162"/>
      <c r="AQ303" s="162"/>
      <c r="AR303" s="162"/>
    </row>
    <row r="304" ht="15.75" customHeight="1">
      <c r="A304" s="276"/>
      <c r="B304" s="276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  <c r="AK304" s="162"/>
      <c r="AL304" s="162"/>
      <c r="AM304" s="162"/>
      <c r="AN304" s="162"/>
      <c r="AO304" s="162"/>
      <c r="AP304" s="162"/>
      <c r="AQ304" s="162"/>
      <c r="AR304" s="162"/>
    </row>
    <row r="305" ht="15.75" customHeight="1">
      <c r="A305" s="276"/>
      <c r="B305" s="276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  <c r="AK305" s="162"/>
      <c r="AL305" s="162"/>
      <c r="AM305" s="162"/>
      <c r="AN305" s="162"/>
      <c r="AO305" s="162"/>
      <c r="AP305" s="162"/>
      <c r="AQ305" s="162"/>
      <c r="AR305" s="162"/>
    </row>
    <row r="306" ht="15.75" customHeight="1">
      <c r="A306" s="276"/>
      <c r="B306" s="276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  <c r="AK306" s="162"/>
      <c r="AL306" s="162"/>
      <c r="AM306" s="162"/>
      <c r="AN306" s="162"/>
      <c r="AO306" s="162"/>
      <c r="AP306" s="162"/>
      <c r="AQ306" s="162"/>
      <c r="AR306" s="162"/>
    </row>
    <row r="307" ht="15.75" customHeight="1">
      <c r="A307" s="276"/>
      <c r="B307" s="276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  <c r="AK307" s="162"/>
      <c r="AL307" s="162"/>
      <c r="AM307" s="162"/>
      <c r="AN307" s="162"/>
      <c r="AO307" s="162"/>
      <c r="AP307" s="162"/>
      <c r="AQ307" s="162"/>
      <c r="AR307" s="162"/>
    </row>
    <row r="308" ht="15.75" customHeight="1">
      <c r="A308" s="276"/>
      <c r="B308" s="276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  <c r="AK308" s="162"/>
      <c r="AL308" s="162"/>
      <c r="AM308" s="162"/>
      <c r="AN308" s="162"/>
      <c r="AO308" s="162"/>
      <c r="AP308" s="162"/>
      <c r="AQ308" s="162"/>
      <c r="AR308" s="162"/>
    </row>
    <row r="309" ht="15.75" customHeight="1">
      <c r="A309" s="276"/>
      <c r="B309" s="276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  <c r="AK309" s="162"/>
      <c r="AL309" s="162"/>
      <c r="AM309" s="162"/>
      <c r="AN309" s="162"/>
      <c r="AO309" s="162"/>
      <c r="AP309" s="162"/>
      <c r="AQ309" s="162"/>
      <c r="AR309" s="162"/>
    </row>
    <row r="310" ht="15.75" customHeight="1">
      <c r="A310" s="276"/>
      <c r="B310" s="276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  <c r="AK310" s="162"/>
      <c r="AL310" s="162"/>
      <c r="AM310" s="162"/>
      <c r="AN310" s="162"/>
      <c r="AO310" s="162"/>
      <c r="AP310" s="162"/>
      <c r="AQ310" s="162"/>
      <c r="AR310" s="162"/>
    </row>
    <row r="311" ht="15.75" customHeight="1">
      <c r="A311" s="276"/>
      <c r="B311" s="276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  <c r="AK311" s="162"/>
      <c r="AL311" s="162"/>
      <c r="AM311" s="162"/>
      <c r="AN311" s="162"/>
      <c r="AO311" s="162"/>
      <c r="AP311" s="162"/>
      <c r="AQ311" s="162"/>
      <c r="AR311" s="162"/>
    </row>
    <row r="312" ht="15.75" customHeight="1">
      <c r="A312" s="276"/>
      <c r="B312" s="276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  <c r="AK312" s="162"/>
      <c r="AL312" s="162"/>
      <c r="AM312" s="162"/>
      <c r="AN312" s="162"/>
      <c r="AO312" s="162"/>
      <c r="AP312" s="162"/>
      <c r="AQ312" s="162"/>
      <c r="AR312" s="162"/>
    </row>
    <row r="313" ht="15.75" customHeight="1">
      <c r="A313" s="276"/>
      <c r="B313" s="276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  <c r="AK313" s="162"/>
      <c r="AL313" s="162"/>
      <c r="AM313" s="162"/>
      <c r="AN313" s="162"/>
      <c r="AO313" s="162"/>
      <c r="AP313" s="162"/>
      <c r="AQ313" s="162"/>
      <c r="AR313" s="162"/>
    </row>
    <row r="314" ht="15.75" customHeight="1">
      <c r="A314" s="276"/>
      <c r="B314" s="276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  <c r="AK314" s="162"/>
      <c r="AL314" s="162"/>
      <c r="AM314" s="162"/>
      <c r="AN314" s="162"/>
      <c r="AO314" s="162"/>
      <c r="AP314" s="162"/>
      <c r="AQ314" s="162"/>
      <c r="AR314" s="162"/>
    </row>
    <row r="315" ht="15.75" customHeight="1">
      <c r="A315" s="276"/>
      <c r="B315" s="276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  <c r="AK315" s="162"/>
      <c r="AL315" s="162"/>
      <c r="AM315" s="162"/>
      <c r="AN315" s="162"/>
      <c r="AO315" s="162"/>
      <c r="AP315" s="162"/>
      <c r="AQ315" s="162"/>
      <c r="AR315" s="162"/>
    </row>
    <row r="316" ht="15.75" customHeight="1">
      <c r="A316" s="276"/>
      <c r="B316" s="276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  <c r="AK316" s="162"/>
      <c r="AL316" s="162"/>
      <c r="AM316" s="162"/>
      <c r="AN316" s="162"/>
      <c r="AO316" s="162"/>
      <c r="AP316" s="162"/>
      <c r="AQ316" s="162"/>
      <c r="AR316" s="162"/>
    </row>
    <row r="317" ht="15.75" customHeight="1">
      <c r="A317" s="276"/>
      <c r="B317" s="276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  <c r="AK317" s="162"/>
      <c r="AL317" s="162"/>
      <c r="AM317" s="162"/>
      <c r="AN317" s="162"/>
      <c r="AO317" s="162"/>
      <c r="AP317" s="162"/>
      <c r="AQ317" s="162"/>
      <c r="AR317" s="162"/>
    </row>
    <row r="318" ht="15.75" customHeight="1">
      <c r="A318" s="276"/>
      <c r="B318" s="276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  <c r="AK318" s="162"/>
      <c r="AL318" s="162"/>
      <c r="AM318" s="162"/>
      <c r="AN318" s="162"/>
      <c r="AO318" s="162"/>
      <c r="AP318" s="162"/>
      <c r="AQ318" s="162"/>
      <c r="AR318" s="162"/>
    </row>
    <row r="319" ht="15.75" customHeight="1">
      <c r="A319" s="276"/>
      <c r="B319" s="276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  <c r="AK319" s="162"/>
      <c r="AL319" s="162"/>
      <c r="AM319" s="162"/>
      <c r="AN319" s="162"/>
      <c r="AO319" s="162"/>
      <c r="AP319" s="162"/>
      <c r="AQ319" s="162"/>
      <c r="AR319" s="162"/>
    </row>
    <row r="320" ht="15.75" customHeight="1">
      <c r="A320" s="276"/>
      <c r="B320" s="276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  <c r="AK320" s="162"/>
      <c r="AL320" s="162"/>
      <c r="AM320" s="162"/>
      <c r="AN320" s="162"/>
      <c r="AO320" s="162"/>
      <c r="AP320" s="162"/>
      <c r="AQ320" s="162"/>
      <c r="AR320" s="162"/>
    </row>
    <row r="321" ht="15.75" customHeight="1">
      <c r="A321" s="276"/>
      <c r="B321" s="276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  <c r="AK321" s="162"/>
      <c r="AL321" s="162"/>
      <c r="AM321" s="162"/>
      <c r="AN321" s="162"/>
      <c r="AO321" s="162"/>
      <c r="AP321" s="162"/>
      <c r="AQ321" s="162"/>
      <c r="AR321" s="162"/>
    </row>
    <row r="322" ht="15.75" customHeight="1">
      <c r="A322" s="276"/>
      <c r="B322" s="276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  <c r="AK322" s="162"/>
      <c r="AL322" s="162"/>
      <c r="AM322" s="162"/>
      <c r="AN322" s="162"/>
      <c r="AO322" s="162"/>
      <c r="AP322" s="162"/>
      <c r="AQ322" s="162"/>
      <c r="AR322" s="162"/>
    </row>
    <row r="323" ht="15.75" customHeight="1">
      <c r="A323" s="276"/>
      <c r="B323" s="276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  <c r="AK323" s="162"/>
      <c r="AL323" s="162"/>
      <c r="AM323" s="162"/>
      <c r="AN323" s="162"/>
      <c r="AO323" s="162"/>
      <c r="AP323" s="162"/>
      <c r="AQ323" s="162"/>
      <c r="AR323" s="162"/>
    </row>
    <row r="324" ht="15.75" customHeight="1">
      <c r="A324" s="276"/>
      <c r="B324" s="276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  <c r="AK324" s="162"/>
      <c r="AL324" s="162"/>
      <c r="AM324" s="162"/>
      <c r="AN324" s="162"/>
      <c r="AO324" s="162"/>
      <c r="AP324" s="162"/>
      <c r="AQ324" s="162"/>
      <c r="AR324" s="162"/>
    </row>
    <row r="325" ht="15.75" customHeight="1">
      <c r="A325" s="276"/>
      <c r="B325" s="276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  <c r="AK325" s="162"/>
      <c r="AL325" s="162"/>
      <c r="AM325" s="162"/>
      <c r="AN325" s="162"/>
      <c r="AO325" s="162"/>
      <c r="AP325" s="162"/>
      <c r="AQ325" s="162"/>
      <c r="AR325" s="162"/>
    </row>
    <row r="326" ht="15.75" customHeight="1">
      <c r="A326" s="276"/>
      <c r="B326" s="276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  <c r="AK326" s="162"/>
      <c r="AL326" s="162"/>
      <c r="AM326" s="162"/>
      <c r="AN326" s="162"/>
      <c r="AO326" s="162"/>
      <c r="AP326" s="162"/>
      <c r="AQ326" s="162"/>
      <c r="AR326" s="162"/>
    </row>
    <row r="327" ht="15.75" customHeight="1">
      <c r="A327" s="276"/>
      <c r="B327" s="276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  <c r="AK327" s="162"/>
      <c r="AL327" s="162"/>
      <c r="AM327" s="162"/>
      <c r="AN327" s="162"/>
      <c r="AO327" s="162"/>
      <c r="AP327" s="162"/>
      <c r="AQ327" s="162"/>
      <c r="AR327" s="162"/>
    </row>
    <row r="328" ht="15.75" customHeight="1">
      <c r="A328" s="276"/>
      <c r="B328" s="276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  <c r="AK328" s="162"/>
      <c r="AL328" s="162"/>
      <c r="AM328" s="162"/>
      <c r="AN328" s="162"/>
      <c r="AO328" s="162"/>
      <c r="AP328" s="162"/>
      <c r="AQ328" s="162"/>
      <c r="AR328" s="162"/>
    </row>
    <row r="329" ht="15.75" customHeight="1">
      <c r="A329" s="276"/>
      <c r="B329" s="276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  <c r="AK329" s="162"/>
      <c r="AL329" s="162"/>
      <c r="AM329" s="162"/>
      <c r="AN329" s="162"/>
      <c r="AO329" s="162"/>
      <c r="AP329" s="162"/>
      <c r="AQ329" s="162"/>
      <c r="AR329" s="162"/>
    </row>
    <row r="330" ht="15.75" customHeight="1">
      <c r="A330" s="276"/>
      <c r="B330" s="276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  <c r="AK330" s="162"/>
      <c r="AL330" s="162"/>
      <c r="AM330" s="162"/>
      <c r="AN330" s="162"/>
      <c r="AO330" s="162"/>
      <c r="AP330" s="162"/>
      <c r="AQ330" s="162"/>
      <c r="AR330" s="162"/>
    </row>
    <row r="331" ht="15.75" customHeight="1">
      <c r="A331" s="276"/>
      <c r="B331" s="276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  <c r="AK331" s="162"/>
      <c r="AL331" s="162"/>
      <c r="AM331" s="162"/>
      <c r="AN331" s="162"/>
      <c r="AO331" s="162"/>
      <c r="AP331" s="162"/>
      <c r="AQ331" s="162"/>
      <c r="AR331" s="162"/>
    </row>
    <row r="332" ht="15.75" customHeight="1">
      <c r="A332" s="276"/>
      <c r="B332" s="276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  <c r="AK332" s="162"/>
      <c r="AL332" s="162"/>
      <c r="AM332" s="162"/>
      <c r="AN332" s="162"/>
      <c r="AO332" s="162"/>
      <c r="AP332" s="162"/>
      <c r="AQ332" s="162"/>
      <c r="AR332" s="162"/>
    </row>
    <row r="333" ht="15.75" customHeight="1">
      <c r="A333" s="276"/>
      <c r="B333" s="276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  <c r="AK333" s="162"/>
      <c r="AL333" s="162"/>
      <c r="AM333" s="162"/>
      <c r="AN333" s="162"/>
      <c r="AO333" s="162"/>
      <c r="AP333" s="162"/>
      <c r="AQ333" s="162"/>
      <c r="AR333" s="162"/>
    </row>
    <row r="334" ht="15.75" customHeight="1">
      <c r="A334" s="276"/>
      <c r="B334" s="276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  <c r="AK334" s="162"/>
      <c r="AL334" s="162"/>
      <c r="AM334" s="162"/>
      <c r="AN334" s="162"/>
      <c r="AO334" s="162"/>
      <c r="AP334" s="162"/>
      <c r="AQ334" s="162"/>
      <c r="AR334" s="162"/>
    </row>
    <row r="335" ht="15.75" customHeight="1">
      <c r="A335" s="276"/>
      <c r="B335" s="276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  <c r="AK335" s="162"/>
      <c r="AL335" s="162"/>
      <c r="AM335" s="162"/>
      <c r="AN335" s="162"/>
      <c r="AO335" s="162"/>
      <c r="AP335" s="162"/>
      <c r="AQ335" s="162"/>
      <c r="AR335" s="162"/>
    </row>
    <row r="336" ht="15.75" customHeight="1">
      <c r="A336" s="276"/>
      <c r="B336" s="276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  <c r="AK336" s="162"/>
      <c r="AL336" s="162"/>
      <c r="AM336" s="162"/>
      <c r="AN336" s="162"/>
      <c r="AO336" s="162"/>
      <c r="AP336" s="162"/>
      <c r="AQ336" s="162"/>
      <c r="AR336" s="162"/>
    </row>
    <row r="337" ht="15.75" customHeight="1">
      <c r="A337" s="276"/>
      <c r="B337" s="276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  <c r="AK337" s="162"/>
      <c r="AL337" s="162"/>
      <c r="AM337" s="162"/>
      <c r="AN337" s="162"/>
      <c r="AO337" s="162"/>
      <c r="AP337" s="162"/>
      <c r="AQ337" s="162"/>
      <c r="AR337" s="162"/>
    </row>
    <row r="338" ht="15.75" customHeight="1">
      <c r="A338" s="276"/>
      <c r="B338" s="276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  <c r="AK338" s="162"/>
      <c r="AL338" s="162"/>
      <c r="AM338" s="162"/>
      <c r="AN338" s="162"/>
      <c r="AO338" s="162"/>
      <c r="AP338" s="162"/>
      <c r="AQ338" s="162"/>
      <c r="AR338" s="162"/>
    </row>
    <row r="339" ht="15.75" customHeight="1">
      <c r="A339" s="276"/>
      <c r="B339" s="276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  <c r="AK339" s="162"/>
      <c r="AL339" s="162"/>
      <c r="AM339" s="162"/>
      <c r="AN339" s="162"/>
      <c r="AO339" s="162"/>
      <c r="AP339" s="162"/>
      <c r="AQ339" s="162"/>
      <c r="AR339" s="162"/>
    </row>
    <row r="340" ht="15.75" customHeight="1">
      <c r="A340" s="276"/>
      <c r="B340" s="276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  <c r="AK340" s="162"/>
      <c r="AL340" s="162"/>
      <c r="AM340" s="162"/>
      <c r="AN340" s="162"/>
      <c r="AO340" s="162"/>
      <c r="AP340" s="162"/>
      <c r="AQ340" s="162"/>
      <c r="AR340" s="162"/>
    </row>
    <row r="341" ht="15.75" customHeight="1">
      <c r="A341" s="276"/>
      <c r="B341" s="276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  <c r="AK341" s="162"/>
      <c r="AL341" s="162"/>
      <c r="AM341" s="162"/>
      <c r="AN341" s="162"/>
      <c r="AO341" s="162"/>
      <c r="AP341" s="162"/>
      <c r="AQ341" s="162"/>
      <c r="AR341" s="162"/>
    </row>
    <row r="342" ht="15.75" customHeight="1">
      <c r="A342" s="276"/>
      <c r="B342" s="276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  <c r="AK342" s="162"/>
      <c r="AL342" s="162"/>
      <c r="AM342" s="162"/>
      <c r="AN342" s="162"/>
      <c r="AO342" s="162"/>
      <c r="AP342" s="162"/>
      <c r="AQ342" s="162"/>
      <c r="AR342" s="162"/>
    </row>
    <row r="343" ht="15.75" customHeight="1">
      <c r="A343" s="276"/>
      <c r="B343" s="276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  <c r="AK343" s="162"/>
      <c r="AL343" s="162"/>
      <c r="AM343" s="162"/>
      <c r="AN343" s="162"/>
      <c r="AO343" s="162"/>
      <c r="AP343" s="162"/>
      <c r="AQ343" s="162"/>
      <c r="AR343" s="162"/>
    </row>
    <row r="344" ht="15.75" customHeight="1">
      <c r="A344" s="276"/>
      <c r="B344" s="276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  <c r="AK344" s="162"/>
      <c r="AL344" s="162"/>
      <c r="AM344" s="162"/>
      <c r="AN344" s="162"/>
      <c r="AO344" s="162"/>
      <c r="AP344" s="162"/>
      <c r="AQ344" s="162"/>
      <c r="AR344" s="162"/>
    </row>
    <row r="345" ht="15.75" customHeight="1">
      <c r="A345" s="276"/>
      <c r="B345" s="276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  <c r="AK345" s="162"/>
      <c r="AL345" s="162"/>
      <c r="AM345" s="162"/>
      <c r="AN345" s="162"/>
      <c r="AO345" s="162"/>
      <c r="AP345" s="162"/>
      <c r="AQ345" s="162"/>
      <c r="AR345" s="162"/>
    </row>
    <row r="346" ht="15.75" customHeight="1">
      <c r="A346" s="276"/>
      <c r="B346" s="276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  <c r="AK346" s="162"/>
      <c r="AL346" s="162"/>
      <c r="AM346" s="162"/>
      <c r="AN346" s="162"/>
      <c r="AO346" s="162"/>
      <c r="AP346" s="162"/>
      <c r="AQ346" s="162"/>
      <c r="AR346" s="162"/>
    </row>
    <row r="347" ht="15.75" customHeight="1">
      <c r="A347" s="276"/>
      <c r="B347" s="276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  <c r="AK347" s="162"/>
      <c r="AL347" s="162"/>
      <c r="AM347" s="162"/>
      <c r="AN347" s="162"/>
      <c r="AO347" s="162"/>
      <c r="AP347" s="162"/>
      <c r="AQ347" s="162"/>
      <c r="AR347" s="162"/>
    </row>
    <row r="348" ht="15.75" customHeight="1">
      <c r="A348" s="276"/>
      <c r="B348" s="276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  <c r="AK348" s="162"/>
      <c r="AL348" s="162"/>
      <c r="AM348" s="162"/>
      <c r="AN348" s="162"/>
      <c r="AO348" s="162"/>
      <c r="AP348" s="162"/>
      <c r="AQ348" s="162"/>
      <c r="AR348" s="162"/>
    </row>
    <row r="349" ht="15.75" customHeight="1">
      <c r="A349" s="276"/>
      <c r="B349" s="276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  <c r="AK349" s="162"/>
      <c r="AL349" s="162"/>
      <c r="AM349" s="162"/>
      <c r="AN349" s="162"/>
      <c r="AO349" s="162"/>
      <c r="AP349" s="162"/>
      <c r="AQ349" s="162"/>
      <c r="AR349" s="162"/>
    </row>
    <row r="350" ht="15.75" customHeight="1">
      <c r="A350" s="276"/>
      <c r="B350" s="276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  <c r="AK350" s="162"/>
      <c r="AL350" s="162"/>
      <c r="AM350" s="162"/>
      <c r="AN350" s="162"/>
      <c r="AO350" s="162"/>
      <c r="AP350" s="162"/>
      <c r="AQ350" s="162"/>
      <c r="AR350" s="162"/>
    </row>
    <row r="351" ht="15.75" customHeight="1">
      <c r="A351" s="276"/>
      <c r="B351" s="276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  <c r="AK351" s="162"/>
      <c r="AL351" s="162"/>
      <c r="AM351" s="162"/>
      <c r="AN351" s="162"/>
      <c r="AO351" s="162"/>
      <c r="AP351" s="162"/>
      <c r="AQ351" s="162"/>
      <c r="AR351" s="162"/>
    </row>
    <row r="352" ht="15.75" customHeight="1">
      <c r="A352" s="276"/>
      <c r="B352" s="276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  <c r="AK352" s="162"/>
      <c r="AL352" s="162"/>
      <c r="AM352" s="162"/>
      <c r="AN352" s="162"/>
      <c r="AO352" s="162"/>
      <c r="AP352" s="162"/>
      <c r="AQ352" s="162"/>
      <c r="AR352" s="162"/>
    </row>
    <row r="353" ht="15.75" customHeight="1">
      <c r="A353" s="276"/>
      <c r="B353" s="276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  <c r="AK353" s="162"/>
      <c r="AL353" s="162"/>
      <c r="AM353" s="162"/>
      <c r="AN353" s="162"/>
      <c r="AO353" s="162"/>
      <c r="AP353" s="162"/>
      <c r="AQ353" s="162"/>
      <c r="AR353" s="162"/>
    </row>
    <row r="354" ht="15.75" customHeight="1">
      <c r="A354" s="276"/>
      <c r="B354" s="276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  <c r="AK354" s="162"/>
      <c r="AL354" s="162"/>
      <c r="AM354" s="162"/>
      <c r="AN354" s="162"/>
      <c r="AO354" s="162"/>
      <c r="AP354" s="162"/>
      <c r="AQ354" s="162"/>
      <c r="AR354" s="162"/>
    </row>
    <row r="355" ht="15.75" customHeight="1">
      <c r="A355" s="276"/>
      <c r="B355" s="276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  <c r="AK355" s="162"/>
      <c r="AL355" s="162"/>
      <c r="AM355" s="162"/>
      <c r="AN355" s="162"/>
      <c r="AO355" s="162"/>
      <c r="AP355" s="162"/>
      <c r="AQ355" s="162"/>
      <c r="AR355" s="162"/>
    </row>
    <row r="356" ht="15.75" customHeight="1">
      <c r="A356" s="276"/>
      <c r="B356" s="276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  <c r="AK356" s="162"/>
      <c r="AL356" s="162"/>
      <c r="AM356" s="162"/>
      <c r="AN356" s="162"/>
      <c r="AO356" s="162"/>
      <c r="AP356" s="162"/>
      <c r="AQ356" s="162"/>
      <c r="AR356" s="162"/>
    </row>
    <row r="357" ht="15.75" customHeight="1">
      <c r="A357" s="276"/>
      <c r="B357" s="276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  <c r="AK357" s="162"/>
      <c r="AL357" s="162"/>
      <c r="AM357" s="162"/>
      <c r="AN357" s="162"/>
      <c r="AO357" s="162"/>
      <c r="AP357" s="162"/>
      <c r="AQ357" s="162"/>
      <c r="AR357" s="162"/>
    </row>
    <row r="358" ht="15.75" customHeight="1">
      <c r="A358" s="276"/>
      <c r="B358" s="276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  <c r="AK358" s="162"/>
      <c r="AL358" s="162"/>
      <c r="AM358" s="162"/>
      <c r="AN358" s="162"/>
      <c r="AO358" s="162"/>
      <c r="AP358" s="162"/>
      <c r="AQ358" s="162"/>
      <c r="AR358" s="162"/>
    </row>
    <row r="359" ht="15.75" customHeight="1">
      <c r="A359" s="276"/>
      <c r="B359" s="276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  <c r="AK359" s="162"/>
      <c r="AL359" s="162"/>
      <c r="AM359" s="162"/>
      <c r="AN359" s="162"/>
      <c r="AO359" s="162"/>
      <c r="AP359" s="162"/>
      <c r="AQ359" s="162"/>
      <c r="AR359" s="162"/>
    </row>
    <row r="360" ht="15.75" customHeight="1">
      <c r="A360" s="276"/>
      <c r="B360" s="276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  <c r="AK360" s="162"/>
      <c r="AL360" s="162"/>
      <c r="AM360" s="162"/>
      <c r="AN360" s="162"/>
      <c r="AO360" s="162"/>
      <c r="AP360" s="162"/>
      <c r="AQ360" s="162"/>
      <c r="AR360" s="162"/>
    </row>
    <row r="361" ht="15.75" customHeight="1">
      <c r="A361" s="276"/>
      <c r="B361" s="276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  <c r="AK361" s="162"/>
      <c r="AL361" s="162"/>
      <c r="AM361" s="162"/>
      <c r="AN361" s="162"/>
      <c r="AO361" s="162"/>
      <c r="AP361" s="162"/>
      <c r="AQ361" s="162"/>
      <c r="AR361" s="162"/>
    </row>
    <row r="362" ht="15.75" customHeight="1">
      <c r="A362" s="276"/>
      <c r="B362" s="276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  <c r="AK362" s="162"/>
      <c r="AL362" s="162"/>
      <c r="AM362" s="162"/>
      <c r="AN362" s="162"/>
      <c r="AO362" s="162"/>
      <c r="AP362" s="162"/>
      <c r="AQ362" s="162"/>
      <c r="AR362" s="162"/>
    </row>
    <row r="363" ht="15.75" customHeight="1">
      <c r="A363" s="276"/>
      <c r="B363" s="276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  <c r="AK363" s="162"/>
      <c r="AL363" s="162"/>
      <c r="AM363" s="162"/>
      <c r="AN363" s="162"/>
      <c r="AO363" s="162"/>
      <c r="AP363" s="162"/>
      <c r="AQ363" s="162"/>
      <c r="AR363" s="162"/>
    </row>
    <row r="364" ht="15.75" customHeight="1">
      <c r="A364" s="276"/>
      <c r="B364" s="276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  <c r="AK364" s="162"/>
      <c r="AL364" s="162"/>
      <c r="AM364" s="162"/>
      <c r="AN364" s="162"/>
      <c r="AO364" s="162"/>
      <c r="AP364" s="162"/>
      <c r="AQ364" s="162"/>
      <c r="AR364" s="162"/>
    </row>
    <row r="365" ht="15.75" customHeight="1">
      <c r="A365" s="276"/>
      <c r="B365" s="276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  <c r="AK365" s="162"/>
      <c r="AL365" s="162"/>
      <c r="AM365" s="162"/>
      <c r="AN365" s="162"/>
      <c r="AO365" s="162"/>
      <c r="AP365" s="162"/>
      <c r="AQ365" s="162"/>
      <c r="AR365" s="162"/>
    </row>
    <row r="366" ht="15.75" customHeight="1">
      <c r="A366" s="276"/>
      <c r="B366" s="276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  <c r="AK366" s="162"/>
      <c r="AL366" s="162"/>
      <c r="AM366" s="162"/>
      <c r="AN366" s="162"/>
      <c r="AO366" s="162"/>
      <c r="AP366" s="162"/>
      <c r="AQ366" s="162"/>
      <c r="AR366" s="162"/>
    </row>
    <row r="367" ht="15.75" customHeight="1">
      <c r="A367" s="276"/>
      <c r="B367" s="276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  <c r="AK367" s="162"/>
      <c r="AL367" s="162"/>
      <c r="AM367" s="162"/>
      <c r="AN367" s="162"/>
      <c r="AO367" s="162"/>
      <c r="AP367" s="162"/>
      <c r="AQ367" s="162"/>
      <c r="AR367" s="162"/>
    </row>
    <row r="368" ht="15.75" customHeight="1">
      <c r="A368" s="276"/>
      <c r="B368" s="276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  <c r="AK368" s="162"/>
      <c r="AL368" s="162"/>
      <c r="AM368" s="162"/>
      <c r="AN368" s="162"/>
      <c r="AO368" s="162"/>
      <c r="AP368" s="162"/>
      <c r="AQ368" s="162"/>
      <c r="AR368" s="162"/>
    </row>
    <row r="369" ht="15.75" customHeight="1">
      <c r="A369" s="276"/>
      <c r="B369" s="276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  <c r="AK369" s="162"/>
      <c r="AL369" s="162"/>
      <c r="AM369" s="162"/>
      <c r="AN369" s="162"/>
      <c r="AO369" s="162"/>
      <c r="AP369" s="162"/>
      <c r="AQ369" s="162"/>
      <c r="AR369" s="162"/>
    </row>
  </sheetData>
  <autoFilter ref="$A$5:$AI$57"/>
  <mergeCells count="13">
    <mergeCell ref="H2:H3"/>
    <mergeCell ref="I2:I3"/>
    <mergeCell ref="J2:L2"/>
    <mergeCell ref="M2:AE2"/>
    <mergeCell ref="AG2:AG3"/>
    <mergeCell ref="AH2:AI2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ErrorMessage="1" sqref="AF6:AF57">
      <formula1>"A  INICIAR en DGV,En CURSO en DGV,COMPLETO en DGV,APROBADO por TC"</formula1>
    </dataValidation>
    <dataValidation type="list" allowBlank="1" showDropDown="1" showErrorMessage="1" sqref="E6:E57">
      <formula1>"M,C"</formula1>
    </dataValidation>
    <dataValidation type="list" allowBlank="1" showErrorMessage="1" sqref="M7:P57 AA7:AE57">
      <formula1>"Sin Presentar,En Evaluaciòn Tècnica,A completar por M/C,A corregir por M/C,En Evaluaciòn Jurìdico,Completo OK"</formula1>
    </dataValidation>
    <dataValidation type="list" allowBlank="1" showDropDown="1" showInputMessage="1" showErrorMessage="1" prompt="Haz clic e introduce un valor de la lista de elementos" sqref="AI6:AI26 AI30:AI31 AI34 AI40:AI57">
      <formula1>"Técnica DGV,Jurídico DGV,Económico DGV,Privada DGV,Tribunal de Cuentas,Aprobado TC"</formula1>
    </dataValidation>
    <dataValidation type="list" allowBlank="1" showErrorMessage="1" sqref="M6:P6 AA6:AE6">
      <formula1>"Sin Presentar ,En Evaluaciòn Tècnica,A corregir por M/C,En Evaluaciòn Jurìdico,Completo OK"</formula1>
    </dataValidation>
    <dataValidation type="list" allowBlank="1" showErrorMessage="1" sqref="Q6:Z57">
      <formula1>"Sin Presentar ,En Evaluaciòn Tècnica,A corregir por M/C,Completo OK"</formula1>
    </dataValidation>
    <dataValidation type="list" allowBlank="1" showDropDown="1" showErrorMessage="1" sqref="A6:A57">
      <formula1>Validaciones!$A$30:$A$577</formula1>
    </dataValidation>
    <dataValidation type="list" allowBlank="1" showDropDown="1" showErrorMessage="1" sqref="B6:B57">
      <formula1>Validaciones!$A$2:$A$27</formula1>
    </dataValidation>
  </dataValidations>
  <hyperlinks>
    <hyperlink r:id="rId2" ref="H6"/>
    <hyperlink r:id="rId3" ref="H8"/>
    <hyperlink r:id="rId4" ref="H9"/>
    <hyperlink r:id="rId5" ref="H13"/>
    <hyperlink r:id="rId6" ref="H14"/>
    <hyperlink r:id="rId7" ref="H16"/>
    <hyperlink r:id="rId8" ref="I16"/>
    <hyperlink r:id="rId9" ref="H26"/>
  </hyperlinks>
  <printOptions horizontalCentered="1"/>
  <pageMargins bottom="0.5118110236220472" footer="0.0" header="0.0" left="0.35433070866141736" right="0.5511811023622047" top="0.5118110236220472"/>
  <pageSetup fitToHeight="0" paperSize="8" orientation="portrait"/>
  <drawing r:id="rId10"/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3.29"/>
  </cols>
  <sheetData>
    <row r="2">
      <c r="A2" s="7" t="s">
        <v>376</v>
      </c>
    </row>
    <row r="24">
      <c r="A24" s="278" t="str">
        <f>'Base TOTAL'!AF3</f>
        <v>ESTADO DEL EXPEDIENTE DE LA LOCALIDAD</v>
      </c>
    </row>
    <row r="26">
      <c r="A26" s="7" t="s">
        <v>180</v>
      </c>
      <c r="B26" s="278">
        <f>COUNTIF('Base TOTAL'!AF:AF, A26)</f>
        <v>16</v>
      </c>
    </row>
    <row r="27">
      <c r="A27" s="7" t="s">
        <v>82</v>
      </c>
      <c r="B27" s="278">
        <f>COUNTIF('Base TOTAL'!AF:AF, A27)</f>
        <v>19</v>
      </c>
    </row>
    <row r="28">
      <c r="A28" s="7" t="s">
        <v>64</v>
      </c>
      <c r="B28" s="278">
        <f>COUNTIF('Base TOTAL'!AF:AF, A28)</f>
        <v>9</v>
      </c>
    </row>
    <row r="29">
      <c r="A29" s="7" t="s">
        <v>142</v>
      </c>
      <c r="B29" s="278">
        <f>COUNTIF('Base TOTAL'!AF:AF, A29)</f>
        <v>2</v>
      </c>
    </row>
    <row r="36">
      <c r="A36" s="7" t="s">
        <v>377</v>
      </c>
    </row>
    <row r="38">
      <c r="A38" s="7" t="s">
        <v>84</v>
      </c>
      <c r="B38" s="278">
        <f>COUNTIF('Base TOTAL'!AI:AI, A38)</f>
        <v>18</v>
      </c>
    </row>
    <row r="39">
      <c r="A39" s="7" t="s">
        <v>101</v>
      </c>
      <c r="B39" s="278">
        <f>COUNTIF('Base TOTAL'!AI:AI, A39)</f>
        <v>4</v>
      </c>
    </row>
    <row r="40">
      <c r="A40" s="7" t="s">
        <v>378</v>
      </c>
      <c r="B40" s="278">
        <f>COUNTIF('Base TOTAL'!AI:AI, A40)</f>
        <v>0</v>
      </c>
    </row>
    <row r="41">
      <c r="A41" s="7" t="s">
        <v>379</v>
      </c>
      <c r="B41" s="278">
        <f>COUNTIF('Base TOTAL'!AI:AI, A41)</f>
        <v>0</v>
      </c>
    </row>
    <row r="42">
      <c r="A42" s="7" t="s">
        <v>151</v>
      </c>
      <c r="B42" s="278">
        <f>COUNTIF('Base TOTAL'!AI:AI, A42)</f>
        <v>4</v>
      </c>
    </row>
    <row r="43">
      <c r="A43" s="7" t="s">
        <v>144</v>
      </c>
      <c r="B43" s="278">
        <f>COUNTIF('Base TOTAL'!AI:AI, A43)</f>
        <v>2</v>
      </c>
    </row>
    <row r="48">
      <c r="A48" s="7" t="s">
        <v>380</v>
      </c>
    </row>
    <row r="50">
      <c r="A50" s="7" t="s">
        <v>122</v>
      </c>
      <c r="B50" s="278">
        <f>COUNTIF('Base TOTAL'!P:P, A50)</f>
        <v>18</v>
      </c>
    </row>
    <row r="51">
      <c r="A51" s="7" t="s">
        <v>326</v>
      </c>
      <c r="B51" s="278">
        <f>COUNTIF('Base TOTAL'!P:P, A51)</f>
        <v>1</v>
      </c>
    </row>
    <row r="52">
      <c r="A52" s="7" t="s">
        <v>78</v>
      </c>
      <c r="B52" s="278">
        <f>COUNTIF('Base TOTAL'!P:P, A52)</f>
        <v>13</v>
      </c>
    </row>
    <row r="53">
      <c r="A53" s="7" t="s">
        <v>78</v>
      </c>
      <c r="B53" s="278">
        <f>COUNTIF('Base TOTAL'!P:P, A53)</f>
        <v>13</v>
      </c>
    </row>
    <row r="54">
      <c r="A54" s="7" t="s">
        <v>80</v>
      </c>
      <c r="B54" s="278">
        <f>COUNTIF('Base TOTAL'!P:P, A54)</f>
        <v>13</v>
      </c>
    </row>
    <row r="55">
      <c r="A55" s="7" t="s">
        <v>79</v>
      </c>
      <c r="B55" s="278">
        <f>COUNTIF('Base TOTAL'!P:P, A55)</f>
        <v>1</v>
      </c>
    </row>
    <row r="56">
      <c r="A56" s="7" t="s">
        <v>80</v>
      </c>
      <c r="B56" s="278">
        <f>COUNTIF('Base TOTAL'!P:P, A56)</f>
        <v>13</v>
      </c>
    </row>
  </sheetData>
  <mergeCells count="4">
    <mergeCell ref="A2:G2"/>
    <mergeCell ref="A24:G24"/>
    <mergeCell ref="A36:G36"/>
    <mergeCell ref="A48:G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6.57"/>
    <col hidden="1" min="3" max="3" width="14.43"/>
    <col customWidth="1" hidden="1" min="4" max="4" width="41.43"/>
    <col customWidth="1" min="5" max="5" width="9.14"/>
    <col customWidth="1" hidden="1" min="6" max="6" width="22.14"/>
    <col hidden="1" min="7" max="9" width="14.43"/>
    <col customWidth="1" min="10" max="10" width="37.14"/>
    <col customWidth="1" min="11" max="11" width="21.71"/>
    <col customWidth="1" hidden="1" min="12" max="12" width="31.0"/>
    <col hidden="1" min="13" max="13" width="14.43"/>
    <col customWidth="1" hidden="1" min="14" max="14" width="25.86"/>
    <col hidden="1" min="15" max="15" width="14.43"/>
  </cols>
  <sheetData>
    <row r="1">
      <c r="A1" s="279" t="s">
        <v>381</v>
      </c>
      <c r="B1" s="280" t="s">
        <v>382</v>
      </c>
      <c r="C1" s="281" t="s">
        <v>383</v>
      </c>
      <c r="D1" s="281" t="s">
        <v>384</v>
      </c>
      <c r="E1" s="280" t="s">
        <v>385</v>
      </c>
      <c r="F1" s="280" t="s">
        <v>386</v>
      </c>
      <c r="G1" s="280" t="s">
        <v>387</v>
      </c>
      <c r="H1" s="280" t="s">
        <v>388</v>
      </c>
      <c r="I1" s="280" t="s">
        <v>389</v>
      </c>
      <c r="J1" s="282" t="s">
        <v>390</v>
      </c>
      <c r="K1" s="283" t="s">
        <v>387</v>
      </c>
      <c r="L1" s="283" t="s">
        <v>391</v>
      </c>
      <c r="M1" s="283" t="s">
        <v>392</v>
      </c>
      <c r="N1" s="283" t="s">
        <v>393</v>
      </c>
      <c r="O1" s="284"/>
      <c r="P1" s="284"/>
      <c r="Q1" s="284"/>
      <c r="R1" s="284"/>
      <c r="S1" s="284"/>
      <c r="T1" s="284"/>
      <c r="U1" s="284"/>
      <c r="V1" s="284"/>
      <c r="W1" s="284"/>
      <c r="X1" s="284"/>
    </row>
    <row r="2">
      <c r="A2" s="285" t="s">
        <v>267</v>
      </c>
      <c r="B2" s="286" t="s">
        <v>394</v>
      </c>
      <c r="C2" s="287">
        <v>228.0</v>
      </c>
      <c r="D2" s="288" t="s">
        <v>395</v>
      </c>
      <c r="E2" s="289" t="s">
        <v>73</v>
      </c>
      <c r="F2" s="290" t="s">
        <v>396</v>
      </c>
      <c r="G2" s="289" t="s">
        <v>397</v>
      </c>
      <c r="H2" s="291" t="s">
        <v>398</v>
      </c>
      <c r="I2" s="292"/>
      <c r="J2" s="25" t="s">
        <v>399</v>
      </c>
      <c r="K2" s="27" t="s">
        <v>400</v>
      </c>
      <c r="L2" s="292"/>
      <c r="M2" s="27" t="s">
        <v>401</v>
      </c>
      <c r="N2" s="293" t="s">
        <v>402</v>
      </c>
      <c r="O2" s="284"/>
      <c r="P2" s="284"/>
      <c r="Q2" s="284"/>
      <c r="R2" s="284"/>
      <c r="S2" s="284"/>
      <c r="T2" s="284"/>
      <c r="U2" s="284"/>
      <c r="V2" s="284"/>
      <c r="W2" s="284"/>
      <c r="X2" s="284"/>
    </row>
    <row r="3">
      <c r="A3" s="285" t="s">
        <v>267</v>
      </c>
      <c r="B3" s="286" t="s">
        <v>403</v>
      </c>
      <c r="C3" s="287">
        <v>75.0</v>
      </c>
      <c r="D3" s="288" t="s">
        <v>404</v>
      </c>
      <c r="E3" s="289" t="s">
        <v>73</v>
      </c>
      <c r="F3" s="290" t="s">
        <v>396</v>
      </c>
      <c r="G3" s="289">
        <v>3.58436854E9</v>
      </c>
      <c r="H3" s="286" t="s">
        <v>405</v>
      </c>
      <c r="I3" s="289" t="s">
        <v>389</v>
      </c>
      <c r="J3" s="25" t="s">
        <v>406</v>
      </c>
      <c r="K3" s="27">
        <v>3.58436854E9</v>
      </c>
      <c r="L3" s="292"/>
      <c r="M3" s="294"/>
      <c r="N3" s="295" t="s">
        <v>407</v>
      </c>
      <c r="O3" s="284"/>
      <c r="P3" s="284"/>
      <c r="Q3" s="284"/>
      <c r="R3" s="284"/>
      <c r="S3" s="284"/>
      <c r="T3" s="284"/>
      <c r="U3" s="284"/>
      <c r="V3" s="284"/>
      <c r="W3" s="284"/>
      <c r="X3" s="284"/>
    </row>
    <row r="4">
      <c r="A4" s="285" t="s">
        <v>267</v>
      </c>
      <c r="B4" s="286" t="s">
        <v>408</v>
      </c>
      <c r="C4" s="287">
        <v>9107.0</v>
      </c>
      <c r="D4" s="288" t="s">
        <v>409</v>
      </c>
      <c r="E4" s="289" t="s">
        <v>96</v>
      </c>
      <c r="F4" s="290" t="s">
        <v>396</v>
      </c>
      <c r="G4" s="289" t="s">
        <v>410</v>
      </c>
      <c r="H4" s="291" t="s">
        <v>411</v>
      </c>
      <c r="I4" s="292"/>
      <c r="J4" s="25" t="s">
        <v>412</v>
      </c>
      <c r="K4" s="27">
        <v>3.571526135E9</v>
      </c>
      <c r="L4" s="292"/>
      <c r="M4" s="294"/>
      <c r="N4" s="295" t="s">
        <v>407</v>
      </c>
      <c r="O4" s="284"/>
      <c r="P4" s="284"/>
      <c r="Q4" s="284"/>
      <c r="R4" s="284"/>
      <c r="S4" s="284"/>
      <c r="T4" s="284"/>
      <c r="U4" s="284"/>
      <c r="V4" s="284"/>
      <c r="W4" s="284"/>
      <c r="X4" s="284"/>
    </row>
    <row r="5">
      <c r="A5" s="285" t="s">
        <v>267</v>
      </c>
      <c r="B5" s="286" t="s">
        <v>413</v>
      </c>
      <c r="C5" s="287">
        <v>1551.0</v>
      </c>
      <c r="D5" s="288" t="s">
        <v>414</v>
      </c>
      <c r="E5" s="289" t="s">
        <v>96</v>
      </c>
      <c r="F5" s="296" t="s">
        <v>415</v>
      </c>
      <c r="G5" s="289" t="s">
        <v>416</v>
      </c>
      <c r="H5" s="291" t="s">
        <v>417</v>
      </c>
      <c r="I5" s="292"/>
      <c r="J5" s="25" t="s">
        <v>418</v>
      </c>
      <c r="K5" s="27">
        <v>3.546435663E9</v>
      </c>
      <c r="L5" s="292"/>
      <c r="M5" s="27" t="s">
        <v>401</v>
      </c>
      <c r="N5" s="297" t="s">
        <v>419</v>
      </c>
      <c r="O5" s="284"/>
      <c r="P5" s="284"/>
      <c r="Q5" s="284"/>
      <c r="R5" s="284"/>
      <c r="S5" s="284"/>
      <c r="T5" s="284"/>
      <c r="U5" s="284"/>
      <c r="V5" s="284"/>
      <c r="W5" s="284"/>
      <c r="X5" s="284"/>
    </row>
    <row r="6">
      <c r="A6" s="285" t="s">
        <v>267</v>
      </c>
      <c r="B6" s="286" t="s">
        <v>420</v>
      </c>
      <c r="C6" s="287">
        <v>776.0</v>
      </c>
      <c r="D6" s="288" t="s">
        <v>421</v>
      </c>
      <c r="E6" s="289" t="s">
        <v>73</v>
      </c>
      <c r="F6" s="290" t="s">
        <v>396</v>
      </c>
      <c r="G6" s="289" t="s">
        <v>422</v>
      </c>
      <c r="H6" s="291" t="s">
        <v>423</v>
      </c>
      <c r="I6" s="292"/>
      <c r="J6" s="25" t="s">
        <v>424</v>
      </c>
      <c r="K6" s="27">
        <v>3.546418707E9</v>
      </c>
      <c r="L6" s="298" t="s">
        <v>425</v>
      </c>
      <c r="M6" s="27" t="s">
        <v>401</v>
      </c>
      <c r="N6" s="299" t="s">
        <v>426</v>
      </c>
      <c r="O6" s="284"/>
      <c r="P6" s="284"/>
      <c r="Q6" s="284"/>
      <c r="R6" s="284"/>
      <c r="S6" s="284"/>
      <c r="T6" s="284"/>
      <c r="U6" s="284"/>
      <c r="V6" s="284"/>
      <c r="W6" s="284"/>
      <c r="X6" s="284"/>
    </row>
    <row r="7">
      <c r="A7" s="285" t="s">
        <v>267</v>
      </c>
      <c r="B7" s="286" t="s">
        <v>427</v>
      </c>
      <c r="C7" s="287">
        <v>141.0</v>
      </c>
      <c r="D7" s="288" t="s">
        <v>428</v>
      </c>
      <c r="E7" s="289" t="s">
        <v>73</v>
      </c>
      <c r="F7" s="296" t="s">
        <v>415</v>
      </c>
      <c r="G7" s="289">
        <v>3.54744885E9</v>
      </c>
      <c r="H7" s="286" t="s">
        <v>429</v>
      </c>
      <c r="I7" s="289" t="s">
        <v>389</v>
      </c>
      <c r="J7" s="25" t="s">
        <v>430</v>
      </c>
      <c r="K7" s="27">
        <v>3.54744885E9</v>
      </c>
      <c r="L7" s="292"/>
      <c r="M7" s="27" t="s">
        <v>401</v>
      </c>
      <c r="N7" s="297" t="s">
        <v>419</v>
      </c>
      <c r="O7" s="284"/>
      <c r="P7" s="284"/>
      <c r="Q7" s="284"/>
      <c r="R7" s="284"/>
      <c r="S7" s="284"/>
      <c r="T7" s="284"/>
      <c r="U7" s="284"/>
      <c r="V7" s="284"/>
      <c r="W7" s="284"/>
      <c r="X7" s="284"/>
    </row>
    <row r="8">
      <c r="A8" s="285" t="s">
        <v>267</v>
      </c>
      <c r="B8" s="286" t="s">
        <v>431</v>
      </c>
      <c r="C8" s="287">
        <v>268.0</v>
      </c>
      <c r="D8" s="288" t="s">
        <v>432</v>
      </c>
      <c r="E8" s="289" t="s">
        <v>73</v>
      </c>
      <c r="F8" s="293" t="s">
        <v>433</v>
      </c>
      <c r="G8" s="289">
        <v>3.584284463E9</v>
      </c>
      <c r="H8" s="286" t="s">
        <v>434</v>
      </c>
      <c r="I8" s="27" t="s">
        <v>389</v>
      </c>
      <c r="J8" s="25" t="s">
        <v>435</v>
      </c>
      <c r="K8" s="27">
        <v>3.584284463E9</v>
      </c>
      <c r="L8" s="292"/>
      <c r="M8" s="294"/>
      <c r="N8" s="290" t="s">
        <v>407</v>
      </c>
      <c r="O8" s="284"/>
      <c r="P8" s="284"/>
      <c r="Q8" s="284"/>
      <c r="R8" s="284"/>
      <c r="S8" s="284"/>
      <c r="T8" s="284"/>
      <c r="U8" s="284"/>
      <c r="V8" s="284"/>
      <c r="W8" s="284"/>
      <c r="X8" s="284"/>
    </row>
    <row r="9">
      <c r="A9" s="285" t="s">
        <v>267</v>
      </c>
      <c r="B9" s="286" t="s">
        <v>436</v>
      </c>
      <c r="C9" s="287">
        <v>2964.0</v>
      </c>
      <c r="D9" s="288" t="s">
        <v>437</v>
      </c>
      <c r="E9" s="289" t="s">
        <v>96</v>
      </c>
      <c r="F9" s="296" t="s">
        <v>415</v>
      </c>
      <c r="G9" s="289">
        <v>3.57155652E9</v>
      </c>
      <c r="H9" s="291" t="s">
        <v>438</v>
      </c>
      <c r="I9" s="292"/>
      <c r="J9" s="25" t="s">
        <v>439</v>
      </c>
      <c r="K9" s="27">
        <v>3.57168443E9</v>
      </c>
      <c r="L9" s="292"/>
      <c r="M9" s="292"/>
      <c r="N9" s="297" t="s">
        <v>419</v>
      </c>
      <c r="O9" s="284"/>
      <c r="P9" s="284"/>
      <c r="Q9" s="284"/>
      <c r="R9" s="284"/>
      <c r="S9" s="284"/>
      <c r="T9" s="284"/>
      <c r="U9" s="284"/>
      <c r="V9" s="284"/>
      <c r="W9" s="284"/>
      <c r="X9" s="284"/>
    </row>
    <row r="10">
      <c r="A10" s="285" t="s">
        <v>267</v>
      </c>
      <c r="B10" s="286" t="s">
        <v>440</v>
      </c>
      <c r="C10" s="287">
        <v>338.0</v>
      </c>
      <c r="D10" s="288" t="s">
        <v>441</v>
      </c>
      <c r="E10" s="289" t="s">
        <v>73</v>
      </c>
      <c r="F10" s="290" t="s">
        <v>396</v>
      </c>
      <c r="G10" s="289">
        <v>3.547578388E9</v>
      </c>
      <c r="H10" s="291" t="s">
        <v>442</v>
      </c>
      <c r="I10" s="292"/>
      <c r="J10" s="25" t="s">
        <v>443</v>
      </c>
      <c r="K10" s="27">
        <v>3.547468628E9</v>
      </c>
      <c r="L10" s="292"/>
      <c r="M10" s="294"/>
      <c r="N10" s="290" t="s">
        <v>407</v>
      </c>
      <c r="O10" s="284"/>
      <c r="P10" s="284"/>
      <c r="Q10" s="284"/>
      <c r="R10" s="284"/>
      <c r="S10" s="284"/>
      <c r="T10" s="284"/>
      <c r="U10" s="284"/>
      <c r="V10" s="284"/>
      <c r="W10" s="284"/>
      <c r="X10" s="284"/>
    </row>
    <row r="11">
      <c r="A11" s="285" t="s">
        <v>267</v>
      </c>
      <c r="B11" s="286" t="s">
        <v>444</v>
      </c>
      <c r="C11" s="287">
        <v>1426.0</v>
      </c>
      <c r="D11" s="288" t="s">
        <v>445</v>
      </c>
      <c r="E11" s="289" t="s">
        <v>73</v>
      </c>
      <c r="F11" s="296" t="s">
        <v>415</v>
      </c>
      <c r="G11" s="289" t="s">
        <v>446</v>
      </c>
      <c r="H11" s="291" t="s">
        <v>447</v>
      </c>
      <c r="I11" s="292"/>
      <c r="J11" s="25" t="s">
        <v>448</v>
      </c>
      <c r="K11" s="27" t="s">
        <v>449</v>
      </c>
      <c r="L11" s="292"/>
      <c r="M11" s="27" t="s">
        <v>401</v>
      </c>
      <c r="N11" s="300" t="s">
        <v>450</v>
      </c>
      <c r="O11" s="284"/>
      <c r="P11" s="284"/>
      <c r="Q11" s="284"/>
      <c r="R11" s="284"/>
      <c r="S11" s="284"/>
      <c r="T11" s="284"/>
      <c r="U11" s="284"/>
      <c r="V11" s="284"/>
      <c r="W11" s="284"/>
      <c r="X11" s="284"/>
    </row>
    <row r="12">
      <c r="A12" s="285" t="s">
        <v>267</v>
      </c>
      <c r="B12" s="286" t="s">
        <v>451</v>
      </c>
      <c r="C12" s="287">
        <v>183.0</v>
      </c>
      <c r="D12" s="288" t="s">
        <v>452</v>
      </c>
      <c r="E12" s="289" t="s">
        <v>73</v>
      </c>
      <c r="F12" s="296" t="s">
        <v>415</v>
      </c>
      <c r="G12" s="289">
        <v>3.546476962E9</v>
      </c>
      <c r="H12" s="291" t="s">
        <v>453</v>
      </c>
      <c r="I12" s="292"/>
      <c r="J12" s="25" t="s">
        <v>454</v>
      </c>
      <c r="K12" s="27">
        <v>3.546476962E9</v>
      </c>
      <c r="L12" s="292"/>
      <c r="M12" s="27" t="s">
        <v>401</v>
      </c>
      <c r="N12" s="297" t="s">
        <v>419</v>
      </c>
      <c r="O12" s="284"/>
      <c r="P12" s="284"/>
      <c r="Q12" s="284"/>
      <c r="R12" s="284"/>
      <c r="S12" s="284"/>
      <c r="T12" s="284"/>
      <c r="U12" s="284"/>
      <c r="V12" s="284"/>
      <c r="W12" s="284"/>
      <c r="X12" s="284"/>
    </row>
    <row r="13">
      <c r="A13" s="285" t="s">
        <v>267</v>
      </c>
      <c r="B13" s="286" t="s">
        <v>455</v>
      </c>
      <c r="C13" s="287">
        <v>74.0</v>
      </c>
      <c r="D13" s="288" t="s">
        <v>456</v>
      </c>
      <c r="E13" s="289" t="s">
        <v>73</v>
      </c>
      <c r="F13" s="290" t="s">
        <v>396</v>
      </c>
      <c r="G13" s="289">
        <v>3.571522973E9</v>
      </c>
      <c r="H13" s="291" t="s">
        <v>457</v>
      </c>
      <c r="I13" s="292"/>
      <c r="J13" s="25" t="s">
        <v>458</v>
      </c>
      <c r="K13" s="27">
        <v>2.964532448E9</v>
      </c>
      <c r="L13" s="292"/>
      <c r="M13" s="292"/>
      <c r="N13" s="297" t="s">
        <v>419</v>
      </c>
      <c r="O13" s="284"/>
      <c r="P13" s="284"/>
      <c r="Q13" s="284"/>
      <c r="R13" s="284"/>
      <c r="S13" s="284"/>
      <c r="T13" s="284"/>
      <c r="U13" s="284"/>
      <c r="V13" s="284"/>
      <c r="W13" s="284"/>
      <c r="X13" s="284"/>
    </row>
    <row r="14">
      <c r="A14" s="285" t="s">
        <v>267</v>
      </c>
      <c r="B14" s="286" t="s">
        <v>459</v>
      </c>
      <c r="C14" s="287">
        <v>1326.0</v>
      </c>
      <c r="D14" s="288" t="s">
        <v>460</v>
      </c>
      <c r="E14" s="289" t="s">
        <v>96</v>
      </c>
      <c r="F14" s="296" t="s">
        <v>415</v>
      </c>
      <c r="G14" s="289" t="s">
        <v>461</v>
      </c>
      <c r="H14" s="291" t="s">
        <v>462</v>
      </c>
      <c r="I14" s="292"/>
      <c r="J14" s="25" t="s">
        <v>463</v>
      </c>
      <c r="K14" s="27">
        <v>3.513472248E9</v>
      </c>
      <c r="L14" s="298" t="s">
        <v>464</v>
      </c>
      <c r="M14" s="27" t="s">
        <v>401</v>
      </c>
      <c r="N14" s="297" t="s">
        <v>419</v>
      </c>
      <c r="O14" s="284"/>
      <c r="P14" s="284"/>
      <c r="Q14" s="284"/>
      <c r="R14" s="284"/>
      <c r="S14" s="284"/>
      <c r="T14" s="284"/>
      <c r="U14" s="284"/>
      <c r="V14" s="284"/>
      <c r="W14" s="284"/>
      <c r="X14" s="284"/>
    </row>
    <row r="15">
      <c r="A15" s="285" t="s">
        <v>267</v>
      </c>
      <c r="B15" s="286" t="s">
        <v>465</v>
      </c>
      <c r="C15" s="287">
        <v>3742.0</v>
      </c>
      <c r="D15" s="288" t="s">
        <v>466</v>
      </c>
      <c r="E15" s="289" t="s">
        <v>96</v>
      </c>
      <c r="F15" s="290" t="s">
        <v>396</v>
      </c>
      <c r="G15" s="289" t="s">
        <v>467</v>
      </c>
      <c r="H15" s="291" t="s">
        <v>468</v>
      </c>
      <c r="I15" s="292"/>
      <c r="J15" s="25" t="s">
        <v>469</v>
      </c>
      <c r="K15" s="27">
        <v>3.415045902E9</v>
      </c>
      <c r="L15" s="292"/>
      <c r="M15" s="292"/>
      <c r="N15" s="297" t="s">
        <v>419</v>
      </c>
      <c r="O15" s="284"/>
      <c r="P15" s="284"/>
      <c r="Q15" s="284"/>
      <c r="R15" s="284"/>
      <c r="S15" s="284"/>
      <c r="T15" s="284"/>
      <c r="U15" s="284"/>
      <c r="V15" s="284"/>
      <c r="W15" s="284"/>
      <c r="X15" s="284"/>
    </row>
    <row r="16">
      <c r="A16" s="285" t="s">
        <v>267</v>
      </c>
      <c r="B16" s="286" t="s">
        <v>470</v>
      </c>
      <c r="C16" s="287">
        <v>247.0</v>
      </c>
      <c r="D16" s="288" t="s">
        <v>471</v>
      </c>
      <c r="E16" s="289" t="s">
        <v>73</v>
      </c>
      <c r="F16" s="290" t="s">
        <v>396</v>
      </c>
      <c r="G16" s="289" t="s">
        <v>472</v>
      </c>
      <c r="H16" s="291" t="s">
        <v>473</v>
      </c>
      <c r="I16" s="292"/>
      <c r="J16" s="25" t="s">
        <v>474</v>
      </c>
      <c r="K16" s="27" t="s">
        <v>475</v>
      </c>
      <c r="L16" s="292"/>
      <c r="M16" s="292"/>
      <c r="N16" s="300" t="s">
        <v>476</v>
      </c>
      <c r="O16" s="284"/>
      <c r="P16" s="284"/>
      <c r="Q16" s="284"/>
      <c r="R16" s="284"/>
      <c r="S16" s="284"/>
      <c r="T16" s="284"/>
      <c r="U16" s="284"/>
      <c r="V16" s="284"/>
      <c r="W16" s="284"/>
      <c r="X16" s="284"/>
    </row>
    <row r="17">
      <c r="A17" s="285" t="s">
        <v>267</v>
      </c>
      <c r="B17" s="286" t="s">
        <v>477</v>
      </c>
      <c r="C17" s="287">
        <v>170.0</v>
      </c>
      <c r="D17" s="288" t="s">
        <v>478</v>
      </c>
      <c r="E17" s="289" t="s">
        <v>73</v>
      </c>
      <c r="F17" s="290" t="s">
        <v>396</v>
      </c>
      <c r="G17" s="289">
        <v>3.571553126E9</v>
      </c>
      <c r="H17" s="301"/>
      <c r="I17" s="292"/>
      <c r="J17" s="25" t="s">
        <v>479</v>
      </c>
      <c r="K17" s="27">
        <v>3.571696164E9</v>
      </c>
      <c r="L17" s="292"/>
      <c r="M17" s="27" t="s">
        <v>401</v>
      </c>
      <c r="N17" s="290" t="s">
        <v>407</v>
      </c>
      <c r="O17" s="284"/>
      <c r="P17" s="284"/>
      <c r="Q17" s="284"/>
      <c r="R17" s="284"/>
      <c r="S17" s="284"/>
      <c r="T17" s="284"/>
      <c r="U17" s="284"/>
      <c r="V17" s="284"/>
      <c r="W17" s="284"/>
      <c r="X17" s="284"/>
    </row>
    <row r="18">
      <c r="A18" s="285" t="s">
        <v>267</v>
      </c>
      <c r="B18" s="286" t="s">
        <v>480</v>
      </c>
      <c r="C18" s="287">
        <v>12830.0</v>
      </c>
      <c r="D18" s="288" t="s">
        <v>481</v>
      </c>
      <c r="E18" s="289" t="s">
        <v>96</v>
      </c>
      <c r="F18" s="290" t="s">
        <v>396</v>
      </c>
      <c r="G18" s="289" t="s">
        <v>482</v>
      </c>
      <c r="H18" s="291" t="s">
        <v>483</v>
      </c>
      <c r="I18" s="292"/>
      <c r="J18" s="25" t="s">
        <v>484</v>
      </c>
      <c r="K18" s="27">
        <v>3.546476477E9</v>
      </c>
      <c r="L18" s="292"/>
      <c r="M18" s="292"/>
      <c r="N18" s="297" t="s">
        <v>419</v>
      </c>
      <c r="O18" s="284"/>
      <c r="P18" s="284"/>
      <c r="Q18" s="284"/>
      <c r="R18" s="284"/>
      <c r="S18" s="284"/>
      <c r="T18" s="284"/>
      <c r="U18" s="284"/>
      <c r="V18" s="284"/>
      <c r="W18" s="284"/>
      <c r="X18" s="284"/>
    </row>
    <row r="19">
      <c r="A19" s="285" t="s">
        <v>267</v>
      </c>
      <c r="B19" s="286" t="s">
        <v>485</v>
      </c>
      <c r="C19" s="287">
        <v>450.0</v>
      </c>
      <c r="D19" s="302" t="s">
        <v>486</v>
      </c>
      <c r="E19" s="303"/>
      <c r="F19" s="290" t="s">
        <v>396</v>
      </c>
      <c r="G19" s="289">
        <v>3.546476644E9</v>
      </c>
      <c r="H19" s="291" t="s">
        <v>487</v>
      </c>
      <c r="I19" s="292"/>
      <c r="J19" s="25" t="s">
        <v>488</v>
      </c>
      <c r="K19" s="27">
        <v>3.54640171E9</v>
      </c>
      <c r="L19" s="292"/>
      <c r="M19" s="27" t="s">
        <v>401</v>
      </c>
      <c r="N19" s="290" t="s">
        <v>407</v>
      </c>
      <c r="O19" s="284"/>
      <c r="P19" s="284"/>
      <c r="Q19" s="284"/>
      <c r="R19" s="284"/>
      <c r="S19" s="284"/>
      <c r="T19" s="284"/>
      <c r="U19" s="284"/>
      <c r="V19" s="284"/>
      <c r="W19" s="284"/>
      <c r="X19" s="284"/>
    </row>
    <row r="20">
      <c r="A20" s="285" t="s">
        <v>267</v>
      </c>
      <c r="B20" s="286" t="s">
        <v>489</v>
      </c>
      <c r="C20" s="287">
        <v>1165.0</v>
      </c>
      <c r="D20" s="288" t="s">
        <v>490</v>
      </c>
      <c r="E20" s="289" t="s">
        <v>73</v>
      </c>
      <c r="F20" s="304" t="s">
        <v>433</v>
      </c>
      <c r="G20" s="289">
        <v>3.546513908E9</v>
      </c>
      <c r="H20" s="291" t="s">
        <v>491</v>
      </c>
      <c r="I20" s="292"/>
      <c r="J20" s="25" t="s">
        <v>492</v>
      </c>
      <c r="K20" s="27" t="s">
        <v>493</v>
      </c>
      <c r="L20" s="292"/>
      <c r="M20" s="292"/>
      <c r="N20" s="300" t="s">
        <v>476</v>
      </c>
      <c r="O20" s="284"/>
      <c r="P20" s="284"/>
      <c r="Q20" s="284"/>
      <c r="R20" s="284"/>
      <c r="S20" s="284"/>
      <c r="T20" s="284"/>
      <c r="U20" s="284"/>
      <c r="V20" s="284"/>
      <c r="W20" s="284"/>
      <c r="X20" s="284"/>
    </row>
    <row r="21">
      <c r="A21" s="285" t="s">
        <v>267</v>
      </c>
      <c r="B21" s="286" t="s">
        <v>494</v>
      </c>
      <c r="C21" s="287">
        <v>3303.0</v>
      </c>
      <c r="D21" s="288" t="s">
        <v>495</v>
      </c>
      <c r="E21" s="289" t="s">
        <v>96</v>
      </c>
      <c r="F21" s="293" t="s">
        <v>433</v>
      </c>
      <c r="G21" s="289">
        <v>1.144050279E9</v>
      </c>
      <c r="H21" s="291" t="s">
        <v>496</v>
      </c>
      <c r="I21" s="292"/>
      <c r="J21" s="25" t="s">
        <v>497</v>
      </c>
      <c r="K21" s="27">
        <v>3.513073324E9</v>
      </c>
      <c r="L21" s="292"/>
      <c r="M21" s="294"/>
      <c r="N21" s="305" t="s">
        <v>498</v>
      </c>
      <c r="O21" s="284"/>
      <c r="P21" s="284"/>
      <c r="Q21" s="284"/>
      <c r="R21" s="284"/>
      <c r="S21" s="284"/>
      <c r="T21" s="284"/>
      <c r="U21" s="284"/>
      <c r="V21" s="284"/>
      <c r="W21" s="284"/>
      <c r="X21" s="284"/>
    </row>
    <row r="22">
      <c r="A22" s="285" t="s">
        <v>267</v>
      </c>
      <c r="B22" s="286" t="s">
        <v>499</v>
      </c>
      <c r="C22" s="287">
        <v>8257.0</v>
      </c>
      <c r="D22" s="288" t="s">
        <v>500</v>
      </c>
      <c r="E22" s="289" t="s">
        <v>96</v>
      </c>
      <c r="F22" s="290" t="s">
        <v>396</v>
      </c>
      <c r="G22" s="289">
        <v>3.516647848E9</v>
      </c>
      <c r="H22" s="286" t="s">
        <v>501</v>
      </c>
      <c r="I22" s="27" t="s">
        <v>389</v>
      </c>
      <c r="J22" s="25" t="s">
        <v>502</v>
      </c>
      <c r="K22" s="27">
        <v>3.516647848E9</v>
      </c>
      <c r="L22" s="292"/>
      <c r="M22" s="294"/>
      <c r="N22" s="290" t="s">
        <v>407</v>
      </c>
      <c r="O22" s="284"/>
      <c r="P22" s="284"/>
      <c r="Q22" s="284"/>
      <c r="R22" s="284"/>
      <c r="S22" s="284"/>
      <c r="T22" s="284"/>
      <c r="U22" s="284"/>
      <c r="V22" s="284"/>
      <c r="W22" s="284"/>
      <c r="X22" s="284"/>
    </row>
    <row r="23">
      <c r="A23" s="285" t="s">
        <v>267</v>
      </c>
      <c r="B23" s="286" t="s">
        <v>503</v>
      </c>
      <c r="C23" s="287">
        <v>79.0</v>
      </c>
      <c r="D23" s="288" t="s">
        <v>504</v>
      </c>
      <c r="E23" s="289" t="s">
        <v>73</v>
      </c>
      <c r="F23" s="290" t="s">
        <v>396</v>
      </c>
      <c r="G23" s="289">
        <v>3.546659609E9</v>
      </c>
      <c r="H23" s="291" t="s">
        <v>505</v>
      </c>
      <c r="I23" s="292"/>
      <c r="J23" s="25" t="s">
        <v>506</v>
      </c>
      <c r="K23" s="27">
        <v>3.546418617E9</v>
      </c>
      <c r="L23" s="292"/>
      <c r="M23" s="292"/>
      <c r="N23" s="297" t="s">
        <v>419</v>
      </c>
      <c r="O23" s="284"/>
      <c r="P23" s="284"/>
      <c r="Q23" s="284"/>
      <c r="R23" s="284"/>
      <c r="S23" s="284"/>
      <c r="T23" s="284"/>
      <c r="U23" s="284"/>
      <c r="V23" s="284"/>
      <c r="W23" s="284"/>
      <c r="X23" s="284"/>
    </row>
    <row r="24">
      <c r="A24" s="285" t="s">
        <v>267</v>
      </c>
      <c r="B24" s="286" t="s">
        <v>507</v>
      </c>
      <c r="C24" s="287">
        <v>2663.0</v>
      </c>
      <c r="D24" s="288" t="s">
        <v>508</v>
      </c>
      <c r="E24" s="289" t="s">
        <v>96</v>
      </c>
      <c r="F24" s="290" t="s">
        <v>509</v>
      </c>
      <c r="G24" s="289">
        <v>3.546514317E9</v>
      </c>
      <c r="H24" s="291" t="s">
        <v>510</v>
      </c>
      <c r="I24" s="292"/>
      <c r="J24" s="25" t="s">
        <v>511</v>
      </c>
      <c r="K24" s="27">
        <v>3.546477887E9</v>
      </c>
      <c r="L24" s="292"/>
      <c r="M24" s="294"/>
      <c r="N24" s="290" t="s">
        <v>407</v>
      </c>
      <c r="O24" s="284"/>
      <c r="P24" s="284"/>
      <c r="Q24" s="284"/>
      <c r="R24" s="284"/>
      <c r="S24" s="284"/>
      <c r="T24" s="284"/>
      <c r="U24" s="284"/>
      <c r="V24" s="284"/>
      <c r="W24" s="284"/>
      <c r="X24" s="284"/>
    </row>
    <row r="25">
      <c r="A25" s="285" t="s">
        <v>267</v>
      </c>
      <c r="B25" s="286" t="s">
        <v>512</v>
      </c>
      <c r="C25" s="287">
        <v>1634.0</v>
      </c>
      <c r="D25" s="288" t="s">
        <v>513</v>
      </c>
      <c r="E25" s="289" t="s">
        <v>96</v>
      </c>
      <c r="F25" s="290" t="s">
        <v>509</v>
      </c>
      <c r="G25" s="289">
        <v>3.516328444E9</v>
      </c>
      <c r="H25" s="291" t="s">
        <v>514</v>
      </c>
      <c r="I25" s="292"/>
      <c r="J25" s="25" t="s">
        <v>515</v>
      </c>
      <c r="K25" s="27">
        <v>3.546520085E9</v>
      </c>
      <c r="L25" s="292"/>
      <c r="M25" s="292"/>
      <c r="N25" s="297" t="s">
        <v>419</v>
      </c>
      <c r="O25" s="284"/>
      <c r="P25" s="284"/>
      <c r="Q25" s="284"/>
      <c r="R25" s="284"/>
      <c r="S25" s="284"/>
      <c r="T25" s="284"/>
      <c r="U25" s="284"/>
      <c r="V25" s="284"/>
      <c r="W25" s="284"/>
      <c r="X25" s="284"/>
    </row>
    <row r="26">
      <c r="A26" s="285" t="s">
        <v>516</v>
      </c>
      <c r="B26" s="286" t="s">
        <v>517</v>
      </c>
      <c r="C26" s="306">
        <v>1329604.0</v>
      </c>
      <c r="D26" s="288" t="s">
        <v>518</v>
      </c>
      <c r="E26" s="289" t="s">
        <v>96</v>
      </c>
      <c r="F26" s="307" t="s">
        <v>396</v>
      </c>
      <c r="G26" s="303"/>
      <c r="H26" s="291" t="s">
        <v>519</v>
      </c>
      <c r="I26" s="292"/>
      <c r="J26" s="25" t="s">
        <v>520</v>
      </c>
      <c r="K26" s="27" t="s">
        <v>521</v>
      </c>
      <c r="L26" s="292"/>
      <c r="M26" s="294"/>
      <c r="N26" s="290" t="s">
        <v>407</v>
      </c>
      <c r="O26" s="284"/>
      <c r="P26" s="284"/>
      <c r="Q26" s="284"/>
      <c r="R26" s="284"/>
      <c r="S26" s="284"/>
      <c r="T26" s="284"/>
      <c r="U26" s="284"/>
      <c r="V26" s="284"/>
      <c r="W26" s="284"/>
      <c r="X26" s="284"/>
    </row>
    <row r="27">
      <c r="A27" s="285" t="s">
        <v>522</v>
      </c>
      <c r="B27" s="286" t="s">
        <v>523</v>
      </c>
      <c r="C27" s="287">
        <v>2.111</v>
      </c>
      <c r="D27" s="288" t="s">
        <v>524</v>
      </c>
      <c r="E27" s="289" t="s">
        <v>96</v>
      </c>
      <c r="F27" s="296" t="s">
        <v>525</v>
      </c>
      <c r="G27" s="289" t="s">
        <v>526</v>
      </c>
      <c r="H27" s="291" t="s">
        <v>527</v>
      </c>
      <c r="I27" s="292"/>
      <c r="J27" s="25" t="s">
        <v>528</v>
      </c>
      <c r="K27" s="27">
        <v>3.525646421E9</v>
      </c>
      <c r="L27" s="292"/>
      <c r="M27" s="294"/>
      <c r="N27" s="290" t="s">
        <v>407</v>
      </c>
      <c r="O27" s="284"/>
      <c r="P27" s="284"/>
      <c r="Q27" s="284"/>
      <c r="R27" s="284"/>
      <c r="S27" s="284"/>
      <c r="T27" s="284"/>
      <c r="U27" s="284"/>
      <c r="V27" s="284"/>
      <c r="W27" s="284"/>
      <c r="X27" s="284"/>
    </row>
    <row r="28">
      <c r="A28" s="285" t="s">
        <v>522</v>
      </c>
      <c r="B28" s="286" t="s">
        <v>529</v>
      </c>
      <c r="C28" s="287">
        <v>20.821</v>
      </c>
      <c r="D28" s="288" t="s">
        <v>530</v>
      </c>
      <c r="E28" s="289" t="s">
        <v>96</v>
      </c>
      <c r="F28" s="290" t="s">
        <v>396</v>
      </c>
      <c r="G28" s="289">
        <v>3.525438532E9</v>
      </c>
      <c r="H28" s="291" t="s">
        <v>531</v>
      </c>
      <c r="I28" s="292"/>
      <c r="J28" s="25" t="s">
        <v>532</v>
      </c>
      <c r="K28" s="27">
        <v>3.525538313E9</v>
      </c>
      <c r="L28" s="292"/>
      <c r="M28" s="27" t="s">
        <v>401</v>
      </c>
      <c r="N28" s="290" t="s">
        <v>407</v>
      </c>
      <c r="O28" s="284"/>
      <c r="P28" s="284"/>
      <c r="Q28" s="284"/>
      <c r="R28" s="284"/>
      <c r="S28" s="284"/>
      <c r="T28" s="284"/>
      <c r="U28" s="284"/>
      <c r="V28" s="284"/>
      <c r="W28" s="284"/>
      <c r="X28" s="284"/>
    </row>
    <row r="29">
      <c r="A29" s="285" t="s">
        <v>522</v>
      </c>
      <c r="B29" s="286" t="s">
        <v>533</v>
      </c>
      <c r="C29" s="287">
        <v>5.342</v>
      </c>
      <c r="D29" s="288" t="s">
        <v>534</v>
      </c>
      <c r="E29" s="289" t="s">
        <v>96</v>
      </c>
      <c r="F29" s="296" t="s">
        <v>415</v>
      </c>
      <c r="G29" s="289">
        <v>3.516164961E9</v>
      </c>
      <c r="H29" s="291" t="s">
        <v>535</v>
      </c>
      <c r="I29" s="292"/>
      <c r="J29" s="25" t="s">
        <v>536</v>
      </c>
      <c r="K29" s="27">
        <v>3.512285554E9</v>
      </c>
      <c r="L29" s="292"/>
      <c r="M29" s="294"/>
      <c r="N29" s="290" t="s">
        <v>407</v>
      </c>
      <c r="O29" s="284"/>
      <c r="P29" s="284"/>
      <c r="Q29" s="284"/>
      <c r="R29" s="284"/>
      <c r="S29" s="284"/>
      <c r="T29" s="284"/>
      <c r="U29" s="284"/>
      <c r="V29" s="284"/>
      <c r="W29" s="284"/>
      <c r="X29" s="284"/>
    </row>
    <row r="30">
      <c r="A30" s="285" t="s">
        <v>522</v>
      </c>
      <c r="B30" s="286" t="s">
        <v>537</v>
      </c>
      <c r="C30" s="287">
        <v>352.0</v>
      </c>
      <c r="D30" s="288" t="s">
        <v>538</v>
      </c>
      <c r="E30" s="289" t="s">
        <v>73</v>
      </c>
      <c r="F30" s="296" t="s">
        <v>415</v>
      </c>
      <c r="G30" s="289">
        <v>3.525435733E9</v>
      </c>
      <c r="H30" s="291" t="s">
        <v>539</v>
      </c>
      <c r="I30" s="292"/>
      <c r="J30" s="25" t="s">
        <v>540</v>
      </c>
      <c r="K30" s="27">
        <v>3.525516738E9</v>
      </c>
      <c r="L30" s="292"/>
      <c r="M30" s="27" t="s">
        <v>401</v>
      </c>
      <c r="N30" s="300" t="s">
        <v>541</v>
      </c>
      <c r="O30" s="284"/>
      <c r="P30" s="284"/>
      <c r="Q30" s="284"/>
      <c r="R30" s="284"/>
      <c r="S30" s="284"/>
      <c r="T30" s="284"/>
      <c r="U30" s="284"/>
      <c r="V30" s="284"/>
      <c r="W30" s="284"/>
      <c r="X30" s="284"/>
    </row>
    <row r="31">
      <c r="A31" s="285" t="s">
        <v>522</v>
      </c>
      <c r="B31" s="286" t="s">
        <v>542</v>
      </c>
      <c r="C31" s="287">
        <v>1.298</v>
      </c>
      <c r="D31" s="288" t="s">
        <v>543</v>
      </c>
      <c r="E31" s="289" t="s">
        <v>73</v>
      </c>
      <c r="F31" s="290" t="s">
        <v>396</v>
      </c>
      <c r="G31" s="289">
        <v>3.525641414E9</v>
      </c>
      <c r="H31" s="286" t="s">
        <v>544</v>
      </c>
      <c r="I31" s="27" t="s">
        <v>389</v>
      </c>
      <c r="J31" s="25" t="s">
        <v>545</v>
      </c>
      <c r="K31" s="27">
        <v>3.525641414E9</v>
      </c>
      <c r="L31" s="292"/>
      <c r="M31" s="294"/>
      <c r="N31" s="290" t="s">
        <v>407</v>
      </c>
      <c r="O31" s="284"/>
      <c r="P31" s="284"/>
      <c r="Q31" s="284"/>
      <c r="R31" s="284"/>
      <c r="S31" s="284"/>
      <c r="T31" s="284"/>
      <c r="U31" s="284"/>
      <c r="V31" s="284"/>
      <c r="W31" s="284"/>
      <c r="X31" s="284"/>
    </row>
    <row r="32">
      <c r="A32" s="285" t="s">
        <v>522</v>
      </c>
      <c r="B32" s="286" t="s">
        <v>546</v>
      </c>
      <c r="C32" s="287">
        <v>2.253</v>
      </c>
      <c r="D32" s="288" t="s">
        <v>547</v>
      </c>
      <c r="E32" s="289" t="s">
        <v>96</v>
      </c>
      <c r="F32" s="290" t="s">
        <v>396</v>
      </c>
      <c r="G32" s="289">
        <v>3.525417542E9</v>
      </c>
      <c r="H32" s="291" t="s">
        <v>548</v>
      </c>
      <c r="I32" s="292"/>
      <c r="J32" s="25" t="s">
        <v>549</v>
      </c>
      <c r="K32" s="27">
        <v>3.525565152E9</v>
      </c>
      <c r="L32" s="292"/>
      <c r="M32" s="294"/>
      <c r="N32" s="290" t="s">
        <v>407</v>
      </c>
      <c r="O32" s="284"/>
      <c r="P32" s="284"/>
      <c r="Q32" s="284"/>
      <c r="R32" s="284"/>
      <c r="S32" s="284"/>
      <c r="T32" s="284"/>
      <c r="U32" s="284"/>
      <c r="V32" s="284"/>
      <c r="W32" s="284"/>
      <c r="X32" s="284"/>
    </row>
    <row r="33">
      <c r="A33" s="285" t="s">
        <v>522</v>
      </c>
      <c r="B33" s="286" t="s">
        <v>550</v>
      </c>
      <c r="C33" s="287">
        <v>12.129</v>
      </c>
      <c r="D33" s="288" t="s">
        <v>551</v>
      </c>
      <c r="E33" s="289" t="s">
        <v>96</v>
      </c>
      <c r="F33" s="296" t="s">
        <v>415</v>
      </c>
      <c r="G33" s="289">
        <v>3.513271941E9</v>
      </c>
      <c r="H33" s="291" t="s">
        <v>552</v>
      </c>
      <c r="I33" s="292"/>
      <c r="J33" s="25" t="s">
        <v>553</v>
      </c>
      <c r="K33" s="27" t="s">
        <v>554</v>
      </c>
      <c r="L33" s="292"/>
      <c r="M33" s="294"/>
      <c r="N33" s="290" t="s">
        <v>407</v>
      </c>
      <c r="O33" s="284"/>
      <c r="P33" s="284"/>
      <c r="Q33" s="284"/>
      <c r="R33" s="284"/>
      <c r="S33" s="284"/>
      <c r="T33" s="284"/>
      <c r="U33" s="284"/>
      <c r="V33" s="284"/>
      <c r="W33" s="284"/>
      <c r="X33" s="284"/>
    </row>
    <row r="34">
      <c r="A34" s="285" t="s">
        <v>522</v>
      </c>
      <c r="B34" s="286" t="s">
        <v>555</v>
      </c>
      <c r="C34" s="287">
        <v>31.864</v>
      </c>
      <c r="D34" s="288" t="s">
        <v>556</v>
      </c>
      <c r="E34" s="289" t="s">
        <v>96</v>
      </c>
      <c r="F34" s="308" t="s">
        <v>557</v>
      </c>
      <c r="G34" s="289">
        <v>3.525535763E9</v>
      </c>
      <c r="H34" s="291" t="s">
        <v>558</v>
      </c>
      <c r="I34" s="292"/>
      <c r="J34" s="25" t="s">
        <v>559</v>
      </c>
      <c r="K34" s="27">
        <v>3.525416244E9</v>
      </c>
      <c r="L34" s="292"/>
      <c r="M34" s="292"/>
      <c r="N34" s="297" t="s">
        <v>419</v>
      </c>
      <c r="O34" s="284"/>
      <c r="P34" s="284"/>
      <c r="Q34" s="284"/>
      <c r="R34" s="284"/>
      <c r="S34" s="284"/>
      <c r="T34" s="284"/>
      <c r="U34" s="284"/>
      <c r="V34" s="284"/>
      <c r="W34" s="284"/>
      <c r="X34" s="284"/>
    </row>
    <row r="35">
      <c r="A35" s="285" t="s">
        <v>560</v>
      </c>
      <c r="B35" s="286" t="s">
        <v>561</v>
      </c>
      <c r="C35" s="287">
        <v>32.227</v>
      </c>
      <c r="D35" s="288" t="s">
        <v>562</v>
      </c>
      <c r="E35" s="289" t="s">
        <v>96</v>
      </c>
      <c r="F35" s="290" t="s">
        <v>396</v>
      </c>
      <c r="G35" s="289">
        <v>3.515730833E9</v>
      </c>
      <c r="H35" s="309" t="s">
        <v>563</v>
      </c>
      <c r="I35" s="292"/>
      <c r="J35" s="25" t="s">
        <v>564</v>
      </c>
      <c r="K35" s="27">
        <v>3.515145928E9</v>
      </c>
      <c r="L35" s="292"/>
      <c r="M35" s="292"/>
      <c r="N35" s="297" t="s">
        <v>419</v>
      </c>
      <c r="O35" s="284"/>
      <c r="P35" s="284"/>
      <c r="Q35" s="284"/>
      <c r="R35" s="284"/>
      <c r="S35" s="284"/>
      <c r="T35" s="284"/>
      <c r="U35" s="284"/>
      <c r="V35" s="284"/>
      <c r="W35" s="284"/>
      <c r="X35" s="284"/>
    </row>
    <row r="36">
      <c r="A36" s="285" t="s">
        <v>522</v>
      </c>
      <c r="B36" s="286" t="s">
        <v>565</v>
      </c>
      <c r="C36" s="287">
        <v>3.234</v>
      </c>
      <c r="D36" s="288" t="s">
        <v>566</v>
      </c>
      <c r="E36" s="289" t="s">
        <v>96</v>
      </c>
      <c r="F36" s="290" t="s">
        <v>396</v>
      </c>
      <c r="G36" s="289">
        <v>3.525644339E9</v>
      </c>
      <c r="H36" s="291" t="s">
        <v>567</v>
      </c>
      <c r="I36" s="292"/>
      <c r="J36" s="25" t="s">
        <v>568</v>
      </c>
      <c r="K36" s="27">
        <v>3.2525480192E10</v>
      </c>
      <c r="L36" s="292"/>
      <c r="M36" s="292"/>
      <c r="N36" s="297" t="s">
        <v>419</v>
      </c>
      <c r="O36" s="284"/>
      <c r="P36" s="284"/>
      <c r="Q36" s="284"/>
      <c r="R36" s="284"/>
      <c r="S36" s="284"/>
      <c r="T36" s="284"/>
      <c r="U36" s="284"/>
      <c r="V36" s="284"/>
      <c r="W36" s="284"/>
      <c r="X36" s="284"/>
    </row>
    <row r="37">
      <c r="A37" s="285" t="s">
        <v>522</v>
      </c>
      <c r="B37" s="286" t="s">
        <v>569</v>
      </c>
      <c r="C37" s="287">
        <v>12.581</v>
      </c>
      <c r="D37" s="288" t="s">
        <v>570</v>
      </c>
      <c r="E37" s="289" t="s">
        <v>96</v>
      </c>
      <c r="F37" s="290" t="s">
        <v>396</v>
      </c>
      <c r="G37" s="289">
        <v>3.513480413E9</v>
      </c>
      <c r="H37" s="286" t="s">
        <v>571</v>
      </c>
      <c r="I37" s="27" t="s">
        <v>389</v>
      </c>
      <c r="J37" s="25" t="s">
        <v>572</v>
      </c>
      <c r="K37" s="27">
        <v>3.513480413E9</v>
      </c>
      <c r="L37" s="292"/>
      <c r="M37" s="294"/>
      <c r="N37" s="290" t="s">
        <v>407</v>
      </c>
      <c r="O37" s="284"/>
      <c r="P37" s="284"/>
      <c r="Q37" s="284"/>
      <c r="R37" s="284"/>
      <c r="S37" s="284"/>
      <c r="T37" s="284"/>
      <c r="U37" s="284"/>
      <c r="V37" s="284"/>
      <c r="W37" s="284"/>
      <c r="X37" s="284"/>
    </row>
    <row r="38">
      <c r="A38" s="285" t="s">
        <v>522</v>
      </c>
      <c r="B38" s="286" t="s">
        <v>573</v>
      </c>
      <c r="C38" s="287">
        <v>10.317</v>
      </c>
      <c r="D38" s="288" t="s">
        <v>574</v>
      </c>
      <c r="E38" s="289" t="s">
        <v>96</v>
      </c>
      <c r="F38" s="296" t="s">
        <v>525</v>
      </c>
      <c r="G38" s="289">
        <v>3.515637428E9</v>
      </c>
      <c r="H38" s="291" t="s">
        <v>575</v>
      </c>
      <c r="I38" s="292"/>
      <c r="J38" s="25" t="s">
        <v>576</v>
      </c>
      <c r="K38" s="27" t="s">
        <v>577</v>
      </c>
      <c r="L38" s="292"/>
      <c r="M38" s="27" t="s">
        <v>401</v>
      </c>
      <c r="N38" s="310" t="s">
        <v>578</v>
      </c>
      <c r="O38" s="284"/>
      <c r="P38" s="284"/>
      <c r="Q38" s="284"/>
      <c r="R38" s="284"/>
      <c r="S38" s="284"/>
      <c r="T38" s="284"/>
      <c r="U38" s="284"/>
      <c r="V38" s="284"/>
      <c r="W38" s="284"/>
      <c r="X38" s="284"/>
    </row>
    <row r="39">
      <c r="A39" s="285" t="s">
        <v>522</v>
      </c>
      <c r="B39" s="286" t="s">
        <v>579</v>
      </c>
      <c r="C39" s="287">
        <v>2.149</v>
      </c>
      <c r="D39" s="288" t="s">
        <v>580</v>
      </c>
      <c r="E39" s="289" t="s">
        <v>73</v>
      </c>
      <c r="F39" s="290" t="s">
        <v>396</v>
      </c>
      <c r="G39" s="289" t="s">
        <v>581</v>
      </c>
      <c r="H39" s="286" t="s">
        <v>582</v>
      </c>
      <c r="I39" s="289" t="s">
        <v>389</v>
      </c>
      <c r="J39" s="25" t="s">
        <v>583</v>
      </c>
      <c r="K39" s="311" t="s">
        <v>581</v>
      </c>
      <c r="L39" s="292"/>
      <c r="M39" s="27" t="s">
        <v>401</v>
      </c>
      <c r="N39" s="290" t="s">
        <v>407</v>
      </c>
      <c r="O39" s="284"/>
      <c r="P39" s="284"/>
      <c r="Q39" s="284"/>
      <c r="R39" s="284"/>
      <c r="S39" s="284"/>
      <c r="T39" s="284"/>
      <c r="U39" s="284"/>
      <c r="V39" s="284"/>
      <c r="W39" s="284"/>
      <c r="X39" s="284"/>
    </row>
    <row r="40">
      <c r="A40" s="285" t="s">
        <v>522</v>
      </c>
      <c r="B40" s="286" t="s">
        <v>584</v>
      </c>
      <c r="C40" s="287">
        <v>20.242</v>
      </c>
      <c r="D40" s="288" t="s">
        <v>585</v>
      </c>
      <c r="E40" s="289" t="s">
        <v>96</v>
      </c>
      <c r="F40" s="290" t="s">
        <v>396</v>
      </c>
      <c r="G40" s="289" t="s">
        <v>586</v>
      </c>
      <c r="H40" s="291" t="s">
        <v>587</v>
      </c>
      <c r="I40" s="292"/>
      <c r="J40" s="25" t="s">
        <v>588</v>
      </c>
      <c r="K40" s="27">
        <v>3.543600844E9</v>
      </c>
      <c r="L40" s="292"/>
      <c r="M40" s="292"/>
      <c r="N40" s="297" t="s">
        <v>419</v>
      </c>
      <c r="O40" s="284"/>
      <c r="P40" s="284"/>
      <c r="Q40" s="284"/>
      <c r="R40" s="284"/>
      <c r="S40" s="284"/>
      <c r="T40" s="284"/>
      <c r="U40" s="284"/>
      <c r="V40" s="284"/>
      <c r="W40" s="284"/>
      <c r="X40" s="284"/>
    </row>
    <row r="41">
      <c r="A41" s="285" t="s">
        <v>522</v>
      </c>
      <c r="B41" s="286" t="s">
        <v>589</v>
      </c>
      <c r="C41" s="287">
        <v>10.606</v>
      </c>
      <c r="D41" s="288" t="s">
        <v>590</v>
      </c>
      <c r="E41" s="289" t="s">
        <v>96</v>
      </c>
      <c r="F41" s="290" t="s">
        <v>396</v>
      </c>
      <c r="G41" s="289">
        <v>3.512038129E9</v>
      </c>
      <c r="H41" s="291" t="s">
        <v>591</v>
      </c>
      <c r="I41" s="292"/>
      <c r="J41" s="25" t="s">
        <v>592</v>
      </c>
      <c r="K41" s="27">
        <v>3.512251529E9</v>
      </c>
      <c r="L41" s="292"/>
      <c r="M41" s="27" t="s">
        <v>401</v>
      </c>
      <c r="N41" s="290" t="s">
        <v>407</v>
      </c>
      <c r="O41" s="284"/>
      <c r="P41" s="284"/>
      <c r="Q41" s="284"/>
      <c r="R41" s="284"/>
      <c r="S41" s="284"/>
      <c r="T41" s="284"/>
      <c r="U41" s="284"/>
      <c r="V41" s="284"/>
      <c r="W41" s="284"/>
      <c r="X41" s="284"/>
    </row>
    <row r="42">
      <c r="A42" s="285" t="s">
        <v>522</v>
      </c>
      <c r="B42" s="286" t="s">
        <v>593</v>
      </c>
      <c r="C42" s="287">
        <v>9.842</v>
      </c>
      <c r="D42" s="288" t="s">
        <v>594</v>
      </c>
      <c r="E42" s="289" t="s">
        <v>96</v>
      </c>
      <c r="F42" s="296" t="s">
        <v>595</v>
      </c>
      <c r="G42" s="289">
        <v>3.543510531E9</v>
      </c>
      <c r="H42" s="291" t="s">
        <v>596</v>
      </c>
      <c r="I42" s="292"/>
      <c r="J42" s="25" t="s">
        <v>597</v>
      </c>
      <c r="K42" s="27">
        <v>3.515309607E9</v>
      </c>
      <c r="L42" s="292"/>
      <c r="M42" s="292"/>
      <c r="N42" s="290" t="s">
        <v>509</v>
      </c>
      <c r="O42" s="284"/>
      <c r="P42" s="284"/>
      <c r="Q42" s="284"/>
      <c r="R42" s="284"/>
      <c r="S42" s="284"/>
      <c r="T42" s="284"/>
      <c r="U42" s="284"/>
      <c r="V42" s="284"/>
      <c r="W42" s="284"/>
      <c r="X42" s="284"/>
    </row>
    <row r="43">
      <c r="A43" s="285" t="s">
        <v>522</v>
      </c>
      <c r="B43" s="286" t="s">
        <v>598</v>
      </c>
      <c r="C43" s="287">
        <v>514.0</v>
      </c>
      <c r="D43" s="288" t="s">
        <v>599</v>
      </c>
      <c r="E43" s="289" t="s">
        <v>73</v>
      </c>
      <c r="F43" s="290" t="s">
        <v>396</v>
      </c>
      <c r="G43" s="289">
        <v>3.515051017E9</v>
      </c>
      <c r="H43" s="291" t="s">
        <v>600</v>
      </c>
      <c r="I43" s="292"/>
      <c r="J43" s="25" t="s">
        <v>601</v>
      </c>
      <c r="K43" s="27">
        <v>3.525448708E9</v>
      </c>
      <c r="L43" s="292"/>
      <c r="M43" s="27" t="s">
        <v>401</v>
      </c>
      <c r="N43" s="290" t="s">
        <v>407</v>
      </c>
      <c r="O43" s="284"/>
      <c r="P43" s="284"/>
      <c r="Q43" s="284"/>
      <c r="R43" s="284"/>
      <c r="S43" s="284"/>
      <c r="T43" s="284"/>
      <c r="U43" s="284"/>
      <c r="V43" s="284"/>
      <c r="W43" s="284"/>
      <c r="X43" s="284"/>
    </row>
    <row r="44">
      <c r="A44" s="285" t="s">
        <v>522</v>
      </c>
      <c r="B44" s="286" t="s">
        <v>602</v>
      </c>
      <c r="C44" s="287">
        <v>18.483</v>
      </c>
      <c r="D44" s="288" t="s">
        <v>603</v>
      </c>
      <c r="E44" s="289" t="s">
        <v>96</v>
      </c>
      <c r="F44" s="290" t="s">
        <v>396</v>
      </c>
      <c r="G44" s="289">
        <v>3.543616733E9</v>
      </c>
      <c r="H44" s="291" t="s">
        <v>604</v>
      </c>
      <c r="I44" s="292"/>
      <c r="J44" s="25" t="s">
        <v>605</v>
      </c>
      <c r="K44" s="27">
        <v>3.543606514E9</v>
      </c>
      <c r="L44" s="292"/>
      <c r="M44" s="294"/>
      <c r="N44" s="290" t="s">
        <v>407</v>
      </c>
      <c r="O44" s="284"/>
      <c r="P44" s="284"/>
      <c r="Q44" s="284"/>
      <c r="R44" s="284"/>
      <c r="S44" s="284"/>
      <c r="T44" s="284"/>
      <c r="U44" s="284"/>
      <c r="V44" s="284"/>
      <c r="W44" s="284"/>
      <c r="X44" s="284"/>
    </row>
    <row r="45">
      <c r="A45" s="285" t="s">
        <v>522</v>
      </c>
      <c r="B45" s="286" t="s">
        <v>606</v>
      </c>
      <c r="C45" s="287">
        <v>28.374</v>
      </c>
      <c r="D45" s="288" t="s">
        <v>607</v>
      </c>
      <c r="E45" s="289" t="s">
        <v>96</v>
      </c>
      <c r="F45" s="296" t="s">
        <v>595</v>
      </c>
      <c r="G45" s="289">
        <v>3.516377078E9</v>
      </c>
      <c r="H45" s="291" t="s">
        <v>608</v>
      </c>
      <c r="I45" s="292"/>
      <c r="J45" s="25" t="s">
        <v>609</v>
      </c>
      <c r="K45" s="27">
        <v>3.516655471E9</v>
      </c>
      <c r="L45" s="292"/>
      <c r="M45" s="294"/>
      <c r="N45" s="297" t="s">
        <v>610</v>
      </c>
      <c r="O45" s="284"/>
      <c r="P45" s="284"/>
      <c r="Q45" s="284"/>
      <c r="R45" s="284"/>
      <c r="S45" s="284"/>
      <c r="T45" s="284"/>
      <c r="U45" s="284"/>
      <c r="V45" s="284"/>
      <c r="W45" s="284"/>
      <c r="X45" s="284"/>
    </row>
    <row r="46">
      <c r="A46" s="285" t="s">
        <v>522</v>
      </c>
      <c r="B46" s="286" t="s">
        <v>611</v>
      </c>
      <c r="C46" s="287">
        <v>280.0</v>
      </c>
      <c r="D46" s="288" t="s">
        <v>612</v>
      </c>
      <c r="E46" s="289" t="s">
        <v>73</v>
      </c>
      <c r="F46" s="290" t="s">
        <v>396</v>
      </c>
      <c r="G46" s="289">
        <v>3.525512116E9</v>
      </c>
      <c r="H46" s="291" t="s">
        <v>613</v>
      </c>
      <c r="I46" s="292"/>
      <c r="J46" s="25" t="s">
        <v>614</v>
      </c>
      <c r="K46" s="27">
        <v>3.516674892E9</v>
      </c>
      <c r="L46" s="292"/>
      <c r="M46" s="27" t="s">
        <v>401</v>
      </c>
      <c r="N46" s="300" t="s">
        <v>476</v>
      </c>
      <c r="O46" s="284"/>
      <c r="P46" s="284"/>
      <c r="Q46" s="284"/>
      <c r="R46" s="284"/>
      <c r="S46" s="284"/>
      <c r="T46" s="284"/>
      <c r="U46" s="284"/>
      <c r="V46" s="284"/>
      <c r="W46" s="284"/>
      <c r="X46" s="284"/>
    </row>
    <row r="47">
      <c r="A47" s="285" t="s">
        <v>615</v>
      </c>
      <c r="B47" s="286" t="s">
        <v>616</v>
      </c>
      <c r="C47" s="287">
        <v>268.0</v>
      </c>
      <c r="D47" s="288" t="s">
        <v>617</v>
      </c>
      <c r="E47" s="289" t="s">
        <v>73</v>
      </c>
      <c r="F47" s="296" t="s">
        <v>415</v>
      </c>
      <c r="G47" s="289" t="s">
        <v>618</v>
      </c>
      <c r="H47" s="291" t="s">
        <v>619</v>
      </c>
      <c r="I47" s="292"/>
      <c r="J47" s="25" t="s">
        <v>620</v>
      </c>
      <c r="K47" s="27">
        <v>3.549504128E9</v>
      </c>
      <c r="L47" s="292"/>
      <c r="M47" s="292"/>
      <c r="N47" s="312" t="s">
        <v>621</v>
      </c>
      <c r="O47" s="284"/>
      <c r="P47" s="284"/>
      <c r="Q47" s="284"/>
      <c r="R47" s="284"/>
      <c r="S47" s="284"/>
      <c r="T47" s="284"/>
      <c r="U47" s="284"/>
      <c r="V47" s="284"/>
      <c r="W47" s="284"/>
      <c r="X47" s="284"/>
    </row>
    <row r="48">
      <c r="A48" s="285" t="s">
        <v>615</v>
      </c>
      <c r="B48" s="286" t="s">
        <v>622</v>
      </c>
      <c r="C48" s="287">
        <v>941.0</v>
      </c>
      <c r="D48" s="288" t="s">
        <v>623</v>
      </c>
      <c r="E48" s="289" t="s">
        <v>73</v>
      </c>
      <c r="F48" s="290" t="s">
        <v>396</v>
      </c>
      <c r="G48" s="289">
        <v>3.549468637E9</v>
      </c>
      <c r="H48" s="286" t="s">
        <v>624</v>
      </c>
      <c r="I48" s="289" t="s">
        <v>389</v>
      </c>
      <c r="J48" s="25" t="s">
        <v>625</v>
      </c>
      <c r="K48" s="27">
        <v>3.549468637E9</v>
      </c>
      <c r="L48" s="292"/>
      <c r="M48" s="294"/>
      <c r="N48" s="290" t="s">
        <v>407</v>
      </c>
      <c r="O48" s="284"/>
      <c r="P48" s="284"/>
      <c r="Q48" s="284"/>
      <c r="R48" s="284"/>
      <c r="S48" s="284"/>
      <c r="T48" s="284"/>
      <c r="U48" s="284"/>
      <c r="V48" s="284"/>
      <c r="W48" s="284"/>
      <c r="X48" s="284"/>
    </row>
    <row r="49">
      <c r="A49" s="285" t="s">
        <v>615</v>
      </c>
      <c r="B49" s="286" t="s">
        <v>626</v>
      </c>
      <c r="C49" s="287">
        <v>352.0</v>
      </c>
      <c r="D49" s="288" t="s">
        <v>627</v>
      </c>
      <c r="E49" s="289" t="s">
        <v>73</v>
      </c>
      <c r="F49" s="296" t="s">
        <v>415</v>
      </c>
      <c r="G49" s="289">
        <v>3.549439248E9</v>
      </c>
      <c r="H49" s="291" t="s">
        <v>628</v>
      </c>
      <c r="I49" s="292"/>
      <c r="J49" s="25" t="s">
        <v>629</v>
      </c>
      <c r="K49" s="27">
        <v>3.516454953E9</v>
      </c>
      <c r="L49" s="292"/>
      <c r="M49" s="292"/>
      <c r="N49" s="297" t="s">
        <v>419</v>
      </c>
      <c r="O49" s="284"/>
      <c r="P49" s="284"/>
      <c r="Q49" s="284"/>
      <c r="R49" s="284"/>
      <c r="S49" s="284"/>
      <c r="T49" s="284"/>
      <c r="U49" s="284"/>
      <c r="V49" s="284"/>
      <c r="W49" s="284"/>
      <c r="X49" s="284"/>
    </row>
    <row r="50">
      <c r="A50" s="285" t="s">
        <v>615</v>
      </c>
      <c r="B50" s="286" t="s">
        <v>630</v>
      </c>
      <c r="C50" s="287">
        <v>30.844</v>
      </c>
      <c r="D50" s="288" t="s">
        <v>631</v>
      </c>
      <c r="E50" s="289" t="s">
        <v>96</v>
      </c>
      <c r="F50" s="290" t="s">
        <v>396</v>
      </c>
      <c r="G50" s="289">
        <v>3.513411368E9</v>
      </c>
      <c r="H50" s="291" t="s">
        <v>632</v>
      </c>
      <c r="I50" s="292"/>
      <c r="J50" s="25" t="s">
        <v>633</v>
      </c>
      <c r="K50" s="27">
        <v>3.549575943E9</v>
      </c>
      <c r="L50" s="292"/>
      <c r="M50" s="292"/>
      <c r="N50" s="297" t="s">
        <v>419</v>
      </c>
      <c r="O50" s="284"/>
      <c r="P50" s="284"/>
      <c r="Q50" s="284"/>
      <c r="R50" s="284"/>
      <c r="S50" s="284"/>
      <c r="T50" s="284"/>
      <c r="U50" s="284"/>
      <c r="V50" s="284"/>
      <c r="W50" s="284"/>
      <c r="X50" s="284"/>
    </row>
    <row r="51">
      <c r="A51" s="285" t="s">
        <v>615</v>
      </c>
      <c r="B51" s="286" t="s">
        <v>634</v>
      </c>
      <c r="C51" s="287">
        <v>2.327</v>
      </c>
      <c r="D51" s="288" t="s">
        <v>635</v>
      </c>
      <c r="E51" s="289" t="s">
        <v>96</v>
      </c>
      <c r="F51" s="296" t="s">
        <v>415</v>
      </c>
      <c r="G51" s="289">
        <v>3.549639794E9</v>
      </c>
      <c r="H51" s="291" t="s">
        <v>636</v>
      </c>
      <c r="I51" s="292"/>
      <c r="J51" s="25" t="s">
        <v>637</v>
      </c>
      <c r="K51" s="27">
        <v>3.549502124E9</v>
      </c>
      <c r="L51" s="292"/>
      <c r="M51" s="292"/>
      <c r="N51" s="297" t="s">
        <v>419</v>
      </c>
      <c r="O51" s="284"/>
      <c r="P51" s="284"/>
      <c r="Q51" s="284"/>
      <c r="R51" s="284"/>
      <c r="S51" s="284"/>
      <c r="T51" s="284"/>
      <c r="U51" s="284"/>
      <c r="V51" s="284"/>
      <c r="W51" s="284"/>
      <c r="X51" s="284"/>
    </row>
    <row r="52">
      <c r="A52" s="285" t="s">
        <v>615</v>
      </c>
      <c r="B52" s="286" t="s">
        <v>638</v>
      </c>
      <c r="C52" s="287">
        <v>554.0</v>
      </c>
      <c r="D52" s="288" t="s">
        <v>639</v>
      </c>
      <c r="E52" s="289" t="s">
        <v>73</v>
      </c>
      <c r="F52" s="290" t="s">
        <v>396</v>
      </c>
      <c r="G52" s="289" t="s">
        <v>640</v>
      </c>
      <c r="H52" s="291" t="s">
        <v>641</v>
      </c>
      <c r="I52" s="292"/>
      <c r="J52" s="25" t="s">
        <v>642</v>
      </c>
      <c r="K52" s="27">
        <v>3.549440455E9</v>
      </c>
      <c r="L52" s="292"/>
      <c r="M52" s="294"/>
      <c r="N52" s="290" t="s">
        <v>407</v>
      </c>
      <c r="O52" s="284"/>
      <c r="P52" s="284"/>
      <c r="Q52" s="284"/>
      <c r="R52" s="284"/>
      <c r="S52" s="284"/>
      <c r="T52" s="284"/>
      <c r="U52" s="284"/>
      <c r="V52" s="284"/>
      <c r="W52" s="284"/>
      <c r="X52" s="284"/>
    </row>
    <row r="53">
      <c r="A53" s="285" t="s">
        <v>615</v>
      </c>
      <c r="B53" s="286" t="s">
        <v>643</v>
      </c>
      <c r="C53" s="287">
        <v>180.0</v>
      </c>
      <c r="D53" s="288" t="s">
        <v>644</v>
      </c>
      <c r="E53" s="289" t="s">
        <v>73</v>
      </c>
      <c r="F53" s="296" t="s">
        <v>415</v>
      </c>
      <c r="G53" s="289">
        <v>3.549631311E9</v>
      </c>
      <c r="H53" s="291" t="s">
        <v>645</v>
      </c>
      <c r="I53" s="292"/>
      <c r="J53" s="25" t="s">
        <v>646</v>
      </c>
      <c r="K53" s="27">
        <v>3.549465986E9</v>
      </c>
      <c r="L53" s="292"/>
      <c r="M53" s="292"/>
      <c r="N53" s="297" t="s">
        <v>647</v>
      </c>
      <c r="O53" s="284"/>
      <c r="P53" s="284"/>
      <c r="Q53" s="284"/>
      <c r="R53" s="284"/>
      <c r="S53" s="284"/>
      <c r="T53" s="284"/>
      <c r="U53" s="284"/>
      <c r="V53" s="284"/>
      <c r="W53" s="284"/>
      <c r="X53" s="284"/>
    </row>
    <row r="54">
      <c r="A54" s="285" t="s">
        <v>615</v>
      </c>
      <c r="B54" s="286" t="s">
        <v>648</v>
      </c>
      <c r="C54" s="287">
        <v>411.0</v>
      </c>
      <c r="D54" s="288" t="s">
        <v>649</v>
      </c>
      <c r="E54" s="289" t="s">
        <v>73</v>
      </c>
      <c r="F54" s="290" t="s">
        <v>396</v>
      </c>
      <c r="G54" s="289">
        <v>3.542470003E9</v>
      </c>
      <c r="H54" s="286" t="s">
        <v>650</v>
      </c>
      <c r="I54" s="289" t="s">
        <v>389</v>
      </c>
      <c r="J54" s="25" t="s">
        <v>651</v>
      </c>
      <c r="K54" s="27">
        <v>3.542470003E9</v>
      </c>
      <c r="L54" s="292"/>
      <c r="M54" s="294"/>
      <c r="N54" s="290" t="s">
        <v>407</v>
      </c>
      <c r="O54" s="284"/>
      <c r="P54" s="284"/>
      <c r="Q54" s="284"/>
      <c r="R54" s="284"/>
      <c r="S54" s="284"/>
      <c r="T54" s="284"/>
      <c r="U54" s="284"/>
      <c r="V54" s="284"/>
      <c r="W54" s="284"/>
      <c r="X54" s="284"/>
    </row>
    <row r="55">
      <c r="A55" s="285" t="s">
        <v>615</v>
      </c>
      <c r="B55" s="286" t="s">
        <v>652</v>
      </c>
      <c r="C55" s="287">
        <v>272.0</v>
      </c>
      <c r="D55" s="288" t="s">
        <v>653</v>
      </c>
      <c r="E55" s="289" t="s">
        <v>73</v>
      </c>
      <c r="F55" s="296" t="s">
        <v>415</v>
      </c>
      <c r="G55" s="289" t="s">
        <v>654</v>
      </c>
      <c r="H55" s="291" t="s">
        <v>655</v>
      </c>
      <c r="I55" s="292"/>
      <c r="J55" s="25" t="s">
        <v>656</v>
      </c>
      <c r="K55" s="27">
        <v>3.549458421E9</v>
      </c>
      <c r="L55" s="292"/>
      <c r="M55" s="27" t="s">
        <v>401</v>
      </c>
      <c r="N55" s="297" t="s">
        <v>419</v>
      </c>
      <c r="O55" s="284"/>
      <c r="P55" s="284"/>
      <c r="Q55" s="284"/>
      <c r="R55" s="284"/>
      <c r="S55" s="284"/>
      <c r="T55" s="284"/>
      <c r="U55" s="284"/>
      <c r="V55" s="284"/>
      <c r="W55" s="284"/>
      <c r="X55" s="284"/>
    </row>
    <row r="56">
      <c r="A56" s="285" t="s">
        <v>615</v>
      </c>
      <c r="B56" s="286" t="s">
        <v>657</v>
      </c>
      <c r="C56" s="287">
        <v>962.0</v>
      </c>
      <c r="D56" s="288" t="s">
        <v>658</v>
      </c>
      <c r="E56" s="289" t="s">
        <v>73</v>
      </c>
      <c r="F56" s="296" t="s">
        <v>595</v>
      </c>
      <c r="G56" s="289">
        <v>3.54941865E9</v>
      </c>
      <c r="H56" s="291" t="s">
        <v>659</v>
      </c>
      <c r="I56" s="292"/>
      <c r="J56" s="25" t="s">
        <v>660</v>
      </c>
      <c r="K56" s="27">
        <v>3.549468032E9</v>
      </c>
      <c r="L56" s="292"/>
      <c r="M56" s="27" t="s">
        <v>401</v>
      </c>
      <c r="N56" s="297" t="s">
        <v>419</v>
      </c>
      <c r="O56" s="284"/>
      <c r="P56" s="284"/>
      <c r="Q56" s="284"/>
      <c r="R56" s="284"/>
      <c r="S56" s="284"/>
      <c r="T56" s="284"/>
      <c r="U56" s="284"/>
      <c r="V56" s="284"/>
      <c r="W56" s="284"/>
      <c r="X56" s="284"/>
    </row>
    <row r="57">
      <c r="A57" s="285" t="s">
        <v>615</v>
      </c>
      <c r="B57" s="286" t="s">
        <v>661</v>
      </c>
      <c r="C57" s="287">
        <v>564.0</v>
      </c>
      <c r="D57" s="288" t="s">
        <v>662</v>
      </c>
      <c r="E57" s="289" t="s">
        <v>73</v>
      </c>
      <c r="F57" s="293" t="s">
        <v>433</v>
      </c>
      <c r="G57" s="289">
        <v>3.549447808E9</v>
      </c>
      <c r="H57" s="291" t="s">
        <v>663</v>
      </c>
      <c r="I57" s="292"/>
      <c r="J57" s="25" t="s">
        <v>664</v>
      </c>
      <c r="K57" s="289">
        <v>3.549447808E9</v>
      </c>
      <c r="L57" s="292"/>
      <c r="M57" s="292"/>
      <c r="N57" s="313" t="s">
        <v>665</v>
      </c>
      <c r="O57" s="284"/>
      <c r="P57" s="284"/>
      <c r="Q57" s="284"/>
      <c r="R57" s="284"/>
      <c r="S57" s="284"/>
      <c r="T57" s="284"/>
      <c r="U57" s="284"/>
      <c r="V57" s="284"/>
      <c r="W57" s="284"/>
      <c r="X57" s="284"/>
    </row>
    <row r="58">
      <c r="A58" s="285" t="s">
        <v>615</v>
      </c>
      <c r="B58" s="286" t="s">
        <v>666</v>
      </c>
      <c r="C58" s="287">
        <v>936.0</v>
      </c>
      <c r="D58" s="288" t="s">
        <v>667</v>
      </c>
      <c r="E58" s="289" t="s">
        <v>73</v>
      </c>
      <c r="F58" s="290" t="s">
        <v>396</v>
      </c>
      <c r="G58" s="289">
        <v>3.512103276E9</v>
      </c>
      <c r="H58" s="291" t="s">
        <v>668</v>
      </c>
      <c r="I58" s="292"/>
      <c r="J58" s="25" t="s">
        <v>669</v>
      </c>
      <c r="K58" s="27">
        <v>3.512838302E9</v>
      </c>
      <c r="L58" s="292"/>
      <c r="M58" s="294"/>
      <c r="N58" s="290" t="s">
        <v>407</v>
      </c>
      <c r="O58" s="284"/>
      <c r="P58" s="284"/>
      <c r="Q58" s="284"/>
      <c r="R58" s="284"/>
      <c r="S58" s="284"/>
      <c r="T58" s="284"/>
      <c r="U58" s="284"/>
      <c r="V58" s="284"/>
      <c r="W58" s="284"/>
      <c r="X58" s="284"/>
    </row>
    <row r="59">
      <c r="A59" s="285" t="s">
        <v>615</v>
      </c>
      <c r="B59" s="286" t="s">
        <v>670</v>
      </c>
      <c r="C59" s="287">
        <v>1.033</v>
      </c>
      <c r="D59" s="288" t="s">
        <v>671</v>
      </c>
      <c r="E59" s="289" t="s">
        <v>73</v>
      </c>
      <c r="F59" s="290" t="s">
        <v>396</v>
      </c>
      <c r="G59" s="289">
        <v>3.549464317E9</v>
      </c>
      <c r="H59" s="291" t="s">
        <v>672</v>
      </c>
      <c r="I59" s="292"/>
      <c r="J59" s="25" t="s">
        <v>673</v>
      </c>
      <c r="K59" s="27" t="s">
        <v>674</v>
      </c>
      <c r="L59" s="292"/>
      <c r="M59" s="294"/>
      <c r="N59" s="290" t="s">
        <v>407</v>
      </c>
      <c r="O59" s="284"/>
      <c r="P59" s="284"/>
      <c r="Q59" s="284"/>
      <c r="R59" s="284"/>
      <c r="S59" s="284"/>
      <c r="T59" s="284"/>
      <c r="U59" s="284"/>
      <c r="V59" s="284"/>
      <c r="W59" s="284"/>
      <c r="X59" s="284"/>
    </row>
    <row r="60">
      <c r="A60" s="285" t="s">
        <v>615</v>
      </c>
      <c r="B60" s="286" t="s">
        <v>675</v>
      </c>
      <c r="C60" s="287">
        <v>2.199</v>
      </c>
      <c r="D60" s="288" t="s">
        <v>676</v>
      </c>
      <c r="E60" s="289" t="s">
        <v>96</v>
      </c>
      <c r="F60" s="290" t="s">
        <v>396</v>
      </c>
      <c r="G60" s="289">
        <v>3.549416291E9</v>
      </c>
      <c r="H60" s="291" t="s">
        <v>677</v>
      </c>
      <c r="I60" s="292"/>
      <c r="J60" s="25" t="s">
        <v>678</v>
      </c>
      <c r="K60" s="27" t="s">
        <v>679</v>
      </c>
      <c r="L60" s="292"/>
      <c r="M60" s="292"/>
      <c r="N60" s="299" t="s">
        <v>680</v>
      </c>
      <c r="O60" s="284"/>
      <c r="P60" s="284"/>
      <c r="Q60" s="284"/>
      <c r="R60" s="284"/>
      <c r="S60" s="284"/>
      <c r="T60" s="284"/>
      <c r="U60" s="284"/>
      <c r="V60" s="284"/>
      <c r="W60" s="284"/>
      <c r="X60" s="284"/>
    </row>
    <row r="61">
      <c r="A61" s="285" t="s">
        <v>615</v>
      </c>
      <c r="B61" s="286" t="s">
        <v>681</v>
      </c>
      <c r="C61" s="287">
        <v>2.678</v>
      </c>
      <c r="D61" s="288" t="s">
        <v>682</v>
      </c>
      <c r="E61" s="289" t="s">
        <v>96</v>
      </c>
      <c r="F61" s="296" t="s">
        <v>415</v>
      </c>
      <c r="G61" s="289">
        <v>3.549473168E9</v>
      </c>
      <c r="H61" s="286" t="s">
        <v>683</v>
      </c>
      <c r="I61" s="289" t="s">
        <v>389</v>
      </c>
      <c r="J61" s="25" t="s">
        <v>684</v>
      </c>
      <c r="K61" s="27">
        <v>3.549473168E9</v>
      </c>
      <c r="L61" s="292"/>
      <c r="M61" s="292"/>
      <c r="N61" s="297" t="s">
        <v>419</v>
      </c>
      <c r="O61" s="284"/>
      <c r="P61" s="284"/>
      <c r="Q61" s="284"/>
      <c r="R61" s="284"/>
      <c r="S61" s="284"/>
      <c r="T61" s="284"/>
      <c r="U61" s="284"/>
      <c r="V61" s="284"/>
      <c r="W61" s="284"/>
      <c r="X61" s="284"/>
    </row>
    <row r="62">
      <c r="A62" s="285" t="s">
        <v>615</v>
      </c>
      <c r="B62" s="286" t="s">
        <v>685</v>
      </c>
      <c r="C62" s="287">
        <v>907.0</v>
      </c>
      <c r="D62" s="288" t="s">
        <v>686</v>
      </c>
      <c r="E62" s="289" t="s">
        <v>73</v>
      </c>
      <c r="F62" s="290" t="s">
        <v>509</v>
      </c>
      <c r="G62" s="289">
        <v>3.549430347E9</v>
      </c>
      <c r="H62" s="291" t="s">
        <v>687</v>
      </c>
      <c r="I62" s="292"/>
      <c r="J62" s="25" t="s">
        <v>688</v>
      </c>
      <c r="K62" s="27">
        <v>3.549537628E9</v>
      </c>
      <c r="L62" s="292"/>
      <c r="M62" s="27" t="s">
        <v>401</v>
      </c>
      <c r="N62" s="290" t="s">
        <v>407</v>
      </c>
      <c r="O62" s="284"/>
      <c r="P62" s="284"/>
      <c r="Q62" s="284"/>
      <c r="R62" s="284"/>
      <c r="S62" s="284"/>
      <c r="T62" s="284"/>
      <c r="U62" s="284"/>
      <c r="V62" s="284"/>
      <c r="W62" s="284"/>
      <c r="X62" s="284"/>
    </row>
    <row r="63">
      <c r="A63" s="285" t="s">
        <v>615</v>
      </c>
      <c r="B63" s="286" t="s">
        <v>689</v>
      </c>
      <c r="C63" s="287">
        <v>9.927</v>
      </c>
      <c r="D63" s="288" t="s">
        <v>690</v>
      </c>
      <c r="E63" s="289" t="s">
        <v>96</v>
      </c>
      <c r="F63" s="296" t="s">
        <v>415</v>
      </c>
      <c r="G63" s="289">
        <v>3.54941794E9</v>
      </c>
      <c r="H63" s="291" t="s">
        <v>691</v>
      </c>
      <c r="I63" s="292"/>
      <c r="J63" s="25" t="s">
        <v>692</v>
      </c>
      <c r="K63" s="27">
        <v>3.549455083E9</v>
      </c>
      <c r="L63" s="298" t="s">
        <v>693</v>
      </c>
      <c r="M63" s="27" t="s">
        <v>401</v>
      </c>
      <c r="N63" s="297" t="s">
        <v>419</v>
      </c>
      <c r="O63" s="284"/>
      <c r="P63" s="284"/>
      <c r="Q63" s="284"/>
      <c r="R63" s="284"/>
      <c r="S63" s="284"/>
      <c r="T63" s="284"/>
      <c r="U63" s="284"/>
      <c r="V63" s="284"/>
      <c r="W63" s="284"/>
      <c r="X63" s="284"/>
    </row>
    <row r="64">
      <c r="A64" s="285" t="s">
        <v>94</v>
      </c>
      <c r="B64" s="286" t="s">
        <v>694</v>
      </c>
      <c r="C64" s="287">
        <v>1.795</v>
      </c>
      <c r="D64" s="288" t="s">
        <v>695</v>
      </c>
      <c r="E64" s="289" t="s">
        <v>96</v>
      </c>
      <c r="F64" s="290" t="s">
        <v>396</v>
      </c>
      <c r="G64" s="289">
        <v>3.365467168E9</v>
      </c>
      <c r="H64" s="286" t="s">
        <v>696</v>
      </c>
      <c r="I64" s="289" t="s">
        <v>389</v>
      </c>
      <c r="J64" s="25" t="s">
        <v>697</v>
      </c>
      <c r="K64" s="27">
        <v>3.385467168E9</v>
      </c>
      <c r="L64" s="292"/>
      <c r="M64" s="27" t="s">
        <v>401</v>
      </c>
      <c r="N64" s="290" t="s">
        <v>407</v>
      </c>
      <c r="O64" s="284"/>
      <c r="P64" s="284"/>
      <c r="Q64" s="284"/>
      <c r="R64" s="284"/>
      <c r="S64" s="284"/>
      <c r="T64" s="284"/>
      <c r="U64" s="284"/>
      <c r="V64" s="284"/>
      <c r="W64" s="284"/>
      <c r="X64" s="284"/>
    </row>
    <row r="65">
      <c r="A65" s="285" t="s">
        <v>94</v>
      </c>
      <c r="B65" s="286" t="s">
        <v>698</v>
      </c>
      <c r="C65" s="287">
        <v>3.508</v>
      </c>
      <c r="D65" s="288" t="s">
        <v>699</v>
      </c>
      <c r="E65" s="289" t="s">
        <v>96</v>
      </c>
      <c r="F65" s="290" t="s">
        <v>396</v>
      </c>
      <c r="G65" s="289">
        <v>3.583442356E9</v>
      </c>
      <c r="H65" s="291" t="s">
        <v>700</v>
      </c>
      <c r="I65" s="292"/>
      <c r="J65" s="25" t="s">
        <v>701</v>
      </c>
      <c r="K65" s="27">
        <v>3.58340142E9</v>
      </c>
      <c r="L65" s="292"/>
      <c r="M65" s="27" t="s">
        <v>401</v>
      </c>
      <c r="N65" s="290" t="s">
        <v>407</v>
      </c>
      <c r="O65" s="284"/>
      <c r="P65" s="284"/>
      <c r="Q65" s="284"/>
      <c r="R65" s="284"/>
      <c r="S65" s="284"/>
      <c r="T65" s="284"/>
      <c r="U65" s="284"/>
      <c r="V65" s="284"/>
      <c r="W65" s="284"/>
      <c r="X65" s="284"/>
    </row>
    <row r="66">
      <c r="A66" s="285" t="s">
        <v>94</v>
      </c>
      <c r="B66" s="286" t="s">
        <v>702</v>
      </c>
      <c r="C66" s="287">
        <v>9.487</v>
      </c>
      <c r="D66" s="288" t="s">
        <v>703</v>
      </c>
      <c r="E66" s="289" t="s">
        <v>96</v>
      </c>
      <c r="F66" s="296" t="s">
        <v>415</v>
      </c>
      <c r="G66" s="289">
        <v>2.30254283E9</v>
      </c>
      <c r="H66" s="291" t="s">
        <v>704</v>
      </c>
      <c r="I66" s="292"/>
      <c r="J66" s="25" t="s">
        <v>705</v>
      </c>
      <c r="K66" s="27">
        <v>2.336497026E9</v>
      </c>
      <c r="L66" s="292"/>
      <c r="M66" s="27" t="s">
        <v>401</v>
      </c>
      <c r="N66" s="297" t="s">
        <v>419</v>
      </c>
      <c r="O66" s="284"/>
      <c r="P66" s="284"/>
      <c r="Q66" s="284"/>
      <c r="R66" s="284"/>
      <c r="S66" s="284"/>
      <c r="T66" s="284"/>
      <c r="U66" s="284"/>
      <c r="V66" s="284"/>
      <c r="W66" s="284"/>
      <c r="X66" s="284"/>
    </row>
    <row r="67">
      <c r="A67" s="285" t="s">
        <v>94</v>
      </c>
      <c r="B67" s="286" t="s">
        <v>706</v>
      </c>
      <c r="C67" s="287">
        <v>1.12</v>
      </c>
      <c r="D67" s="288" t="s">
        <v>707</v>
      </c>
      <c r="E67" s="289" t="s">
        <v>96</v>
      </c>
      <c r="F67" s="290" t="s">
        <v>396</v>
      </c>
      <c r="G67" s="289">
        <v>2.30254306E9</v>
      </c>
      <c r="H67" s="286" t="s">
        <v>708</v>
      </c>
      <c r="I67" s="289" t="s">
        <v>389</v>
      </c>
      <c r="J67" s="25" t="s">
        <v>709</v>
      </c>
      <c r="K67" s="27">
        <v>2.30254306E9</v>
      </c>
      <c r="L67" s="292"/>
      <c r="M67" s="294"/>
      <c r="N67" s="290" t="s">
        <v>407</v>
      </c>
      <c r="O67" s="284"/>
      <c r="P67" s="284"/>
      <c r="Q67" s="284"/>
      <c r="R67" s="284"/>
      <c r="S67" s="284"/>
      <c r="T67" s="284"/>
      <c r="U67" s="284"/>
      <c r="V67" s="284"/>
      <c r="W67" s="284"/>
      <c r="X67" s="284"/>
    </row>
    <row r="68">
      <c r="A68" s="285" t="s">
        <v>94</v>
      </c>
      <c r="B68" s="286" t="s">
        <v>710</v>
      </c>
      <c r="C68" s="287">
        <v>4.823</v>
      </c>
      <c r="D68" s="288" t="s">
        <v>711</v>
      </c>
      <c r="E68" s="289" t="s">
        <v>96</v>
      </c>
      <c r="F68" s="296" t="s">
        <v>415</v>
      </c>
      <c r="G68" s="289">
        <v>3.385447959E9</v>
      </c>
      <c r="H68" s="314" t="s">
        <v>712</v>
      </c>
      <c r="I68" s="289" t="s">
        <v>389</v>
      </c>
      <c r="J68" s="25" t="s">
        <v>713</v>
      </c>
      <c r="K68" s="27">
        <v>3.385447959E9</v>
      </c>
      <c r="L68" s="292"/>
      <c r="M68" s="292"/>
      <c r="N68" s="297" t="s">
        <v>419</v>
      </c>
      <c r="O68" s="284"/>
      <c r="P68" s="284"/>
      <c r="Q68" s="284"/>
      <c r="R68" s="284"/>
      <c r="S68" s="284"/>
      <c r="T68" s="284"/>
      <c r="U68" s="284"/>
      <c r="V68" s="284"/>
      <c r="W68" s="284"/>
      <c r="X68" s="284"/>
    </row>
    <row r="69">
      <c r="A69" s="285" t="s">
        <v>94</v>
      </c>
      <c r="B69" s="286" t="s">
        <v>714</v>
      </c>
      <c r="C69" s="287">
        <v>1.842</v>
      </c>
      <c r="D69" s="288" t="s">
        <v>715</v>
      </c>
      <c r="E69" s="289" t="s">
        <v>96</v>
      </c>
      <c r="F69" s="296" t="s">
        <v>415</v>
      </c>
      <c r="G69" s="289">
        <v>3.583403987E9</v>
      </c>
      <c r="H69" s="291" t="s">
        <v>716</v>
      </c>
      <c r="I69" s="292"/>
      <c r="J69" s="25" t="s">
        <v>717</v>
      </c>
      <c r="K69" s="286">
        <v>3.583401152E9</v>
      </c>
      <c r="L69" s="315" t="s">
        <v>718</v>
      </c>
      <c r="M69" s="294"/>
      <c r="N69" s="290" t="s">
        <v>407</v>
      </c>
      <c r="O69" s="284"/>
      <c r="P69" s="284"/>
      <c r="Q69" s="284"/>
      <c r="R69" s="284"/>
      <c r="S69" s="284"/>
      <c r="T69" s="284"/>
      <c r="U69" s="284"/>
      <c r="V69" s="284"/>
      <c r="W69" s="284"/>
      <c r="X69" s="284"/>
    </row>
    <row r="70">
      <c r="A70" s="285" t="s">
        <v>94</v>
      </c>
      <c r="B70" s="286" t="s">
        <v>719</v>
      </c>
      <c r="C70" s="287">
        <v>214.0</v>
      </c>
      <c r="D70" s="288" t="s">
        <v>720</v>
      </c>
      <c r="E70" s="289" t="s">
        <v>73</v>
      </c>
      <c r="F70" s="290" t="s">
        <v>396</v>
      </c>
      <c r="G70" s="289">
        <v>3.583404177E9</v>
      </c>
      <c r="H70" s="291" t="s">
        <v>721</v>
      </c>
      <c r="I70" s="292"/>
      <c r="J70" s="25" t="s">
        <v>722</v>
      </c>
      <c r="K70" s="286">
        <v>3.585121647E9</v>
      </c>
      <c r="L70" s="315" t="s">
        <v>723</v>
      </c>
      <c r="M70" s="294"/>
      <c r="N70" s="290" t="s">
        <v>407</v>
      </c>
      <c r="O70" s="284"/>
      <c r="P70" s="284"/>
      <c r="Q70" s="284"/>
      <c r="R70" s="284"/>
      <c r="S70" s="284"/>
      <c r="T70" s="284"/>
      <c r="U70" s="284"/>
      <c r="V70" s="284"/>
      <c r="W70" s="284"/>
      <c r="X70" s="284"/>
    </row>
    <row r="71">
      <c r="A71" s="285" t="s">
        <v>94</v>
      </c>
      <c r="B71" s="286" t="s">
        <v>724</v>
      </c>
      <c r="C71" s="287">
        <v>63.0</v>
      </c>
      <c r="D71" s="288" t="s">
        <v>725</v>
      </c>
      <c r="E71" s="289" t="s">
        <v>73</v>
      </c>
      <c r="F71" s="290" t="s">
        <v>396</v>
      </c>
      <c r="G71" s="289" t="s">
        <v>726</v>
      </c>
      <c r="H71" s="291" t="s">
        <v>727</v>
      </c>
      <c r="I71" s="292"/>
      <c r="J71" s="25" t="s">
        <v>728</v>
      </c>
      <c r="K71" s="286" t="s">
        <v>726</v>
      </c>
      <c r="L71" s="315" t="s">
        <v>729</v>
      </c>
      <c r="M71" s="294"/>
      <c r="N71" s="290" t="s">
        <v>407</v>
      </c>
      <c r="O71" s="284"/>
      <c r="P71" s="284"/>
      <c r="Q71" s="284"/>
      <c r="R71" s="284"/>
      <c r="S71" s="284"/>
      <c r="T71" s="284"/>
      <c r="U71" s="284"/>
      <c r="V71" s="284"/>
      <c r="W71" s="284"/>
      <c r="X71" s="284"/>
    </row>
    <row r="72">
      <c r="A72" s="285" t="s">
        <v>94</v>
      </c>
      <c r="B72" s="286" t="s">
        <v>730</v>
      </c>
      <c r="C72" s="287">
        <v>254.0</v>
      </c>
      <c r="D72" s="288" t="s">
        <v>731</v>
      </c>
      <c r="E72" s="289" t="s">
        <v>73</v>
      </c>
      <c r="F72" s="290" t="s">
        <v>396</v>
      </c>
      <c r="G72" s="289">
        <v>2.302597932E9</v>
      </c>
      <c r="H72" s="291" t="s">
        <v>732</v>
      </c>
      <c r="I72" s="292"/>
      <c r="J72" s="25" t="s">
        <v>733</v>
      </c>
      <c r="K72" s="27">
        <v>3.584182272E9</v>
      </c>
      <c r="L72" s="292"/>
      <c r="M72" s="294"/>
      <c r="N72" s="290" t="s">
        <v>407</v>
      </c>
      <c r="O72" s="284"/>
      <c r="P72" s="284"/>
      <c r="Q72" s="284"/>
      <c r="R72" s="284"/>
      <c r="S72" s="284"/>
      <c r="T72" s="284"/>
      <c r="U72" s="284"/>
      <c r="V72" s="284"/>
      <c r="W72" s="284"/>
      <c r="X72" s="284"/>
    </row>
    <row r="73">
      <c r="A73" s="285" t="s">
        <v>94</v>
      </c>
      <c r="B73" s="286" t="s">
        <v>734</v>
      </c>
      <c r="C73" s="287">
        <v>67.0</v>
      </c>
      <c r="D73" s="288" t="s">
        <v>735</v>
      </c>
      <c r="E73" s="289" t="s">
        <v>73</v>
      </c>
      <c r="F73" s="290" t="s">
        <v>396</v>
      </c>
      <c r="G73" s="289">
        <v>2.30247672E9</v>
      </c>
      <c r="H73" s="301"/>
      <c r="I73" s="292"/>
      <c r="J73" s="25" t="s">
        <v>736</v>
      </c>
      <c r="K73" s="27">
        <v>2.355470168E9</v>
      </c>
      <c r="L73" s="292"/>
      <c r="M73" s="27" t="s">
        <v>401</v>
      </c>
      <c r="N73" s="297" t="s">
        <v>419</v>
      </c>
      <c r="O73" s="284"/>
      <c r="P73" s="284"/>
      <c r="Q73" s="284"/>
      <c r="R73" s="284"/>
      <c r="S73" s="284"/>
      <c r="T73" s="284"/>
      <c r="U73" s="284"/>
      <c r="V73" s="284"/>
      <c r="W73" s="284"/>
      <c r="X73" s="284"/>
    </row>
    <row r="74">
      <c r="A74" s="285" t="s">
        <v>94</v>
      </c>
      <c r="B74" s="286" t="s">
        <v>737</v>
      </c>
      <c r="C74" s="287">
        <v>5.658</v>
      </c>
      <c r="D74" s="288" t="s">
        <v>738</v>
      </c>
      <c r="E74" s="289" t="s">
        <v>96</v>
      </c>
      <c r="F74" s="290" t="s">
        <v>396</v>
      </c>
      <c r="G74" s="289">
        <v>2.302699464E9</v>
      </c>
      <c r="H74" s="291" t="s">
        <v>739</v>
      </c>
      <c r="I74" s="292"/>
      <c r="J74" s="25" t="s">
        <v>740</v>
      </c>
      <c r="K74" s="27">
        <v>2.302453904E9</v>
      </c>
      <c r="L74" s="292"/>
      <c r="M74" s="294"/>
      <c r="N74" s="290" t="s">
        <v>407</v>
      </c>
      <c r="O74" s="284"/>
      <c r="P74" s="284"/>
      <c r="Q74" s="284"/>
      <c r="R74" s="284"/>
      <c r="S74" s="284"/>
      <c r="T74" s="284"/>
      <c r="U74" s="284"/>
      <c r="V74" s="284"/>
      <c r="W74" s="284"/>
      <c r="X74" s="284"/>
    </row>
    <row r="75">
      <c r="A75" s="285" t="s">
        <v>94</v>
      </c>
      <c r="B75" s="286" t="s">
        <v>741</v>
      </c>
      <c r="C75" s="287">
        <v>373.0</v>
      </c>
      <c r="D75" s="288" t="s">
        <v>742</v>
      </c>
      <c r="E75" s="289" t="s">
        <v>73</v>
      </c>
      <c r="F75" s="296" t="s">
        <v>415</v>
      </c>
      <c r="G75" s="289">
        <v>3.583430074E9</v>
      </c>
      <c r="H75" s="286" t="s">
        <v>743</v>
      </c>
      <c r="I75" s="27" t="s">
        <v>389</v>
      </c>
      <c r="J75" s="25" t="s">
        <v>744</v>
      </c>
      <c r="K75" s="289">
        <v>3.583430074E9</v>
      </c>
      <c r="L75" s="291" t="s">
        <v>743</v>
      </c>
      <c r="M75" s="292"/>
      <c r="N75" s="297" t="s">
        <v>419</v>
      </c>
      <c r="O75" s="284"/>
      <c r="P75" s="284"/>
      <c r="Q75" s="284"/>
      <c r="R75" s="284"/>
      <c r="S75" s="284"/>
      <c r="T75" s="284"/>
      <c r="U75" s="284"/>
      <c r="V75" s="284"/>
      <c r="W75" s="284"/>
      <c r="X75" s="284"/>
    </row>
    <row r="76">
      <c r="A76" s="285" t="s">
        <v>94</v>
      </c>
      <c r="B76" s="286" t="s">
        <v>745</v>
      </c>
      <c r="C76" s="287">
        <v>3.002</v>
      </c>
      <c r="D76" s="288" t="s">
        <v>746</v>
      </c>
      <c r="E76" s="289" t="s">
        <v>96</v>
      </c>
      <c r="F76" s="290" t="s">
        <v>396</v>
      </c>
      <c r="G76" s="289">
        <v>3.583414634E9</v>
      </c>
      <c r="H76" s="291" t="s">
        <v>747</v>
      </c>
      <c r="I76" s="292"/>
      <c r="J76" s="25" t="s">
        <v>748</v>
      </c>
      <c r="K76" s="27">
        <v>3.583439116E9</v>
      </c>
      <c r="L76" s="292"/>
      <c r="M76" s="294"/>
      <c r="N76" s="290" t="s">
        <v>407</v>
      </c>
      <c r="O76" s="284"/>
      <c r="P76" s="284"/>
      <c r="Q76" s="284"/>
      <c r="R76" s="284"/>
      <c r="S76" s="284"/>
      <c r="T76" s="284"/>
      <c r="U76" s="284"/>
      <c r="V76" s="284"/>
      <c r="W76" s="284"/>
      <c r="X76" s="284"/>
    </row>
    <row r="77">
      <c r="A77" s="285" t="s">
        <v>749</v>
      </c>
      <c r="B77" s="286" t="s">
        <v>750</v>
      </c>
      <c r="C77" s="287">
        <v>692.0</v>
      </c>
      <c r="D77" s="288" t="s">
        <v>751</v>
      </c>
      <c r="E77" s="289" t="s">
        <v>96</v>
      </c>
      <c r="F77" s="290" t="s">
        <v>396</v>
      </c>
      <c r="G77" s="289">
        <v>3.534184302E9</v>
      </c>
      <c r="H77" s="291" t="s">
        <v>752</v>
      </c>
      <c r="I77" s="292"/>
      <c r="J77" s="25" t="s">
        <v>753</v>
      </c>
      <c r="K77" s="27">
        <v>3.534238818E9</v>
      </c>
      <c r="L77" s="292"/>
      <c r="M77" s="292"/>
      <c r="N77" s="297" t="s">
        <v>419</v>
      </c>
      <c r="O77" s="284"/>
      <c r="P77" s="284"/>
      <c r="Q77" s="284"/>
      <c r="R77" s="284"/>
      <c r="S77" s="284"/>
      <c r="T77" s="284"/>
      <c r="U77" s="284"/>
      <c r="V77" s="284"/>
      <c r="W77" s="284"/>
      <c r="X77" s="284"/>
    </row>
    <row r="78">
      <c r="A78" s="285" t="s">
        <v>749</v>
      </c>
      <c r="B78" s="286" t="s">
        <v>754</v>
      </c>
      <c r="C78" s="287">
        <v>2.793</v>
      </c>
      <c r="D78" s="288" t="s">
        <v>755</v>
      </c>
      <c r="E78" s="289" t="s">
        <v>96</v>
      </c>
      <c r="F78" s="296" t="s">
        <v>415</v>
      </c>
      <c r="G78" s="289">
        <v>3.534287686E9</v>
      </c>
      <c r="H78" s="291" t="s">
        <v>756</v>
      </c>
      <c r="I78" s="292"/>
      <c r="J78" s="25" t="s">
        <v>757</v>
      </c>
      <c r="K78" s="27">
        <v>3.534241413E9</v>
      </c>
      <c r="L78" s="292"/>
      <c r="M78" s="292"/>
      <c r="N78" s="297" t="s">
        <v>419</v>
      </c>
      <c r="O78" s="284"/>
      <c r="P78" s="284"/>
      <c r="Q78" s="284"/>
      <c r="R78" s="284"/>
      <c r="S78" s="284"/>
      <c r="T78" s="284"/>
      <c r="U78" s="284"/>
      <c r="V78" s="284"/>
      <c r="W78" s="284"/>
      <c r="X78" s="284"/>
    </row>
    <row r="79">
      <c r="A79" s="285" t="s">
        <v>749</v>
      </c>
      <c r="B79" s="286" t="s">
        <v>758</v>
      </c>
      <c r="C79" s="287">
        <v>1.133</v>
      </c>
      <c r="D79" s="288" t="s">
        <v>759</v>
      </c>
      <c r="E79" s="289" t="s">
        <v>96</v>
      </c>
      <c r="F79" s="290" t="s">
        <v>396</v>
      </c>
      <c r="G79" s="289">
        <v>3.534240507E9</v>
      </c>
      <c r="H79" s="291" t="s">
        <v>760</v>
      </c>
      <c r="I79" s="292"/>
      <c r="J79" s="25" t="s">
        <v>761</v>
      </c>
      <c r="K79" s="27" t="s">
        <v>762</v>
      </c>
      <c r="L79" s="292"/>
      <c r="M79" s="292"/>
      <c r="N79" s="297" t="s">
        <v>419</v>
      </c>
      <c r="O79" s="284"/>
      <c r="P79" s="284"/>
      <c r="Q79" s="284"/>
      <c r="R79" s="284"/>
      <c r="S79" s="284"/>
      <c r="T79" s="284"/>
      <c r="U79" s="284"/>
      <c r="V79" s="284"/>
      <c r="W79" s="284"/>
      <c r="X79" s="284"/>
    </row>
    <row r="80">
      <c r="A80" s="285" t="s">
        <v>749</v>
      </c>
      <c r="B80" s="286" t="s">
        <v>763</v>
      </c>
      <c r="C80" s="287">
        <v>1.08</v>
      </c>
      <c r="D80" s="288" t="s">
        <v>764</v>
      </c>
      <c r="E80" s="289" t="s">
        <v>96</v>
      </c>
      <c r="F80" s="296" t="s">
        <v>415</v>
      </c>
      <c r="G80" s="289">
        <v>3.534068698E9</v>
      </c>
      <c r="H80" s="286" t="s">
        <v>765</v>
      </c>
      <c r="I80" s="289" t="s">
        <v>389</v>
      </c>
      <c r="J80" s="25" t="s">
        <v>766</v>
      </c>
      <c r="K80" s="289">
        <v>3.534068698E9</v>
      </c>
      <c r="L80" s="291" t="s">
        <v>765</v>
      </c>
      <c r="M80" s="292"/>
      <c r="N80" s="297" t="s">
        <v>419</v>
      </c>
      <c r="O80" s="284"/>
      <c r="P80" s="284"/>
      <c r="Q80" s="284"/>
      <c r="R80" s="284"/>
      <c r="S80" s="284"/>
      <c r="T80" s="284"/>
      <c r="U80" s="284"/>
      <c r="V80" s="284"/>
      <c r="W80" s="284"/>
      <c r="X80" s="284"/>
    </row>
    <row r="81">
      <c r="A81" s="285" t="s">
        <v>749</v>
      </c>
      <c r="B81" s="286" t="s">
        <v>767</v>
      </c>
      <c r="C81" s="287">
        <v>4.13</v>
      </c>
      <c r="D81" s="288" t="s">
        <v>768</v>
      </c>
      <c r="E81" s="289" t="s">
        <v>96</v>
      </c>
      <c r="F81" s="296" t="s">
        <v>415</v>
      </c>
      <c r="G81" s="289">
        <v>3.534271744E9</v>
      </c>
      <c r="H81" s="286" t="s">
        <v>769</v>
      </c>
      <c r="I81" s="289" t="s">
        <v>389</v>
      </c>
      <c r="J81" s="25" t="s">
        <v>770</v>
      </c>
      <c r="K81" s="289">
        <v>3.534271744E9</v>
      </c>
      <c r="L81" s="291" t="s">
        <v>769</v>
      </c>
      <c r="M81" s="292"/>
      <c r="N81" s="297" t="s">
        <v>419</v>
      </c>
      <c r="O81" s="284"/>
      <c r="P81" s="284"/>
      <c r="Q81" s="284"/>
      <c r="R81" s="284"/>
      <c r="S81" s="284"/>
      <c r="T81" s="284"/>
      <c r="U81" s="284"/>
      <c r="V81" s="284"/>
      <c r="W81" s="284"/>
      <c r="X81" s="284"/>
    </row>
    <row r="82">
      <c r="A82" s="285" t="s">
        <v>749</v>
      </c>
      <c r="B82" s="286" t="s">
        <v>771</v>
      </c>
      <c r="C82" s="287">
        <v>1.524</v>
      </c>
      <c r="D82" s="288" t="s">
        <v>772</v>
      </c>
      <c r="E82" s="289" t="s">
        <v>96</v>
      </c>
      <c r="F82" s="296" t="s">
        <v>415</v>
      </c>
      <c r="G82" s="289">
        <v>3.53408693E9</v>
      </c>
      <c r="H82" s="291" t="s">
        <v>773</v>
      </c>
      <c r="I82" s="292"/>
      <c r="J82" s="25" t="s">
        <v>774</v>
      </c>
      <c r="K82" s="27">
        <v>3.534200619E9</v>
      </c>
      <c r="L82" s="292"/>
      <c r="M82" s="292"/>
      <c r="N82" s="297" t="s">
        <v>419</v>
      </c>
      <c r="O82" s="284"/>
      <c r="P82" s="284"/>
      <c r="Q82" s="284"/>
      <c r="R82" s="284"/>
      <c r="S82" s="284"/>
      <c r="T82" s="284"/>
      <c r="U82" s="284"/>
      <c r="V82" s="284"/>
      <c r="W82" s="284"/>
      <c r="X82" s="284"/>
    </row>
    <row r="83">
      <c r="A83" s="285" t="s">
        <v>749</v>
      </c>
      <c r="B83" s="286" t="s">
        <v>775</v>
      </c>
      <c r="C83" s="287">
        <v>502.0</v>
      </c>
      <c r="D83" s="288" t="s">
        <v>776</v>
      </c>
      <c r="E83" s="289" t="s">
        <v>96</v>
      </c>
      <c r="F83" s="296" t="s">
        <v>415</v>
      </c>
      <c r="G83" s="289">
        <v>3.534174011E9</v>
      </c>
      <c r="H83" s="291" t="s">
        <v>777</v>
      </c>
      <c r="I83" s="292"/>
      <c r="J83" s="25" t="s">
        <v>778</v>
      </c>
      <c r="K83" s="27">
        <v>3.534786948E9</v>
      </c>
      <c r="L83" s="292"/>
      <c r="M83" s="294"/>
      <c r="N83" s="290" t="s">
        <v>407</v>
      </c>
      <c r="O83" s="284"/>
      <c r="P83" s="284"/>
      <c r="Q83" s="284"/>
      <c r="R83" s="284"/>
      <c r="S83" s="284"/>
      <c r="T83" s="284"/>
      <c r="U83" s="284"/>
      <c r="V83" s="284"/>
      <c r="W83" s="284"/>
      <c r="X83" s="284"/>
    </row>
    <row r="84">
      <c r="A84" s="285" t="s">
        <v>749</v>
      </c>
      <c r="B84" s="286" t="s">
        <v>779</v>
      </c>
      <c r="C84" s="287">
        <v>2.757</v>
      </c>
      <c r="D84" s="288" t="s">
        <v>780</v>
      </c>
      <c r="E84" s="289" t="s">
        <v>96</v>
      </c>
      <c r="F84" s="290" t="s">
        <v>396</v>
      </c>
      <c r="G84" s="289">
        <v>3.535646843E9</v>
      </c>
      <c r="H84" s="291" t="s">
        <v>781</v>
      </c>
      <c r="I84" s="292"/>
      <c r="J84" s="25" t="s">
        <v>782</v>
      </c>
      <c r="K84" s="27">
        <v>3.534201707E9</v>
      </c>
      <c r="L84" s="292"/>
      <c r="M84" s="294"/>
      <c r="N84" s="290" t="s">
        <v>407</v>
      </c>
      <c r="O84" s="284"/>
      <c r="P84" s="284"/>
      <c r="Q84" s="284"/>
      <c r="R84" s="284"/>
      <c r="S84" s="284"/>
      <c r="T84" s="284"/>
      <c r="U84" s="284"/>
      <c r="V84" s="284"/>
      <c r="W84" s="284"/>
      <c r="X84" s="284"/>
    </row>
    <row r="85">
      <c r="A85" s="285" t="s">
        <v>749</v>
      </c>
      <c r="B85" s="286" t="s">
        <v>783</v>
      </c>
      <c r="C85" s="287">
        <v>563.0</v>
      </c>
      <c r="D85" s="288" t="s">
        <v>784</v>
      </c>
      <c r="E85" s="289" t="s">
        <v>96</v>
      </c>
      <c r="F85" s="290" t="s">
        <v>396</v>
      </c>
      <c r="G85" s="289">
        <v>3.534200205E9</v>
      </c>
      <c r="H85" s="286" t="s">
        <v>785</v>
      </c>
      <c r="I85" s="27" t="s">
        <v>389</v>
      </c>
      <c r="J85" s="25" t="s">
        <v>786</v>
      </c>
      <c r="K85" s="27">
        <v>3.534187503E9</v>
      </c>
      <c r="L85" s="292"/>
      <c r="M85" s="294"/>
      <c r="N85" s="290" t="s">
        <v>407</v>
      </c>
      <c r="O85" s="284"/>
      <c r="P85" s="284"/>
      <c r="Q85" s="284"/>
      <c r="R85" s="284"/>
      <c r="S85" s="284"/>
      <c r="T85" s="284"/>
      <c r="U85" s="284"/>
      <c r="V85" s="284"/>
      <c r="W85" s="284"/>
      <c r="X85" s="284"/>
    </row>
    <row r="86">
      <c r="A86" s="285" t="s">
        <v>749</v>
      </c>
      <c r="B86" s="286" t="s">
        <v>787</v>
      </c>
      <c r="C86" s="287">
        <v>1.201</v>
      </c>
      <c r="D86" s="288" t="s">
        <v>788</v>
      </c>
      <c r="E86" s="289" t="s">
        <v>96</v>
      </c>
      <c r="F86" s="290" t="s">
        <v>396</v>
      </c>
      <c r="G86" s="289">
        <v>3.53424337E9</v>
      </c>
      <c r="H86" s="291" t="s">
        <v>789</v>
      </c>
      <c r="I86" s="292"/>
      <c r="J86" s="25" t="s">
        <v>790</v>
      </c>
      <c r="K86" s="27">
        <v>3.534088856E9</v>
      </c>
      <c r="L86" s="292"/>
      <c r="M86" s="294"/>
      <c r="N86" s="295" t="s">
        <v>791</v>
      </c>
      <c r="O86" s="284"/>
      <c r="P86" s="284"/>
      <c r="Q86" s="284"/>
      <c r="R86" s="284"/>
      <c r="S86" s="284"/>
      <c r="T86" s="284"/>
      <c r="U86" s="284"/>
      <c r="V86" s="284"/>
      <c r="W86" s="284"/>
      <c r="X86" s="284"/>
    </row>
    <row r="87">
      <c r="A87" s="285" t="s">
        <v>749</v>
      </c>
      <c r="B87" s="286" t="s">
        <v>792</v>
      </c>
      <c r="C87" s="287">
        <v>405.0</v>
      </c>
      <c r="D87" s="288" t="s">
        <v>793</v>
      </c>
      <c r="E87" s="289" t="s">
        <v>96</v>
      </c>
      <c r="F87" s="296" t="s">
        <v>595</v>
      </c>
      <c r="G87" s="289">
        <v>3.535630956E9</v>
      </c>
      <c r="H87" s="291" t="s">
        <v>794</v>
      </c>
      <c r="I87" s="292"/>
      <c r="J87" s="25" t="s">
        <v>795</v>
      </c>
      <c r="K87" s="27">
        <v>3.535632282E9</v>
      </c>
      <c r="L87" s="292"/>
      <c r="M87" s="294"/>
      <c r="N87" s="290" t="s">
        <v>407</v>
      </c>
      <c r="O87" s="284"/>
      <c r="P87" s="284"/>
      <c r="Q87" s="284"/>
      <c r="R87" s="284"/>
      <c r="S87" s="284"/>
      <c r="T87" s="284"/>
      <c r="U87" s="284"/>
      <c r="V87" s="284"/>
      <c r="W87" s="284"/>
      <c r="X87" s="284"/>
    </row>
    <row r="88">
      <c r="A88" s="285" t="s">
        <v>749</v>
      </c>
      <c r="B88" s="286" t="s">
        <v>796</v>
      </c>
      <c r="C88" s="287">
        <v>2.207</v>
      </c>
      <c r="D88" s="288" t="s">
        <v>797</v>
      </c>
      <c r="E88" s="289" t="s">
        <v>96</v>
      </c>
      <c r="F88" s="296" t="s">
        <v>415</v>
      </c>
      <c r="G88" s="289">
        <v>3.534823448E9</v>
      </c>
      <c r="H88" s="291" t="s">
        <v>798</v>
      </c>
      <c r="I88" s="292"/>
      <c r="J88" s="25" t="s">
        <v>799</v>
      </c>
      <c r="K88" s="27" t="s">
        <v>800</v>
      </c>
      <c r="L88" s="292"/>
      <c r="M88" s="292"/>
      <c r="N88" s="297" t="s">
        <v>419</v>
      </c>
      <c r="O88" s="284"/>
      <c r="P88" s="284"/>
      <c r="Q88" s="284"/>
      <c r="R88" s="284"/>
      <c r="S88" s="284"/>
      <c r="T88" s="284"/>
      <c r="U88" s="284"/>
      <c r="V88" s="284"/>
      <c r="W88" s="284"/>
      <c r="X88" s="284"/>
    </row>
    <row r="89">
      <c r="A89" s="285" t="s">
        <v>749</v>
      </c>
      <c r="B89" s="286" t="s">
        <v>801</v>
      </c>
      <c r="C89" s="287">
        <v>2.676</v>
      </c>
      <c r="D89" s="288" t="s">
        <v>802</v>
      </c>
      <c r="E89" s="289" t="s">
        <v>96</v>
      </c>
      <c r="F89" s="290" t="s">
        <v>396</v>
      </c>
      <c r="G89" s="289">
        <v>3.534231948E9</v>
      </c>
      <c r="H89" s="291" t="s">
        <v>803</v>
      </c>
      <c r="I89" s="292"/>
      <c r="J89" s="25" t="s">
        <v>804</v>
      </c>
      <c r="K89" s="27">
        <v>3.534180842E9</v>
      </c>
      <c r="L89" s="292"/>
      <c r="M89" s="294"/>
      <c r="N89" s="290" t="s">
        <v>407</v>
      </c>
      <c r="O89" s="284"/>
      <c r="P89" s="284"/>
      <c r="Q89" s="284"/>
      <c r="R89" s="284"/>
      <c r="S89" s="284"/>
      <c r="T89" s="284"/>
      <c r="U89" s="284"/>
      <c r="V89" s="284"/>
      <c r="W89" s="284"/>
      <c r="X89" s="284"/>
    </row>
    <row r="90">
      <c r="A90" s="285" t="s">
        <v>749</v>
      </c>
      <c r="B90" s="286" t="s">
        <v>805</v>
      </c>
      <c r="C90" s="287">
        <v>79.946</v>
      </c>
      <c r="D90" s="288" t="s">
        <v>806</v>
      </c>
      <c r="E90" s="289" t="s">
        <v>96</v>
      </c>
      <c r="F90" s="290" t="s">
        <v>396</v>
      </c>
      <c r="G90" s="289">
        <v>3.534189484E9</v>
      </c>
      <c r="H90" s="301"/>
      <c r="I90" s="292"/>
      <c r="J90" s="25" t="s">
        <v>807</v>
      </c>
      <c r="K90" s="27">
        <v>3.534110442E9</v>
      </c>
      <c r="L90" s="292"/>
      <c r="M90" s="294"/>
      <c r="N90" s="290" t="s">
        <v>407</v>
      </c>
      <c r="O90" s="284"/>
      <c r="P90" s="284"/>
      <c r="Q90" s="284"/>
      <c r="R90" s="284"/>
      <c r="S90" s="284"/>
      <c r="T90" s="284"/>
      <c r="U90" s="284"/>
      <c r="V90" s="284"/>
      <c r="W90" s="284"/>
      <c r="X90" s="284"/>
    </row>
    <row r="91">
      <c r="A91" s="285" t="s">
        <v>749</v>
      </c>
      <c r="B91" s="286" t="s">
        <v>808</v>
      </c>
      <c r="C91" s="287">
        <v>19.362</v>
      </c>
      <c r="D91" s="288" t="s">
        <v>809</v>
      </c>
      <c r="E91" s="289" t="s">
        <v>96</v>
      </c>
      <c r="F91" s="290" t="s">
        <v>396</v>
      </c>
      <c r="G91" s="289">
        <v>3.534286245E9</v>
      </c>
      <c r="H91" s="291" t="s">
        <v>810</v>
      </c>
      <c r="I91" s="292"/>
      <c r="J91" s="25" t="s">
        <v>811</v>
      </c>
      <c r="K91" s="27">
        <v>3.534128698E9</v>
      </c>
      <c r="L91" s="292"/>
      <c r="M91" s="292"/>
      <c r="N91" s="297" t="s">
        <v>419</v>
      </c>
      <c r="O91" s="284"/>
      <c r="P91" s="284"/>
      <c r="Q91" s="284"/>
      <c r="R91" s="284"/>
      <c r="S91" s="284"/>
      <c r="T91" s="284"/>
      <c r="U91" s="284"/>
      <c r="V91" s="284"/>
      <c r="W91" s="284"/>
      <c r="X91" s="284"/>
    </row>
    <row r="92">
      <c r="A92" s="285" t="s">
        <v>812</v>
      </c>
      <c r="B92" s="286" t="s">
        <v>813</v>
      </c>
      <c r="C92" s="287">
        <v>323.0</v>
      </c>
      <c r="D92" s="288" t="s">
        <v>814</v>
      </c>
      <c r="E92" s="289" t="s">
        <v>73</v>
      </c>
      <c r="F92" s="290" t="s">
        <v>396</v>
      </c>
      <c r="G92" s="289">
        <v>3.521436273E9</v>
      </c>
      <c r="H92" s="291" t="s">
        <v>815</v>
      </c>
      <c r="I92" s="292"/>
      <c r="J92" s="25" t="s">
        <v>816</v>
      </c>
      <c r="K92" s="27">
        <v>3.521407254E9</v>
      </c>
      <c r="L92" s="292"/>
      <c r="M92" s="292"/>
      <c r="N92" s="290" t="s">
        <v>817</v>
      </c>
      <c r="O92" s="284"/>
      <c r="P92" s="284"/>
      <c r="Q92" s="284"/>
      <c r="R92" s="284"/>
      <c r="S92" s="284"/>
      <c r="T92" s="284"/>
      <c r="U92" s="284"/>
      <c r="V92" s="284"/>
      <c r="W92" s="284"/>
      <c r="X92" s="284"/>
    </row>
    <row r="93">
      <c r="A93" s="285" t="s">
        <v>812</v>
      </c>
      <c r="B93" s="286" t="s">
        <v>818</v>
      </c>
      <c r="C93" s="287">
        <v>193.0</v>
      </c>
      <c r="D93" s="288" t="s">
        <v>819</v>
      </c>
      <c r="E93" s="289" t="s">
        <v>73</v>
      </c>
      <c r="F93" s="290" t="s">
        <v>396</v>
      </c>
      <c r="G93" s="289">
        <v>3.525458143E9</v>
      </c>
      <c r="H93" s="291" t="s">
        <v>820</v>
      </c>
      <c r="I93" s="292"/>
      <c r="J93" s="25" t="s">
        <v>821</v>
      </c>
      <c r="K93" s="316" t="s">
        <v>822</v>
      </c>
      <c r="L93" s="292"/>
      <c r="M93" s="292"/>
      <c r="N93" s="317" t="s">
        <v>823</v>
      </c>
      <c r="O93" s="284"/>
      <c r="P93" s="284"/>
      <c r="Q93" s="284"/>
      <c r="R93" s="284"/>
      <c r="S93" s="284"/>
      <c r="T93" s="284"/>
      <c r="U93" s="284"/>
      <c r="V93" s="284"/>
      <c r="W93" s="284"/>
      <c r="X93" s="284"/>
    </row>
    <row r="94">
      <c r="A94" s="285" t="s">
        <v>812</v>
      </c>
      <c r="B94" s="286" t="s">
        <v>824</v>
      </c>
      <c r="C94" s="287">
        <v>563.0</v>
      </c>
      <c r="D94" s="288" t="s">
        <v>825</v>
      </c>
      <c r="E94" s="289" t="s">
        <v>73</v>
      </c>
      <c r="F94" s="290" t="s">
        <v>396</v>
      </c>
      <c r="G94" s="289">
        <v>3.521417671E9</v>
      </c>
      <c r="H94" s="291" t="s">
        <v>826</v>
      </c>
      <c r="I94" s="292"/>
      <c r="J94" s="25" t="s">
        <v>827</v>
      </c>
      <c r="K94" s="27">
        <v>3.549537411E9</v>
      </c>
      <c r="L94" s="292"/>
      <c r="M94" s="292"/>
      <c r="N94" s="297" t="s">
        <v>419</v>
      </c>
      <c r="O94" s="284"/>
      <c r="P94" s="284"/>
      <c r="Q94" s="284"/>
      <c r="R94" s="284"/>
      <c r="S94" s="284"/>
      <c r="T94" s="284"/>
      <c r="U94" s="284"/>
      <c r="V94" s="284"/>
      <c r="W94" s="284"/>
      <c r="X94" s="284"/>
    </row>
    <row r="95">
      <c r="A95" s="285" t="s">
        <v>812</v>
      </c>
      <c r="B95" s="286" t="s">
        <v>828</v>
      </c>
      <c r="C95" s="287">
        <v>74.0</v>
      </c>
      <c r="D95" s="288" t="s">
        <v>829</v>
      </c>
      <c r="E95" s="289" t="s">
        <v>73</v>
      </c>
      <c r="F95" s="290" t="s">
        <v>396</v>
      </c>
      <c r="G95" s="289">
        <v>3.521417995E9</v>
      </c>
      <c r="H95" s="291" t="s">
        <v>830</v>
      </c>
      <c r="I95" s="292"/>
      <c r="J95" s="25" t="s">
        <v>831</v>
      </c>
      <c r="K95" s="311" t="s">
        <v>832</v>
      </c>
      <c r="L95" s="292"/>
      <c r="M95" s="27" t="s">
        <v>401</v>
      </c>
      <c r="N95" s="290" t="s">
        <v>407</v>
      </c>
      <c r="O95" s="284"/>
      <c r="P95" s="284"/>
      <c r="Q95" s="284"/>
      <c r="R95" s="284"/>
      <c r="S95" s="284"/>
      <c r="T95" s="284"/>
      <c r="U95" s="284"/>
      <c r="V95" s="284"/>
      <c r="W95" s="284"/>
      <c r="X95" s="284"/>
    </row>
    <row r="96">
      <c r="A96" s="285" t="s">
        <v>812</v>
      </c>
      <c r="B96" s="286" t="s">
        <v>833</v>
      </c>
      <c r="C96" s="287">
        <v>21.518</v>
      </c>
      <c r="D96" s="288" t="s">
        <v>834</v>
      </c>
      <c r="E96" s="289" t="s">
        <v>96</v>
      </c>
      <c r="F96" s="308" t="s">
        <v>557</v>
      </c>
      <c r="G96" s="289" t="s">
        <v>835</v>
      </c>
      <c r="H96" s="291" t="s">
        <v>836</v>
      </c>
      <c r="I96" s="292"/>
      <c r="J96" s="25" t="s">
        <v>837</v>
      </c>
      <c r="K96" s="27">
        <v>3.521411244E9</v>
      </c>
      <c r="L96" s="292"/>
      <c r="M96" s="27" t="s">
        <v>401</v>
      </c>
      <c r="N96" s="317" t="s">
        <v>838</v>
      </c>
      <c r="O96" s="284"/>
      <c r="P96" s="284"/>
      <c r="Q96" s="284"/>
      <c r="R96" s="284"/>
      <c r="S96" s="284"/>
      <c r="T96" s="284"/>
      <c r="U96" s="284"/>
      <c r="V96" s="284"/>
      <c r="W96" s="284"/>
      <c r="X96" s="284"/>
    </row>
    <row r="97">
      <c r="A97" s="285" t="s">
        <v>812</v>
      </c>
      <c r="B97" s="286" t="s">
        <v>839</v>
      </c>
      <c r="C97" s="287">
        <v>95.0</v>
      </c>
      <c r="D97" s="288" t="s">
        <v>840</v>
      </c>
      <c r="E97" s="289" t="s">
        <v>73</v>
      </c>
      <c r="F97" s="318" t="s">
        <v>396</v>
      </c>
      <c r="G97" s="289">
        <v>3.52551747E9</v>
      </c>
      <c r="H97" s="301"/>
      <c r="I97" s="292"/>
      <c r="J97" s="25" t="s">
        <v>841</v>
      </c>
      <c r="K97" s="27">
        <v>3.521630065E9</v>
      </c>
      <c r="L97" s="292"/>
      <c r="M97" s="27" t="s">
        <v>96</v>
      </c>
      <c r="N97" s="290" t="s">
        <v>407</v>
      </c>
      <c r="O97" s="284"/>
      <c r="P97" s="284"/>
      <c r="Q97" s="284"/>
      <c r="R97" s="284"/>
      <c r="S97" s="284"/>
      <c r="T97" s="284"/>
      <c r="U97" s="284"/>
      <c r="V97" s="284"/>
      <c r="W97" s="284"/>
      <c r="X97" s="284"/>
    </row>
    <row r="98">
      <c r="A98" s="285" t="s">
        <v>812</v>
      </c>
      <c r="B98" s="286" t="s">
        <v>842</v>
      </c>
      <c r="C98" s="287">
        <v>615.0</v>
      </c>
      <c r="D98" s="288" t="s">
        <v>843</v>
      </c>
      <c r="E98" s="289" t="s">
        <v>73</v>
      </c>
      <c r="F98" s="296" t="s">
        <v>415</v>
      </c>
      <c r="G98" s="289">
        <v>3.549447678E9</v>
      </c>
      <c r="H98" s="291" t="s">
        <v>844</v>
      </c>
      <c r="I98" s="292"/>
      <c r="J98" s="25" t="s">
        <v>845</v>
      </c>
      <c r="K98" s="27">
        <v>3.549500305E9</v>
      </c>
      <c r="L98" s="292"/>
      <c r="M98" s="27" t="s">
        <v>401</v>
      </c>
      <c r="N98" s="290" t="s">
        <v>407</v>
      </c>
      <c r="O98" s="284"/>
      <c r="P98" s="284"/>
      <c r="Q98" s="284"/>
      <c r="R98" s="284"/>
      <c r="S98" s="284"/>
      <c r="T98" s="284"/>
      <c r="U98" s="284"/>
      <c r="V98" s="284"/>
      <c r="W98" s="284"/>
      <c r="X98" s="284"/>
    </row>
    <row r="99">
      <c r="A99" s="285" t="s">
        <v>812</v>
      </c>
      <c r="B99" s="286" t="s">
        <v>846</v>
      </c>
      <c r="C99" s="287">
        <v>5.262</v>
      </c>
      <c r="D99" s="288" t="s">
        <v>847</v>
      </c>
      <c r="E99" s="289" t="s">
        <v>96</v>
      </c>
      <c r="F99" s="290" t="s">
        <v>396</v>
      </c>
      <c r="G99" s="289">
        <v>3.521433297E9</v>
      </c>
      <c r="H99" s="286" t="s">
        <v>848</v>
      </c>
      <c r="I99" s="289" t="s">
        <v>389</v>
      </c>
      <c r="J99" s="25" t="s">
        <v>849</v>
      </c>
      <c r="K99" s="27">
        <v>3.521433297E9</v>
      </c>
      <c r="L99" s="292"/>
      <c r="M99" s="27" t="s">
        <v>401</v>
      </c>
      <c r="N99" s="290" t="s">
        <v>407</v>
      </c>
      <c r="O99" s="284"/>
      <c r="P99" s="284"/>
      <c r="Q99" s="284"/>
      <c r="R99" s="284"/>
      <c r="S99" s="284"/>
      <c r="T99" s="284"/>
      <c r="U99" s="284"/>
      <c r="V99" s="284"/>
      <c r="W99" s="284"/>
      <c r="X99" s="284"/>
    </row>
    <row r="100">
      <c r="A100" s="285" t="s">
        <v>812</v>
      </c>
      <c r="B100" s="286" t="s">
        <v>850</v>
      </c>
      <c r="C100" s="287">
        <v>341.0</v>
      </c>
      <c r="D100" s="288" t="s">
        <v>851</v>
      </c>
      <c r="E100" s="289" t="s">
        <v>73</v>
      </c>
      <c r="F100" s="290" t="s">
        <v>396</v>
      </c>
      <c r="G100" s="289">
        <v>3.52141853E9</v>
      </c>
      <c r="H100" s="291" t="s">
        <v>852</v>
      </c>
      <c r="I100" s="292"/>
      <c r="J100" s="25" t="s">
        <v>853</v>
      </c>
      <c r="K100" s="27" t="s">
        <v>854</v>
      </c>
      <c r="L100" s="292"/>
      <c r="M100" s="294"/>
      <c r="N100" s="290" t="s">
        <v>407</v>
      </c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</row>
    <row r="101">
      <c r="A101" s="285" t="s">
        <v>855</v>
      </c>
      <c r="B101" s="286" t="s">
        <v>856</v>
      </c>
      <c r="C101" s="287">
        <v>5.394</v>
      </c>
      <c r="D101" s="288" t="s">
        <v>857</v>
      </c>
      <c r="E101" s="289" t="s">
        <v>96</v>
      </c>
      <c r="F101" s="290" t="s">
        <v>396</v>
      </c>
      <c r="G101" s="289">
        <v>3.58481584E9</v>
      </c>
      <c r="H101" s="291" t="s">
        <v>858</v>
      </c>
      <c r="I101" s="292"/>
      <c r="J101" s="25" t="s">
        <v>859</v>
      </c>
      <c r="K101" s="27">
        <v>3.585600899E9</v>
      </c>
      <c r="L101" s="292"/>
      <c r="M101" s="292"/>
      <c r="N101" s="317" t="s">
        <v>860</v>
      </c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</row>
    <row r="102">
      <c r="A102" s="285" t="s">
        <v>855</v>
      </c>
      <c r="B102" s="286" t="s">
        <v>861</v>
      </c>
      <c r="C102" s="287">
        <v>73.0</v>
      </c>
      <c r="D102" s="288" t="s">
        <v>862</v>
      </c>
      <c r="E102" s="289" t="s">
        <v>73</v>
      </c>
      <c r="F102" s="290" t="s">
        <v>396</v>
      </c>
      <c r="G102" s="289">
        <v>3.58444754E9</v>
      </c>
      <c r="H102" s="291" t="s">
        <v>863</v>
      </c>
      <c r="I102" s="292"/>
      <c r="J102" s="25" t="s">
        <v>864</v>
      </c>
      <c r="K102" s="27">
        <v>3.584431665E9</v>
      </c>
      <c r="L102" s="292"/>
      <c r="M102" s="27" t="s">
        <v>401</v>
      </c>
      <c r="N102" s="290" t="s">
        <v>407</v>
      </c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</row>
    <row r="103">
      <c r="A103" s="285" t="s">
        <v>855</v>
      </c>
      <c r="B103" s="286" t="s">
        <v>865</v>
      </c>
      <c r="C103" s="287">
        <v>917.0</v>
      </c>
      <c r="D103" s="288" t="s">
        <v>866</v>
      </c>
      <c r="E103" s="289" t="s">
        <v>96</v>
      </c>
      <c r="F103" s="290" t="s">
        <v>509</v>
      </c>
      <c r="G103" s="289">
        <v>3.535693688E9</v>
      </c>
      <c r="H103" s="291" t="s">
        <v>867</v>
      </c>
      <c r="I103" s="292"/>
      <c r="J103" s="25" t="s">
        <v>868</v>
      </c>
      <c r="K103" s="27">
        <v>3.535628971E9</v>
      </c>
      <c r="L103" s="292"/>
      <c r="M103" s="27" t="s">
        <v>401</v>
      </c>
      <c r="N103" s="290" t="s">
        <v>407</v>
      </c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</row>
    <row r="104">
      <c r="A104" s="285" t="s">
        <v>855</v>
      </c>
      <c r="B104" s="286" t="s">
        <v>869</v>
      </c>
      <c r="C104" s="287">
        <v>1.928</v>
      </c>
      <c r="D104" s="288" t="s">
        <v>870</v>
      </c>
      <c r="E104" s="289" t="s">
        <v>96</v>
      </c>
      <c r="F104" s="290" t="s">
        <v>396</v>
      </c>
      <c r="G104" s="289">
        <v>3.584126033E9</v>
      </c>
      <c r="H104" s="291" t="s">
        <v>871</v>
      </c>
      <c r="I104" s="292"/>
      <c r="J104" s="25" t="s">
        <v>872</v>
      </c>
      <c r="K104" s="27" t="s">
        <v>873</v>
      </c>
      <c r="L104" s="292"/>
      <c r="M104" s="292"/>
      <c r="N104" s="297" t="s">
        <v>419</v>
      </c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</row>
    <row r="105">
      <c r="A105" s="285" t="s">
        <v>855</v>
      </c>
      <c r="B105" s="286" t="s">
        <v>874</v>
      </c>
      <c r="C105" s="287">
        <v>1.117</v>
      </c>
      <c r="D105" s="288" t="s">
        <v>875</v>
      </c>
      <c r="E105" s="289" t="s">
        <v>96</v>
      </c>
      <c r="F105" s="290" t="s">
        <v>396</v>
      </c>
      <c r="G105" s="289" t="s">
        <v>876</v>
      </c>
      <c r="H105" s="291" t="s">
        <v>345</v>
      </c>
      <c r="I105" s="292"/>
      <c r="J105" s="25" t="s">
        <v>344</v>
      </c>
      <c r="K105" s="27">
        <v>3.584329533E9</v>
      </c>
      <c r="L105" s="292"/>
      <c r="M105" s="294"/>
      <c r="N105" s="290" t="s">
        <v>407</v>
      </c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</row>
    <row r="106">
      <c r="A106" s="285" t="s">
        <v>855</v>
      </c>
      <c r="B106" s="286" t="s">
        <v>877</v>
      </c>
      <c r="C106" s="287">
        <v>85.0</v>
      </c>
      <c r="D106" s="288" t="s">
        <v>878</v>
      </c>
      <c r="E106" s="289" t="s">
        <v>73</v>
      </c>
      <c r="F106" s="290" t="s">
        <v>396</v>
      </c>
      <c r="G106" s="289">
        <v>3.584416107E9</v>
      </c>
      <c r="H106" s="291" t="s">
        <v>879</v>
      </c>
      <c r="I106" s="292"/>
      <c r="J106" s="25" t="s">
        <v>880</v>
      </c>
      <c r="K106" s="27" t="s">
        <v>881</v>
      </c>
      <c r="L106" s="292"/>
      <c r="M106" s="294"/>
      <c r="N106" s="290" t="s">
        <v>407</v>
      </c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</row>
    <row r="107">
      <c r="A107" s="285" t="s">
        <v>855</v>
      </c>
      <c r="B107" s="286" t="s">
        <v>882</v>
      </c>
      <c r="C107" s="287">
        <v>11.837</v>
      </c>
      <c r="D107" s="288" t="s">
        <v>883</v>
      </c>
      <c r="E107" s="289" t="s">
        <v>96</v>
      </c>
      <c r="F107" s="296" t="s">
        <v>415</v>
      </c>
      <c r="G107" s="289">
        <v>3.586005702E9</v>
      </c>
      <c r="H107" s="301"/>
      <c r="I107" s="27" t="s">
        <v>884</v>
      </c>
      <c r="J107" s="25" t="s">
        <v>885</v>
      </c>
      <c r="K107" s="289">
        <v>3.586005702E9</v>
      </c>
      <c r="L107" s="292"/>
      <c r="M107" s="292"/>
      <c r="N107" s="297" t="s">
        <v>419</v>
      </c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</row>
    <row r="108">
      <c r="A108" s="285" t="s">
        <v>855</v>
      </c>
      <c r="B108" s="286" t="s">
        <v>886</v>
      </c>
      <c r="C108" s="287">
        <v>11.083</v>
      </c>
      <c r="D108" s="288" t="s">
        <v>887</v>
      </c>
      <c r="E108" s="289" t="s">
        <v>96</v>
      </c>
      <c r="F108" s="308" t="s">
        <v>557</v>
      </c>
      <c r="G108" s="289">
        <v>3.584286803E9</v>
      </c>
      <c r="H108" s="291" t="s">
        <v>888</v>
      </c>
      <c r="I108" s="292"/>
      <c r="J108" s="25" t="s">
        <v>889</v>
      </c>
      <c r="K108" s="27">
        <v>3.58600921E9</v>
      </c>
      <c r="L108" s="292"/>
      <c r="M108" s="292"/>
      <c r="N108" s="300" t="s">
        <v>890</v>
      </c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</row>
    <row r="109">
      <c r="A109" s="285" t="s">
        <v>855</v>
      </c>
      <c r="B109" s="286" t="s">
        <v>891</v>
      </c>
      <c r="C109" s="287">
        <v>1.147</v>
      </c>
      <c r="D109" s="288" t="s">
        <v>892</v>
      </c>
      <c r="E109" s="289" t="s">
        <v>96</v>
      </c>
      <c r="F109" s="290" t="s">
        <v>396</v>
      </c>
      <c r="G109" s="289">
        <v>3.584601374E9</v>
      </c>
      <c r="H109" s="301"/>
      <c r="I109" s="292"/>
      <c r="J109" s="25" t="s">
        <v>893</v>
      </c>
      <c r="K109" s="27">
        <v>3.584604373E9</v>
      </c>
      <c r="L109" s="292"/>
      <c r="M109" s="27" t="s">
        <v>401</v>
      </c>
      <c r="N109" s="297" t="s">
        <v>419</v>
      </c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</row>
    <row r="110">
      <c r="A110" s="285" t="s">
        <v>855</v>
      </c>
      <c r="B110" s="286" t="s">
        <v>894</v>
      </c>
      <c r="C110" s="287">
        <v>12.722</v>
      </c>
      <c r="D110" s="288" t="s">
        <v>895</v>
      </c>
      <c r="E110" s="289" t="s">
        <v>96</v>
      </c>
      <c r="F110" s="290" t="s">
        <v>396</v>
      </c>
      <c r="G110" s="289">
        <v>3.5844409156E10</v>
      </c>
      <c r="H110" s="291" t="s">
        <v>896</v>
      </c>
      <c r="I110" s="292"/>
      <c r="J110" s="25" t="s">
        <v>897</v>
      </c>
      <c r="K110" s="27">
        <v>3.584440428E9</v>
      </c>
      <c r="L110" s="292"/>
      <c r="M110" s="27" t="s">
        <v>401</v>
      </c>
      <c r="N110" s="290" t="s">
        <v>407</v>
      </c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</row>
    <row r="111">
      <c r="A111" s="285" t="s">
        <v>855</v>
      </c>
      <c r="B111" s="286" t="s">
        <v>898</v>
      </c>
      <c r="C111" s="287">
        <v>563.0</v>
      </c>
      <c r="D111" s="288" t="s">
        <v>899</v>
      </c>
      <c r="E111" s="289" t="s">
        <v>96</v>
      </c>
      <c r="F111" s="290" t="s">
        <v>396</v>
      </c>
      <c r="G111" s="289">
        <v>3.58449809E9</v>
      </c>
      <c r="H111" s="291" t="s">
        <v>900</v>
      </c>
      <c r="I111" s="292"/>
      <c r="J111" s="25" t="s">
        <v>901</v>
      </c>
      <c r="K111" s="27" t="s">
        <v>902</v>
      </c>
      <c r="L111" s="292"/>
      <c r="M111" s="292"/>
      <c r="N111" s="296" t="s">
        <v>903</v>
      </c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</row>
    <row r="112">
      <c r="A112" s="285" t="s">
        <v>855</v>
      </c>
      <c r="B112" s="286" t="s">
        <v>904</v>
      </c>
      <c r="C112" s="287">
        <v>644.0</v>
      </c>
      <c r="D112" s="288" t="s">
        <v>905</v>
      </c>
      <c r="E112" s="289" t="s">
        <v>96</v>
      </c>
      <c r="F112" s="290" t="s">
        <v>396</v>
      </c>
      <c r="G112" s="289">
        <v>3.584182406E9</v>
      </c>
      <c r="H112" s="291" t="s">
        <v>906</v>
      </c>
      <c r="I112" s="292"/>
      <c r="J112" s="25" t="s">
        <v>329</v>
      </c>
      <c r="K112" s="27">
        <v>3.586543232E9</v>
      </c>
      <c r="L112" s="292"/>
      <c r="M112" s="294"/>
      <c r="N112" s="290" t="s">
        <v>407</v>
      </c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</row>
    <row r="113">
      <c r="A113" s="285" t="s">
        <v>855</v>
      </c>
      <c r="B113" s="286" t="s">
        <v>907</v>
      </c>
      <c r="C113" s="287">
        <v>60.0</v>
      </c>
      <c r="D113" s="288" t="s">
        <v>908</v>
      </c>
      <c r="E113" s="289" t="s">
        <v>73</v>
      </c>
      <c r="F113" s="290" t="s">
        <v>396</v>
      </c>
      <c r="G113" s="289">
        <v>3.584602288E9</v>
      </c>
      <c r="H113" s="291" t="s">
        <v>909</v>
      </c>
      <c r="I113" s="292"/>
      <c r="J113" s="25" t="s">
        <v>910</v>
      </c>
      <c r="K113" s="27" t="s">
        <v>911</v>
      </c>
      <c r="L113" s="292"/>
      <c r="M113" s="294"/>
      <c r="N113" s="290" t="s">
        <v>407</v>
      </c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</row>
    <row r="114">
      <c r="A114" s="285" t="s">
        <v>855</v>
      </c>
      <c r="B114" s="286" t="s">
        <v>912</v>
      </c>
      <c r="C114" s="287">
        <v>87.0</v>
      </c>
      <c r="D114" s="288" t="s">
        <v>913</v>
      </c>
      <c r="E114" s="289" t="s">
        <v>73</v>
      </c>
      <c r="F114" s="296" t="s">
        <v>595</v>
      </c>
      <c r="G114" s="289" t="s">
        <v>914</v>
      </c>
      <c r="H114" s="309" t="s">
        <v>915</v>
      </c>
      <c r="I114" s="292"/>
      <c r="J114" s="25" t="s">
        <v>916</v>
      </c>
      <c r="K114" s="27" t="s">
        <v>917</v>
      </c>
      <c r="L114" s="292"/>
      <c r="M114" s="27" t="s">
        <v>401</v>
      </c>
      <c r="N114" s="297" t="s">
        <v>419</v>
      </c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</row>
    <row r="115">
      <c r="A115" s="285" t="s">
        <v>855</v>
      </c>
      <c r="B115" s="286" t="s">
        <v>918</v>
      </c>
      <c r="C115" s="287">
        <v>1.742</v>
      </c>
      <c r="D115" s="288" t="s">
        <v>919</v>
      </c>
      <c r="E115" s="289" t="s">
        <v>96</v>
      </c>
      <c r="F115" s="290" t="s">
        <v>396</v>
      </c>
      <c r="G115" s="289">
        <v>3.512129878E9</v>
      </c>
      <c r="H115" s="291" t="s">
        <v>920</v>
      </c>
      <c r="I115" s="292"/>
      <c r="J115" s="25" t="s">
        <v>921</v>
      </c>
      <c r="K115" s="27" t="s">
        <v>922</v>
      </c>
      <c r="L115" s="292"/>
      <c r="M115" s="292"/>
      <c r="N115" s="297" t="s">
        <v>419</v>
      </c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</row>
    <row r="116">
      <c r="A116" s="285" t="s">
        <v>855</v>
      </c>
      <c r="B116" s="286" t="s">
        <v>923</v>
      </c>
      <c r="C116" s="287">
        <v>2.417</v>
      </c>
      <c r="D116" s="288" t="s">
        <v>924</v>
      </c>
      <c r="E116" s="289" t="s">
        <v>96</v>
      </c>
      <c r="F116" s="290" t="s">
        <v>396</v>
      </c>
      <c r="G116" s="289">
        <v>3.58443377E9</v>
      </c>
      <c r="H116" s="291" t="s">
        <v>925</v>
      </c>
      <c r="I116" s="292"/>
      <c r="J116" s="25" t="s">
        <v>323</v>
      </c>
      <c r="K116" s="27">
        <v>3.584405706E9</v>
      </c>
      <c r="L116" s="292"/>
      <c r="M116" s="27" t="s">
        <v>401</v>
      </c>
      <c r="N116" s="290" t="s">
        <v>407</v>
      </c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</row>
    <row r="117">
      <c r="A117" s="285" t="s">
        <v>855</v>
      </c>
      <c r="B117" s="286" t="s">
        <v>926</v>
      </c>
      <c r="C117" s="287">
        <v>5.167</v>
      </c>
      <c r="D117" s="288" t="s">
        <v>927</v>
      </c>
      <c r="E117" s="289" t="s">
        <v>96</v>
      </c>
      <c r="F117" s="290" t="s">
        <v>396</v>
      </c>
      <c r="G117" s="289">
        <v>3.535086241E9</v>
      </c>
      <c r="H117" s="286" t="s">
        <v>928</v>
      </c>
      <c r="I117" s="289" t="s">
        <v>389</v>
      </c>
      <c r="J117" s="25" t="s">
        <v>929</v>
      </c>
      <c r="K117" s="27">
        <v>3.535086241E9</v>
      </c>
      <c r="L117" s="292"/>
      <c r="M117" s="294"/>
      <c r="N117" s="290" t="s">
        <v>407</v>
      </c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</row>
    <row r="118">
      <c r="A118" s="285" t="s">
        <v>930</v>
      </c>
      <c r="B118" s="286" t="s">
        <v>931</v>
      </c>
      <c r="C118" s="287">
        <v>3.385</v>
      </c>
      <c r="D118" s="288" t="s">
        <v>932</v>
      </c>
      <c r="E118" s="289" t="s">
        <v>96</v>
      </c>
      <c r="F118" s="290" t="s">
        <v>933</v>
      </c>
      <c r="G118" s="289">
        <v>3.468524246E9</v>
      </c>
      <c r="H118" s="291" t="s">
        <v>934</v>
      </c>
      <c r="I118" s="292"/>
      <c r="J118" s="25" t="s">
        <v>935</v>
      </c>
      <c r="K118" s="27">
        <v>3.46841141E9</v>
      </c>
      <c r="L118" s="292"/>
      <c r="M118" s="27" t="s">
        <v>401</v>
      </c>
      <c r="N118" s="297" t="s">
        <v>419</v>
      </c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</row>
    <row r="119">
      <c r="A119" s="285" t="s">
        <v>930</v>
      </c>
      <c r="B119" s="286" t="s">
        <v>936</v>
      </c>
      <c r="C119" s="287">
        <v>7.249</v>
      </c>
      <c r="D119" s="288" t="s">
        <v>937</v>
      </c>
      <c r="E119" s="289" t="s">
        <v>96</v>
      </c>
      <c r="F119" s="296" t="s">
        <v>415</v>
      </c>
      <c r="G119" s="289">
        <v>3.4685512372E10</v>
      </c>
      <c r="H119" s="291" t="s">
        <v>938</v>
      </c>
      <c r="I119" s="292"/>
      <c r="J119" s="25" t="s">
        <v>939</v>
      </c>
      <c r="K119" s="27" t="s">
        <v>940</v>
      </c>
      <c r="L119" s="292"/>
      <c r="M119" s="292"/>
      <c r="N119" s="297" t="s">
        <v>419</v>
      </c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</row>
    <row r="120">
      <c r="A120" s="285" t="s">
        <v>930</v>
      </c>
      <c r="B120" s="286" t="s">
        <v>941</v>
      </c>
      <c r="C120" s="287">
        <v>5.209</v>
      </c>
      <c r="D120" s="288" t="s">
        <v>942</v>
      </c>
      <c r="E120" s="289" t="s">
        <v>96</v>
      </c>
      <c r="F120" s="296" t="s">
        <v>415</v>
      </c>
      <c r="G120" s="289">
        <v>3.468517927E9</v>
      </c>
      <c r="H120" s="291" t="s">
        <v>943</v>
      </c>
      <c r="I120" s="292"/>
      <c r="J120" s="25" t="s">
        <v>944</v>
      </c>
      <c r="K120" s="27">
        <v>3.468644516E9</v>
      </c>
      <c r="L120" s="292"/>
      <c r="M120" s="292"/>
      <c r="N120" s="297" t="s">
        <v>419</v>
      </c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</row>
    <row r="121">
      <c r="A121" s="285" t="s">
        <v>930</v>
      </c>
      <c r="B121" s="286" t="s">
        <v>945</v>
      </c>
      <c r="C121" s="287">
        <v>497.0</v>
      </c>
      <c r="D121" s="288" t="s">
        <v>946</v>
      </c>
      <c r="E121" s="289" t="s">
        <v>96</v>
      </c>
      <c r="F121" s="290" t="s">
        <v>396</v>
      </c>
      <c r="G121" s="289">
        <v>3.46856256E9</v>
      </c>
      <c r="H121" s="291" t="s">
        <v>121</v>
      </c>
      <c r="I121" s="292"/>
      <c r="J121" s="25" t="s">
        <v>947</v>
      </c>
      <c r="K121" s="27" t="s">
        <v>948</v>
      </c>
      <c r="L121" s="292"/>
      <c r="M121" s="27" t="s">
        <v>401</v>
      </c>
      <c r="N121" s="290" t="s">
        <v>407</v>
      </c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</row>
    <row r="122">
      <c r="A122" s="285" t="s">
        <v>930</v>
      </c>
      <c r="B122" s="286" t="s">
        <v>949</v>
      </c>
      <c r="C122" s="287">
        <v>1.24</v>
      </c>
      <c r="D122" s="288" t="s">
        <v>950</v>
      </c>
      <c r="E122" s="289" t="s">
        <v>96</v>
      </c>
      <c r="F122" s="290" t="s">
        <v>951</v>
      </c>
      <c r="G122" s="289">
        <v>3.468647816E9</v>
      </c>
      <c r="H122" s="291" t="s">
        <v>952</v>
      </c>
      <c r="I122" s="292"/>
      <c r="J122" s="25" t="s">
        <v>953</v>
      </c>
      <c r="K122" s="27">
        <v>3.468528144E9</v>
      </c>
      <c r="L122" s="292"/>
      <c r="M122" s="294"/>
      <c r="N122" s="290" t="s">
        <v>407</v>
      </c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</row>
    <row r="123">
      <c r="A123" s="285" t="s">
        <v>930</v>
      </c>
      <c r="B123" s="286" t="s">
        <v>954</v>
      </c>
      <c r="C123" s="287">
        <v>175.0</v>
      </c>
      <c r="D123" s="288" t="s">
        <v>955</v>
      </c>
      <c r="E123" s="289" t="s">
        <v>73</v>
      </c>
      <c r="F123" s="290" t="s">
        <v>396</v>
      </c>
      <c r="G123" s="289">
        <v>3.46856009E9</v>
      </c>
      <c r="H123" s="309" t="s">
        <v>956</v>
      </c>
      <c r="I123" s="292"/>
      <c r="J123" s="25" t="s">
        <v>957</v>
      </c>
      <c r="K123" s="27" t="s">
        <v>958</v>
      </c>
      <c r="L123" s="292"/>
      <c r="M123" s="292"/>
      <c r="N123" s="297" t="s">
        <v>419</v>
      </c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</row>
    <row r="124">
      <c r="A124" s="285" t="s">
        <v>930</v>
      </c>
      <c r="B124" s="286" t="s">
        <v>959</v>
      </c>
      <c r="C124" s="287">
        <v>753.0</v>
      </c>
      <c r="D124" s="288" t="s">
        <v>960</v>
      </c>
      <c r="E124" s="289" t="s">
        <v>96</v>
      </c>
      <c r="F124" s="290" t="s">
        <v>396</v>
      </c>
      <c r="G124" s="289">
        <v>3.468526428E9</v>
      </c>
      <c r="H124" s="291" t="s">
        <v>961</v>
      </c>
      <c r="I124" s="292"/>
      <c r="J124" s="25" t="s">
        <v>962</v>
      </c>
      <c r="K124" s="27">
        <v>3.468501628E9</v>
      </c>
      <c r="L124" s="292"/>
      <c r="M124" s="27" t="s">
        <v>401</v>
      </c>
      <c r="N124" s="290" t="s">
        <v>407</v>
      </c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</row>
    <row r="125">
      <c r="A125" s="285" t="s">
        <v>930</v>
      </c>
      <c r="B125" s="286" t="s">
        <v>963</v>
      </c>
      <c r="C125" s="287">
        <v>10.426</v>
      </c>
      <c r="D125" s="288" t="s">
        <v>964</v>
      </c>
      <c r="E125" s="289" t="s">
        <v>96</v>
      </c>
      <c r="F125" s="290" t="s">
        <v>951</v>
      </c>
      <c r="G125" s="289" t="s">
        <v>965</v>
      </c>
      <c r="H125" s="291" t="s">
        <v>966</v>
      </c>
      <c r="I125" s="292"/>
      <c r="J125" s="25" t="s">
        <v>967</v>
      </c>
      <c r="K125" s="27">
        <v>3.468550458E9</v>
      </c>
      <c r="L125" s="292"/>
      <c r="M125" s="292"/>
      <c r="N125" s="297" t="s">
        <v>419</v>
      </c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</row>
    <row r="126">
      <c r="A126" s="285" t="s">
        <v>930</v>
      </c>
      <c r="B126" s="286" t="s">
        <v>968</v>
      </c>
      <c r="C126" s="287">
        <v>7.2</v>
      </c>
      <c r="D126" s="288" t="s">
        <v>969</v>
      </c>
      <c r="E126" s="289" t="s">
        <v>96</v>
      </c>
      <c r="F126" s="290" t="s">
        <v>951</v>
      </c>
      <c r="G126" s="289">
        <v>3.513063795E9</v>
      </c>
      <c r="H126" s="286" t="s">
        <v>970</v>
      </c>
      <c r="I126" s="289" t="s">
        <v>389</v>
      </c>
      <c r="J126" s="25" t="s">
        <v>339</v>
      </c>
      <c r="K126" s="27">
        <v>3.513063795E9</v>
      </c>
      <c r="L126" s="292"/>
      <c r="M126" s="292"/>
      <c r="N126" s="319" t="s">
        <v>509</v>
      </c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</row>
    <row r="127">
      <c r="A127" s="285" t="s">
        <v>930</v>
      </c>
      <c r="B127" s="286" t="s">
        <v>971</v>
      </c>
      <c r="C127" s="287">
        <v>2.397</v>
      </c>
      <c r="D127" s="288" t="s">
        <v>972</v>
      </c>
      <c r="E127" s="289" t="s">
        <v>96</v>
      </c>
      <c r="F127" s="290" t="s">
        <v>396</v>
      </c>
      <c r="G127" s="289">
        <v>3.468527027E9</v>
      </c>
      <c r="H127" s="301"/>
      <c r="I127" s="292"/>
      <c r="J127" s="25" t="s">
        <v>973</v>
      </c>
      <c r="K127" s="27">
        <v>3.468512117E9</v>
      </c>
      <c r="L127" s="292"/>
      <c r="M127" s="292"/>
      <c r="N127" s="297" t="s">
        <v>419</v>
      </c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</row>
    <row r="128">
      <c r="A128" s="285" t="s">
        <v>930</v>
      </c>
      <c r="B128" s="286" t="s">
        <v>974</v>
      </c>
      <c r="C128" s="287">
        <v>2.785</v>
      </c>
      <c r="D128" s="288" t="s">
        <v>975</v>
      </c>
      <c r="E128" s="289" t="s">
        <v>96</v>
      </c>
      <c r="F128" s="290" t="s">
        <v>933</v>
      </c>
      <c r="G128" s="289" t="s">
        <v>976</v>
      </c>
      <c r="H128" s="291" t="s">
        <v>977</v>
      </c>
      <c r="I128" s="292"/>
      <c r="J128" s="25" t="s">
        <v>978</v>
      </c>
      <c r="K128" s="27">
        <v>3.472637614E9</v>
      </c>
      <c r="L128" s="292"/>
      <c r="M128" s="292"/>
      <c r="N128" s="297" t="s">
        <v>419</v>
      </c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</row>
    <row r="129">
      <c r="A129" s="285" t="s">
        <v>930</v>
      </c>
      <c r="B129" s="286" t="s">
        <v>979</v>
      </c>
      <c r="C129" s="287">
        <v>2.475</v>
      </c>
      <c r="D129" s="288" t="s">
        <v>980</v>
      </c>
      <c r="E129" s="289" t="s">
        <v>96</v>
      </c>
      <c r="F129" s="296" t="s">
        <v>415</v>
      </c>
      <c r="G129" s="289">
        <v>3.468542386E9</v>
      </c>
      <c r="H129" s="291" t="s">
        <v>981</v>
      </c>
      <c r="I129" s="292"/>
      <c r="J129" s="25" t="s">
        <v>982</v>
      </c>
      <c r="K129" s="27">
        <v>3.4685321E9</v>
      </c>
      <c r="L129" s="292"/>
      <c r="M129" s="27" t="s">
        <v>401</v>
      </c>
      <c r="N129" s="297" t="s">
        <v>419</v>
      </c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</row>
    <row r="130">
      <c r="A130" s="285" t="s">
        <v>930</v>
      </c>
      <c r="B130" s="286" t="s">
        <v>983</v>
      </c>
      <c r="C130" s="287">
        <v>3.722</v>
      </c>
      <c r="D130" s="288" t="s">
        <v>984</v>
      </c>
      <c r="E130" s="289" t="s">
        <v>96</v>
      </c>
      <c r="F130" s="290" t="s">
        <v>396</v>
      </c>
      <c r="G130" s="289">
        <v>3.51760484E9</v>
      </c>
      <c r="H130" s="291" t="s">
        <v>985</v>
      </c>
      <c r="I130" s="292"/>
      <c r="J130" s="25" t="s">
        <v>986</v>
      </c>
      <c r="K130" s="27">
        <v>3.51760484E9</v>
      </c>
      <c r="L130" s="292"/>
      <c r="M130" s="27" t="s">
        <v>401</v>
      </c>
      <c r="N130" s="290" t="s">
        <v>407</v>
      </c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</row>
    <row r="131">
      <c r="A131" s="285" t="s">
        <v>930</v>
      </c>
      <c r="B131" s="286" t="s">
        <v>987</v>
      </c>
      <c r="C131" s="287">
        <v>4.39</v>
      </c>
      <c r="D131" s="288" t="s">
        <v>988</v>
      </c>
      <c r="E131" s="289" t="s">
        <v>96</v>
      </c>
      <c r="F131" s="296" t="s">
        <v>415</v>
      </c>
      <c r="G131" s="289">
        <v>3.468560396E9</v>
      </c>
      <c r="H131" s="286" t="s">
        <v>989</v>
      </c>
      <c r="I131" s="289" t="s">
        <v>389</v>
      </c>
      <c r="J131" s="25" t="s">
        <v>990</v>
      </c>
      <c r="K131" s="27">
        <v>3.468560396E9</v>
      </c>
      <c r="L131" s="292"/>
      <c r="M131" s="27" t="s">
        <v>401</v>
      </c>
      <c r="N131" s="297" t="s">
        <v>419</v>
      </c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</row>
    <row r="132">
      <c r="A132" s="285" t="s">
        <v>930</v>
      </c>
      <c r="B132" s="286" t="s">
        <v>991</v>
      </c>
      <c r="C132" s="287">
        <v>10.529</v>
      </c>
      <c r="D132" s="288" t="s">
        <v>992</v>
      </c>
      <c r="E132" s="289" t="s">
        <v>96</v>
      </c>
      <c r="F132" s="290" t="s">
        <v>396</v>
      </c>
      <c r="G132" s="289">
        <v>3.472468622E9</v>
      </c>
      <c r="H132" s="291" t="s">
        <v>993</v>
      </c>
      <c r="I132" s="292"/>
      <c r="J132" s="25" t="s">
        <v>994</v>
      </c>
      <c r="K132" s="27">
        <v>3.472468622E9</v>
      </c>
      <c r="L132" s="292"/>
      <c r="M132" s="292"/>
      <c r="N132" s="320" t="s">
        <v>995</v>
      </c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</row>
    <row r="133">
      <c r="A133" s="285" t="s">
        <v>930</v>
      </c>
      <c r="B133" s="286" t="s">
        <v>996</v>
      </c>
      <c r="C133" s="287">
        <v>2.795</v>
      </c>
      <c r="D133" s="288" t="s">
        <v>997</v>
      </c>
      <c r="E133" s="289" t="s">
        <v>96</v>
      </c>
      <c r="F133" s="290" t="s">
        <v>396</v>
      </c>
      <c r="G133" s="289">
        <v>3.467444105E9</v>
      </c>
      <c r="H133" s="291" t="s">
        <v>998</v>
      </c>
      <c r="I133" s="292"/>
      <c r="J133" s="25" t="s">
        <v>999</v>
      </c>
      <c r="K133" s="27" t="s">
        <v>1000</v>
      </c>
      <c r="L133" s="292"/>
      <c r="M133" s="292"/>
      <c r="N133" s="297" t="s">
        <v>419</v>
      </c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</row>
    <row r="134">
      <c r="A134" s="285" t="s">
        <v>930</v>
      </c>
      <c r="B134" s="286" t="s">
        <v>1001</v>
      </c>
      <c r="C134" s="287">
        <v>27.071</v>
      </c>
      <c r="D134" s="288" t="s">
        <v>1002</v>
      </c>
      <c r="E134" s="289" t="s">
        <v>96</v>
      </c>
      <c r="F134" s="296" t="s">
        <v>595</v>
      </c>
      <c r="G134" s="289">
        <v>3.472586253E9</v>
      </c>
      <c r="H134" s="291" t="s">
        <v>1003</v>
      </c>
      <c r="I134" s="292"/>
      <c r="J134" s="25" t="s">
        <v>1004</v>
      </c>
      <c r="K134" s="286">
        <v>3.472557703E9</v>
      </c>
      <c r="L134" s="292"/>
      <c r="M134" s="27" t="s">
        <v>401</v>
      </c>
      <c r="N134" s="297" t="s">
        <v>419</v>
      </c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</row>
    <row r="135">
      <c r="A135" s="285" t="s">
        <v>930</v>
      </c>
      <c r="B135" s="286" t="s">
        <v>1005</v>
      </c>
      <c r="C135" s="287">
        <v>6.285</v>
      </c>
      <c r="D135" s="288" t="s">
        <v>1006</v>
      </c>
      <c r="E135" s="289" t="s">
        <v>96</v>
      </c>
      <c r="F135" s="321" t="s">
        <v>1007</v>
      </c>
      <c r="G135" s="289">
        <v>3.4674124E9</v>
      </c>
      <c r="H135" s="291" t="s">
        <v>1008</v>
      </c>
      <c r="I135" s="292"/>
      <c r="J135" s="25" t="s">
        <v>1009</v>
      </c>
      <c r="K135" s="27">
        <v>3.467435245E9</v>
      </c>
      <c r="L135" s="292"/>
      <c r="M135" s="292"/>
      <c r="N135" s="297" t="s">
        <v>419</v>
      </c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</row>
    <row r="136">
      <c r="A136" s="285" t="s">
        <v>930</v>
      </c>
      <c r="B136" s="286" t="s">
        <v>1010</v>
      </c>
      <c r="C136" s="287">
        <v>812.0</v>
      </c>
      <c r="D136" s="288" t="s">
        <v>1011</v>
      </c>
      <c r="E136" s="289" t="s">
        <v>96</v>
      </c>
      <c r="F136" s="290" t="s">
        <v>396</v>
      </c>
      <c r="G136" s="289">
        <v>3.472502676E9</v>
      </c>
      <c r="H136" s="286" t="s">
        <v>1012</v>
      </c>
      <c r="I136" s="289" t="s">
        <v>389</v>
      </c>
      <c r="J136" s="25" t="s">
        <v>1013</v>
      </c>
      <c r="K136" s="27" t="s">
        <v>1014</v>
      </c>
      <c r="L136" s="292"/>
      <c r="M136" s="294"/>
      <c r="N136" s="290" t="s">
        <v>407</v>
      </c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</row>
    <row r="137">
      <c r="A137" s="285" t="s">
        <v>930</v>
      </c>
      <c r="B137" s="286" t="s">
        <v>1015</v>
      </c>
      <c r="C137" s="287">
        <v>186.0</v>
      </c>
      <c r="D137" s="288" t="s">
        <v>1016</v>
      </c>
      <c r="E137" s="289" t="s">
        <v>73</v>
      </c>
      <c r="F137" s="290" t="s">
        <v>396</v>
      </c>
      <c r="G137" s="289" t="s">
        <v>1017</v>
      </c>
      <c r="H137" s="291" t="s">
        <v>1018</v>
      </c>
      <c r="I137" s="292"/>
      <c r="J137" s="25" t="s">
        <v>1019</v>
      </c>
      <c r="K137" s="27">
        <v>3.467416734E9</v>
      </c>
      <c r="L137" s="292"/>
      <c r="M137" s="294"/>
      <c r="N137" s="290" t="s">
        <v>407</v>
      </c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</row>
    <row r="138">
      <c r="A138" s="285" t="s">
        <v>930</v>
      </c>
      <c r="B138" s="286" t="s">
        <v>1020</v>
      </c>
      <c r="C138" s="287">
        <v>26.0</v>
      </c>
      <c r="D138" s="288" t="s">
        <v>1021</v>
      </c>
      <c r="E138" s="289" t="s">
        <v>73</v>
      </c>
      <c r="F138" s="296" t="s">
        <v>415</v>
      </c>
      <c r="G138" s="289">
        <v>3.472558851E9</v>
      </c>
      <c r="H138" s="291" t="s">
        <v>1022</v>
      </c>
      <c r="I138" s="292"/>
      <c r="J138" s="25" t="s">
        <v>1023</v>
      </c>
      <c r="K138" s="292"/>
      <c r="L138" s="292"/>
      <c r="M138" s="292"/>
      <c r="N138" s="297" t="s">
        <v>419</v>
      </c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</row>
    <row r="139">
      <c r="A139" s="285" t="s">
        <v>1024</v>
      </c>
      <c r="B139" s="286" t="s">
        <v>1025</v>
      </c>
      <c r="C139" s="287">
        <v>718.0</v>
      </c>
      <c r="D139" s="288" t="s">
        <v>1026</v>
      </c>
      <c r="E139" s="289" t="s">
        <v>73</v>
      </c>
      <c r="F139" s="290" t="s">
        <v>396</v>
      </c>
      <c r="G139" s="289" t="s">
        <v>1027</v>
      </c>
      <c r="H139" s="291" t="s">
        <v>1028</v>
      </c>
      <c r="I139" s="292"/>
      <c r="J139" s="25" t="s">
        <v>1029</v>
      </c>
      <c r="K139" s="27">
        <v>3.542461276E9</v>
      </c>
      <c r="L139" s="292"/>
      <c r="M139" s="294"/>
      <c r="N139" s="290" t="s">
        <v>407</v>
      </c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</row>
    <row r="140">
      <c r="A140" s="285" t="s">
        <v>1024</v>
      </c>
      <c r="B140" s="286" t="s">
        <v>1030</v>
      </c>
      <c r="C140" s="287">
        <v>401.0</v>
      </c>
      <c r="D140" s="288" t="s">
        <v>1031</v>
      </c>
      <c r="E140" s="289" t="s">
        <v>73</v>
      </c>
      <c r="F140" s="290" t="s">
        <v>396</v>
      </c>
      <c r="G140" s="289">
        <v>3.549630918E9</v>
      </c>
      <c r="H140" s="291" t="s">
        <v>1032</v>
      </c>
      <c r="I140" s="292"/>
      <c r="J140" s="25" t="s">
        <v>1033</v>
      </c>
      <c r="K140" s="27">
        <v>3.549534354E9</v>
      </c>
      <c r="L140" s="292"/>
      <c r="M140" s="27" t="s">
        <v>401</v>
      </c>
      <c r="N140" s="322" t="s">
        <v>1034</v>
      </c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</row>
    <row r="141">
      <c r="A141" s="285" t="s">
        <v>1024</v>
      </c>
      <c r="B141" s="286" t="s">
        <v>1035</v>
      </c>
      <c r="C141" s="287">
        <v>522.0</v>
      </c>
      <c r="D141" s="288" t="s">
        <v>1036</v>
      </c>
      <c r="E141" s="289" t="s">
        <v>73</v>
      </c>
      <c r="F141" s="290" t="s">
        <v>396</v>
      </c>
      <c r="G141" s="289">
        <v>3.516950528E9</v>
      </c>
      <c r="H141" s="291" t="s">
        <v>1037</v>
      </c>
      <c r="I141" s="292"/>
      <c r="J141" s="25" t="s">
        <v>1038</v>
      </c>
      <c r="K141" s="27" t="s">
        <v>1039</v>
      </c>
      <c r="L141" s="292"/>
      <c r="M141" s="27" t="s">
        <v>401</v>
      </c>
      <c r="N141" s="322" t="s">
        <v>1034</v>
      </c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</row>
    <row r="142">
      <c r="A142" s="285" t="s">
        <v>1024</v>
      </c>
      <c r="B142" s="286" t="s">
        <v>1040</v>
      </c>
      <c r="C142" s="287">
        <v>241.0</v>
      </c>
      <c r="D142" s="288" t="s">
        <v>1041</v>
      </c>
      <c r="E142" s="289" t="s">
        <v>73</v>
      </c>
      <c r="F142" s="290" t="s">
        <v>396</v>
      </c>
      <c r="G142" s="289">
        <v>3.542481242E9</v>
      </c>
      <c r="H142" s="291" t="s">
        <v>1042</v>
      </c>
      <c r="I142" s="292"/>
      <c r="J142" s="25" t="s">
        <v>1043</v>
      </c>
      <c r="K142" s="27" t="s">
        <v>1044</v>
      </c>
      <c r="L142" s="292"/>
      <c r="M142" s="292"/>
      <c r="N142" s="297" t="s">
        <v>419</v>
      </c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</row>
    <row r="143">
      <c r="A143" s="285" t="s">
        <v>1024</v>
      </c>
      <c r="B143" s="286" t="s">
        <v>1045</v>
      </c>
      <c r="C143" s="287">
        <v>220.0</v>
      </c>
      <c r="D143" s="288" t="s">
        <v>1046</v>
      </c>
      <c r="E143" s="289" t="s">
        <v>73</v>
      </c>
      <c r="F143" s="293" t="s">
        <v>433</v>
      </c>
      <c r="G143" s="289">
        <v>3.54963117E9</v>
      </c>
      <c r="H143" s="286" t="s">
        <v>1047</v>
      </c>
      <c r="I143" s="289" t="s">
        <v>389</v>
      </c>
      <c r="J143" s="25" t="s">
        <v>1048</v>
      </c>
      <c r="K143" s="27">
        <v>3.54963117E9</v>
      </c>
      <c r="L143" s="292"/>
      <c r="M143" s="294"/>
      <c r="N143" s="290" t="s">
        <v>407</v>
      </c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</row>
    <row r="144">
      <c r="A144" s="285" t="s">
        <v>1024</v>
      </c>
      <c r="B144" s="286" t="s">
        <v>1049</v>
      </c>
      <c r="C144" s="287">
        <v>1.713</v>
      </c>
      <c r="D144" s="288" t="s">
        <v>1050</v>
      </c>
      <c r="E144" s="289" t="s">
        <v>96</v>
      </c>
      <c r="F144" s="290" t="s">
        <v>396</v>
      </c>
      <c r="G144" s="289">
        <v>3.542466777E9</v>
      </c>
      <c r="H144" s="291" t="s">
        <v>1051</v>
      </c>
      <c r="I144" s="292"/>
      <c r="J144" s="25" t="s">
        <v>1052</v>
      </c>
      <c r="K144" s="27" t="s">
        <v>1053</v>
      </c>
      <c r="L144" s="292"/>
      <c r="M144" s="292"/>
      <c r="N144" s="297" t="s">
        <v>419</v>
      </c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</row>
    <row r="145">
      <c r="A145" s="285" t="s">
        <v>1024</v>
      </c>
      <c r="B145" s="286" t="s">
        <v>1054</v>
      </c>
      <c r="C145" s="287">
        <v>123.0</v>
      </c>
      <c r="D145" s="288" t="s">
        <v>1055</v>
      </c>
      <c r="E145" s="289" t="s">
        <v>73</v>
      </c>
      <c r="F145" s="290" t="s">
        <v>396</v>
      </c>
      <c r="G145" s="289">
        <v>3.542460325E9</v>
      </c>
      <c r="H145" s="291" t="s">
        <v>1056</v>
      </c>
      <c r="I145" s="292"/>
      <c r="J145" s="25" t="s">
        <v>1057</v>
      </c>
      <c r="K145" s="27">
        <v>3.515338863E9</v>
      </c>
      <c r="L145" s="292"/>
      <c r="M145" s="294"/>
      <c r="N145" s="290" t="s">
        <v>407</v>
      </c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</row>
    <row r="146">
      <c r="A146" s="285" t="s">
        <v>1024</v>
      </c>
      <c r="B146" s="286" t="s">
        <v>1058</v>
      </c>
      <c r="C146" s="287">
        <v>186.0</v>
      </c>
      <c r="D146" s="288" t="s">
        <v>1059</v>
      </c>
      <c r="E146" s="289" t="s">
        <v>73</v>
      </c>
      <c r="F146" s="290" t="s">
        <v>396</v>
      </c>
      <c r="G146" s="289">
        <v>3.51614005E9</v>
      </c>
      <c r="H146" s="291" t="s">
        <v>1060</v>
      </c>
      <c r="I146" s="292"/>
      <c r="J146" s="25" t="s">
        <v>1061</v>
      </c>
      <c r="K146" s="27" t="s">
        <v>1062</v>
      </c>
      <c r="L146" s="292"/>
      <c r="M146" s="294"/>
      <c r="N146" s="290" t="s">
        <v>407</v>
      </c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</row>
    <row r="147">
      <c r="A147" s="285" t="s">
        <v>1063</v>
      </c>
      <c r="B147" s="286" t="s">
        <v>1064</v>
      </c>
      <c r="C147" s="287">
        <v>463.0</v>
      </c>
      <c r="D147" s="288" t="s">
        <v>1065</v>
      </c>
      <c r="E147" s="289" t="s">
        <v>73</v>
      </c>
      <c r="F147" s="293" t="s">
        <v>433</v>
      </c>
      <c r="G147" s="289">
        <v>3.516675043E9</v>
      </c>
      <c r="H147" s="291" t="s">
        <v>1066</v>
      </c>
      <c r="I147" s="292"/>
      <c r="J147" s="25" t="s">
        <v>1067</v>
      </c>
      <c r="K147" s="27">
        <v>3.544591143E9</v>
      </c>
      <c r="L147" s="292"/>
      <c r="M147" s="27" t="s">
        <v>401</v>
      </c>
      <c r="N147" s="297" t="s">
        <v>419</v>
      </c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</row>
    <row r="148">
      <c r="A148" s="285" t="s">
        <v>1063</v>
      </c>
      <c r="B148" s="286" t="s">
        <v>1068</v>
      </c>
      <c r="C148" s="287">
        <v>123.0</v>
      </c>
      <c r="D148" s="288" t="s">
        <v>1069</v>
      </c>
      <c r="E148" s="289" t="s">
        <v>73</v>
      </c>
      <c r="F148" s="296" t="s">
        <v>415</v>
      </c>
      <c r="G148" s="289">
        <v>3.54241136E9</v>
      </c>
      <c r="H148" s="286" t="s">
        <v>1070</v>
      </c>
      <c r="I148" s="289" t="s">
        <v>389</v>
      </c>
      <c r="J148" s="25" t="s">
        <v>1071</v>
      </c>
      <c r="K148" s="27">
        <v>3.54241136E9</v>
      </c>
      <c r="L148" s="292"/>
      <c r="M148" s="292"/>
      <c r="N148" s="297" t="s">
        <v>419</v>
      </c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</row>
    <row r="149">
      <c r="A149" s="285" t="s">
        <v>1063</v>
      </c>
      <c r="B149" s="286" t="s">
        <v>1072</v>
      </c>
      <c r="C149" s="287">
        <v>157.0</v>
      </c>
      <c r="D149" s="288" t="s">
        <v>1073</v>
      </c>
      <c r="E149" s="289" t="s">
        <v>73</v>
      </c>
      <c r="F149" s="296" t="s">
        <v>595</v>
      </c>
      <c r="G149" s="289">
        <v>3.542460116E9</v>
      </c>
      <c r="H149" s="291" t="s">
        <v>1074</v>
      </c>
      <c r="I149" s="292"/>
      <c r="J149" s="25" t="s">
        <v>1075</v>
      </c>
      <c r="K149" s="27">
        <v>3.542460116E9</v>
      </c>
      <c r="L149" s="292"/>
      <c r="M149" s="292"/>
      <c r="N149" s="297" t="s">
        <v>419</v>
      </c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</row>
    <row r="150">
      <c r="A150" s="285" t="s">
        <v>1063</v>
      </c>
      <c r="B150" s="286" t="s">
        <v>1076</v>
      </c>
      <c r="C150" s="287">
        <v>1.728</v>
      </c>
      <c r="D150" s="288" t="s">
        <v>1077</v>
      </c>
      <c r="E150" s="289" t="s">
        <v>96</v>
      </c>
      <c r="F150" s="296" t="s">
        <v>415</v>
      </c>
      <c r="G150" s="289">
        <v>3.513984649E9</v>
      </c>
      <c r="H150" s="286" t="s">
        <v>1078</v>
      </c>
      <c r="I150" s="289" t="s">
        <v>389</v>
      </c>
      <c r="J150" s="25" t="s">
        <v>1079</v>
      </c>
      <c r="K150" s="289">
        <v>3.513984649E9</v>
      </c>
      <c r="L150" s="291" t="s">
        <v>1078</v>
      </c>
      <c r="M150" s="27" t="s">
        <v>401</v>
      </c>
      <c r="N150" s="297" t="s">
        <v>419</v>
      </c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</row>
    <row r="151">
      <c r="A151" s="285" t="s">
        <v>1063</v>
      </c>
      <c r="B151" s="286" t="s">
        <v>1080</v>
      </c>
      <c r="C151" s="287">
        <v>602.0</v>
      </c>
      <c r="D151" s="288" t="s">
        <v>1081</v>
      </c>
      <c r="E151" s="289" t="s">
        <v>73</v>
      </c>
      <c r="F151" s="290" t="s">
        <v>396</v>
      </c>
      <c r="G151" s="289">
        <v>3.513144682E9</v>
      </c>
      <c r="H151" s="291" t="s">
        <v>1082</v>
      </c>
      <c r="I151" s="292"/>
      <c r="J151" s="25" t="s">
        <v>1083</v>
      </c>
      <c r="K151" s="27">
        <v>3.513429725E9</v>
      </c>
      <c r="L151" s="292"/>
      <c r="M151" s="27" t="s">
        <v>401</v>
      </c>
      <c r="N151" s="290" t="s">
        <v>407</v>
      </c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</row>
    <row r="152">
      <c r="A152" s="285" t="s">
        <v>1063</v>
      </c>
      <c r="B152" s="286" t="s">
        <v>1084</v>
      </c>
      <c r="C152" s="287">
        <v>254.0</v>
      </c>
      <c r="D152" s="288" t="s">
        <v>1085</v>
      </c>
      <c r="E152" s="289" t="s">
        <v>73</v>
      </c>
      <c r="F152" s="290" t="s">
        <v>396</v>
      </c>
      <c r="G152" s="289">
        <v>3.512624939E9</v>
      </c>
      <c r="H152" s="291" t="s">
        <v>1086</v>
      </c>
      <c r="I152" s="294"/>
      <c r="J152" s="25" t="s">
        <v>1087</v>
      </c>
      <c r="K152" s="27">
        <v>3.515586644E9</v>
      </c>
      <c r="L152" s="292"/>
      <c r="M152" s="27" t="s">
        <v>401</v>
      </c>
      <c r="N152" s="297" t="s">
        <v>419</v>
      </c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</row>
    <row r="153">
      <c r="A153" s="285" t="s">
        <v>1063</v>
      </c>
      <c r="B153" s="286" t="s">
        <v>1088</v>
      </c>
      <c r="C153" s="287">
        <v>201.0</v>
      </c>
      <c r="D153" s="288" t="s">
        <v>1089</v>
      </c>
      <c r="E153" s="289" t="s">
        <v>73</v>
      </c>
      <c r="F153" s="296" t="s">
        <v>415</v>
      </c>
      <c r="G153" s="289">
        <v>3.544469265E9</v>
      </c>
      <c r="H153" s="286" t="s">
        <v>1090</v>
      </c>
      <c r="I153" s="27" t="s">
        <v>389</v>
      </c>
      <c r="J153" s="25" t="s">
        <v>1091</v>
      </c>
      <c r="K153" s="289">
        <v>3.544469265E9</v>
      </c>
      <c r="L153" s="291" t="s">
        <v>1090</v>
      </c>
      <c r="M153" s="27" t="s">
        <v>401</v>
      </c>
      <c r="N153" s="297" t="s">
        <v>419</v>
      </c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</row>
    <row r="154">
      <c r="A154" s="285" t="s">
        <v>1092</v>
      </c>
      <c r="B154" s="286" t="s">
        <v>1093</v>
      </c>
      <c r="C154" s="287">
        <v>5.718</v>
      </c>
      <c r="D154" s="288" t="s">
        <v>1094</v>
      </c>
      <c r="E154" s="289" t="s">
        <v>96</v>
      </c>
      <c r="F154" s="296" t="s">
        <v>415</v>
      </c>
      <c r="G154" s="289">
        <v>3.586547172E9</v>
      </c>
      <c r="H154" s="291" t="s">
        <v>1095</v>
      </c>
      <c r="I154" s="292"/>
      <c r="J154" s="25" t="s">
        <v>1096</v>
      </c>
      <c r="K154" s="27">
        <v>3.385403043E9</v>
      </c>
      <c r="L154" s="292"/>
      <c r="M154" s="27" t="s">
        <v>401</v>
      </c>
      <c r="N154" s="297" t="s">
        <v>419</v>
      </c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</row>
    <row r="155">
      <c r="A155" s="285" t="s">
        <v>1092</v>
      </c>
      <c r="B155" s="286" t="s">
        <v>1097</v>
      </c>
      <c r="C155" s="287">
        <v>1.318</v>
      </c>
      <c r="D155" s="288" t="s">
        <v>1098</v>
      </c>
      <c r="E155" s="289" t="s">
        <v>96</v>
      </c>
      <c r="F155" s="296" t="s">
        <v>595</v>
      </c>
      <c r="G155" s="289">
        <v>3.382671531E9</v>
      </c>
      <c r="H155" s="291" t="s">
        <v>1099</v>
      </c>
      <c r="I155" s="292"/>
      <c r="J155" s="25" t="s">
        <v>1100</v>
      </c>
      <c r="K155" s="27">
        <v>3.382672961E9</v>
      </c>
      <c r="L155" s="292"/>
      <c r="M155" s="294"/>
      <c r="N155" s="290" t="s">
        <v>407</v>
      </c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</row>
    <row r="156">
      <c r="A156" s="285" t="s">
        <v>1092</v>
      </c>
      <c r="B156" s="286" t="s">
        <v>1101</v>
      </c>
      <c r="C156" s="287">
        <v>20.658</v>
      </c>
      <c r="D156" s="288" t="s">
        <v>1102</v>
      </c>
      <c r="E156" s="289" t="s">
        <v>96</v>
      </c>
      <c r="F156" s="296" t="s">
        <v>415</v>
      </c>
      <c r="G156" s="289" t="s">
        <v>1103</v>
      </c>
      <c r="H156" s="291" t="s">
        <v>1104</v>
      </c>
      <c r="I156" s="292"/>
      <c r="J156" s="25" t="s">
        <v>1105</v>
      </c>
      <c r="K156" s="27">
        <v>3.385501381E9</v>
      </c>
      <c r="L156" s="292"/>
      <c r="M156" s="292"/>
      <c r="N156" s="296" t="s">
        <v>419</v>
      </c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</row>
    <row r="157">
      <c r="A157" s="285" t="s">
        <v>1092</v>
      </c>
      <c r="B157" s="286" t="s">
        <v>1106</v>
      </c>
      <c r="C157" s="287">
        <v>55.0</v>
      </c>
      <c r="D157" s="288" t="s">
        <v>1107</v>
      </c>
      <c r="E157" s="289" t="s">
        <v>73</v>
      </c>
      <c r="F157" s="290" t="s">
        <v>396</v>
      </c>
      <c r="G157" s="289">
        <v>3.385464669E9</v>
      </c>
      <c r="H157" s="291" t="s">
        <v>1108</v>
      </c>
      <c r="I157" s="292"/>
      <c r="J157" s="25" t="s">
        <v>1109</v>
      </c>
      <c r="K157" s="27" t="s">
        <v>1110</v>
      </c>
      <c r="L157" s="292"/>
      <c r="M157" s="294"/>
      <c r="N157" s="307" t="s">
        <v>407</v>
      </c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</row>
    <row r="158">
      <c r="A158" s="285" t="s">
        <v>1092</v>
      </c>
      <c r="B158" s="286" t="s">
        <v>1111</v>
      </c>
      <c r="C158" s="287">
        <v>1.254</v>
      </c>
      <c r="D158" s="288" t="s">
        <v>1112</v>
      </c>
      <c r="E158" s="289" t="s">
        <v>96</v>
      </c>
      <c r="F158" s="290" t="s">
        <v>396</v>
      </c>
      <c r="G158" s="289">
        <v>3.38540501E9</v>
      </c>
      <c r="H158" s="291" t="s">
        <v>1113</v>
      </c>
      <c r="I158" s="292"/>
      <c r="J158" s="25" t="s">
        <v>1114</v>
      </c>
      <c r="K158" s="27">
        <v>3.385681877E9</v>
      </c>
      <c r="L158" s="292"/>
      <c r="M158" s="27" t="s">
        <v>401</v>
      </c>
      <c r="N158" s="290" t="s">
        <v>407</v>
      </c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</row>
    <row r="159">
      <c r="A159" s="285" t="s">
        <v>1092</v>
      </c>
      <c r="B159" s="286" t="s">
        <v>1115</v>
      </c>
      <c r="C159" s="287">
        <v>105.0</v>
      </c>
      <c r="D159" s="288" t="s">
        <v>1116</v>
      </c>
      <c r="E159" s="289" t="s">
        <v>73</v>
      </c>
      <c r="F159" s="290" t="s">
        <v>396</v>
      </c>
      <c r="G159" s="289">
        <v>3.385597172E9</v>
      </c>
      <c r="H159" s="291" t="s">
        <v>1117</v>
      </c>
      <c r="I159" s="292"/>
      <c r="J159" s="25" t="s">
        <v>1118</v>
      </c>
      <c r="K159" s="27">
        <v>3.385404239E9</v>
      </c>
      <c r="L159" s="292"/>
      <c r="M159" s="27" t="s">
        <v>401</v>
      </c>
      <c r="N159" s="290" t="s">
        <v>407</v>
      </c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</row>
    <row r="160">
      <c r="A160" s="285" t="s">
        <v>1092</v>
      </c>
      <c r="B160" s="286" t="s">
        <v>1119</v>
      </c>
      <c r="C160" s="287">
        <v>535.0</v>
      </c>
      <c r="D160" s="288" t="s">
        <v>1120</v>
      </c>
      <c r="E160" s="289" t="s">
        <v>96</v>
      </c>
      <c r="F160" s="296" t="s">
        <v>595</v>
      </c>
      <c r="G160" s="289">
        <v>3.385591059E9</v>
      </c>
      <c r="H160" s="291" t="s">
        <v>1121</v>
      </c>
      <c r="I160" s="292"/>
      <c r="J160" s="25" t="s">
        <v>1122</v>
      </c>
      <c r="K160" s="286">
        <v>3.38543009E9</v>
      </c>
      <c r="L160" s="292"/>
      <c r="M160" s="292"/>
      <c r="N160" s="317" t="s">
        <v>476</v>
      </c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</row>
    <row r="161">
      <c r="A161" s="285" t="s">
        <v>1092</v>
      </c>
      <c r="B161" s="286" t="s">
        <v>1123</v>
      </c>
      <c r="C161" s="287">
        <v>140.0</v>
      </c>
      <c r="D161" s="288" t="s">
        <v>1124</v>
      </c>
      <c r="E161" s="289" t="s">
        <v>73</v>
      </c>
      <c r="F161" s="290" t="s">
        <v>396</v>
      </c>
      <c r="G161" s="289">
        <v>3.385682891E9</v>
      </c>
      <c r="H161" s="291" t="s">
        <v>1125</v>
      </c>
      <c r="I161" s="292"/>
      <c r="J161" s="25" t="s">
        <v>1126</v>
      </c>
      <c r="K161" s="27">
        <v>3.385435407E9</v>
      </c>
      <c r="L161" s="292"/>
      <c r="M161" s="294"/>
      <c r="N161" s="290" t="s">
        <v>407</v>
      </c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</row>
    <row r="162">
      <c r="A162" s="285" t="s">
        <v>1092</v>
      </c>
      <c r="B162" s="286" t="s">
        <v>1127</v>
      </c>
      <c r="C162" s="287">
        <v>3.209</v>
      </c>
      <c r="D162" s="288" t="s">
        <v>1128</v>
      </c>
      <c r="E162" s="289" t="s">
        <v>96</v>
      </c>
      <c r="F162" s="293" t="s">
        <v>433</v>
      </c>
      <c r="G162" s="289">
        <v>3.385402792E9</v>
      </c>
      <c r="H162" s="291" t="s">
        <v>1129</v>
      </c>
      <c r="I162" s="292"/>
      <c r="J162" s="25" t="s">
        <v>1130</v>
      </c>
      <c r="K162" s="27">
        <v>3.385461275E9</v>
      </c>
      <c r="L162" s="292"/>
      <c r="M162" s="294"/>
      <c r="N162" s="290" t="s">
        <v>407</v>
      </c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</row>
    <row r="163">
      <c r="A163" s="285" t="s">
        <v>1092</v>
      </c>
      <c r="B163" s="286" t="s">
        <v>1131</v>
      </c>
      <c r="C163" s="287">
        <v>515.0</v>
      </c>
      <c r="D163" s="288" t="s">
        <v>1132</v>
      </c>
      <c r="E163" s="289" t="s">
        <v>96</v>
      </c>
      <c r="F163" s="290" t="s">
        <v>396</v>
      </c>
      <c r="G163" s="289" t="s">
        <v>1133</v>
      </c>
      <c r="H163" s="291" t="s">
        <v>1134</v>
      </c>
      <c r="I163" s="292"/>
      <c r="J163" s="25" t="s">
        <v>1135</v>
      </c>
      <c r="K163" s="27">
        <v>3.385407831E9</v>
      </c>
      <c r="L163" s="292"/>
      <c r="M163" s="294"/>
      <c r="N163" s="290" t="s">
        <v>407</v>
      </c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</row>
    <row r="164">
      <c r="A164" s="285" t="s">
        <v>1136</v>
      </c>
      <c r="B164" s="286" t="s">
        <v>1137</v>
      </c>
      <c r="C164" s="287">
        <v>5.449</v>
      </c>
      <c r="D164" s="288" t="s">
        <v>1138</v>
      </c>
      <c r="E164" s="289" t="s">
        <v>96</v>
      </c>
      <c r="F164" s="290" t="s">
        <v>396</v>
      </c>
      <c r="G164" s="289">
        <v>3.541210362E9</v>
      </c>
      <c r="H164" s="291" t="s">
        <v>1139</v>
      </c>
      <c r="I164" s="292"/>
      <c r="J164" s="25" t="s">
        <v>1140</v>
      </c>
      <c r="K164" s="292"/>
      <c r="L164" s="292"/>
      <c r="M164" s="292"/>
      <c r="N164" s="297" t="s">
        <v>419</v>
      </c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</row>
    <row r="165">
      <c r="A165" s="285" t="s">
        <v>1136</v>
      </c>
      <c r="B165" s="286" t="s">
        <v>1141</v>
      </c>
      <c r="C165" s="287">
        <v>475.0</v>
      </c>
      <c r="D165" s="288" t="s">
        <v>1142</v>
      </c>
      <c r="E165" s="289" t="s">
        <v>73</v>
      </c>
      <c r="F165" s="290" t="s">
        <v>396</v>
      </c>
      <c r="G165" s="289">
        <v>3.541519596E9</v>
      </c>
      <c r="H165" s="291" t="s">
        <v>1143</v>
      </c>
      <c r="I165" s="292"/>
      <c r="J165" s="25" t="s">
        <v>1144</v>
      </c>
      <c r="K165" s="27">
        <v>3.541238239E9</v>
      </c>
      <c r="L165" s="292"/>
      <c r="M165" s="27" t="s">
        <v>401</v>
      </c>
      <c r="N165" s="290" t="s">
        <v>407</v>
      </c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</row>
    <row r="166">
      <c r="A166" s="285" t="s">
        <v>1136</v>
      </c>
      <c r="B166" s="286" t="s">
        <v>1145</v>
      </c>
      <c r="C166" s="287">
        <v>11.281</v>
      </c>
      <c r="D166" s="288" t="s">
        <v>1146</v>
      </c>
      <c r="E166" s="289" t="s">
        <v>96</v>
      </c>
      <c r="F166" s="290" t="s">
        <v>396</v>
      </c>
      <c r="G166" s="289" t="s">
        <v>1147</v>
      </c>
      <c r="H166" s="286" t="s">
        <v>1148</v>
      </c>
      <c r="I166" s="289" t="s">
        <v>389</v>
      </c>
      <c r="J166" s="25" t="s">
        <v>1149</v>
      </c>
      <c r="K166" s="27">
        <v>3.513431234E9</v>
      </c>
      <c r="L166" s="292"/>
      <c r="M166" s="294"/>
      <c r="N166" s="290" t="s">
        <v>407</v>
      </c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</row>
    <row r="167">
      <c r="A167" s="285" t="s">
        <v>1136</v>
      </c>
      <c r="B167" s="286" t="s">
        <v>1150</v>
      </c>
      <c r="C167" s="287">
        <v>701.0</v>
      </c>
      <c r="D167" s="288" t="s">
        <v>1151</v>
      </c>
      <c r="E167" s="289" t="s">
        <v>73</v>
      </c>
      <c r="F167" s="296" t="s">
        <v>595</v>
      </c>
      <c r="G167" s="289">
        <v>3.548418041E9</v>
      </c>
      <c r="H167" s="291" t="s">
        <v>1152</v>
      </c>
      <c r="I167" s="292"/>
      <c r="J167" s="25" t="s">
        <v>1153</v>
      </c>
      <c r="K167" s="27">
        <v>3.548463759E9</v>
      </c>
      <c r="L167" s="292"/>
      <c r="M167" s="294"/>
      <c r="N167" s="290" t="s">
        <v>407</v>
      </c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</row>
    <row r="168">
      <c r="A168" s="285" t="s">
        <v>1136</v>
      </c>
      <c r="B168" s="286" t="s">
        <v>1154</v>
      </c>
      <c r="C168" s="287">
        <v>553.0</v>
      </c>
      <c r="D168" s="288" t="s">
        <v>1155</v>
      </c>
      <c r="E168" s="289" t="s">
        <v>73</v>
      </c>
      <c r="F168" s="290" t="s">
        <v>396</v>
      </c>
      <c r="G168" s="289">
        <v>3.548550011E9</v>
      </c>
      <c r="H168" s="291" t="s">
        <v>1156</v>
      </c>
      <c r="I168" s="292"/>
      <c r="J168" s="25" t="s">
        <v>1157</v>
      </c>
      <c r="K168" s="27">
        <v>3.548434655E9</v>
      </c>
      <c r="L168" s="292"/>
      <c r="M168" s="27" t="s">
        <v>401</v>
      </c>
      <c r="N168" s="290" t="s">
        <v>407</v>
      </c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</row>
    <row r="169">
      <c r="A169" s="285" t="s">
        <v>1136</v>
      </c>
      <c r="B169" s="286" t="s">
        <v>1158</v>
      </c>
      <c r="C169" s="287">
        <v>19.815</v>
      </c>
      <c r="D169" s="288" t="s">
        <v>1159</v>
      </c>
      <c r="E169" s="289" t="s">
        <v>96</v>
      </c>
      <c r="F169" s="308" t="s">
        <v>557</v>
      </c>
      <c r="G169" s="289">
        <v>3.541575848E9</v>
      </c>
      <c r="H169" s="309" t="s">
        <v>1160</v>
      </c>
      <c r="I169" s="292"/>
      <c r="J169" s="25" t="s">
        <v>1161</v>
      </c>
      <c r="K169" s="27">
        <v>3.541625741E9</v>
      </c>
      <c r="L169" s="292"/>
      <c r="M169" s="292"/>
      <c r="N169" s="323" t="s">
        <v>995</v>
      </c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</row>
    <row r="170">
      <c r="A170" s="285" t="s">
        <v>1136</v>
      </c>
      <c r="B170" s="286" t="s">
        <v>1162</v>
      </c>
      <c r="C170" s="287">
        <v>510.0</v>
      </c>
      <c r="D170" s="288" t="s">
        <v>1163</v>
      </c>
      <c r="E170" s="289" t="s">
        <v>73</v>
      </c>
      <c r="F170" s="290" t="s">
        <v>396</v>
      </c>
      <c r="G170" s="289">
        <v>3.541574004E9</v>
      </c>
      <c r="H170" s="286" t="s">
        <v>1164</v>
      </c>
      <c r="I170" s="27" t="s">
        <v>389</v>
      </c>
      <c r="J170" s="25" t="s">
        <v>1165</v>
      </c>
      <c r="K170" s="27">
        <v>3.513734805E9</v>
      </c>
      <c r="L170" s="292"/>
      <c r="M170" s="27" t="s">
        <v>401</v>
      </c>
      <c r="N170" s="290" t="s">
        <v>407</v>
      </c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</row>
    <row r="171">
      <c r="A171" s="285" t="s">
        <v>1136</v>
      </c>
      <c r="B171" s="286" t="s">
        <v>1166</v>
      </c>
      <c r="C171" s="287">
        <v>909.0</v>
      </c>
      <c r="D171" s="288" t="s">
        <v>1167</v>
      </c>
      <c r="E171" s="289" t="s">
        <v>73</v>
      </c>
      <c r="F171" s="296" t="s">
        <v>415</v>
      </c>
      <c r="G171" s="289" t="s">
        <v>1168</v>
      </c>
      <c r="H171" s="291" t="s">
        <v>1169</v>
      </c>
      <c r="I171" s="292"/>
      <c r="J171" s="25" t="s">
        <v>1170</v>
      </c>
      <c r="K171" s="27" t="s">
        <v>1171</v>
      </c>
      <c r="L171" s="292"/>
      <c r="M171" s="294"/>
      <c r="N171" s="290" t="s">
        <v>407</v>
      </c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</row>
    <row r="172">
      <c r="A172" s="285" t="s">
        <v>1136</v>
      </c>
      <c r="B172" s="286" t="s">
        <v>1172</v>
      </c>
      <c r="C172" s="287">
        <v>5.933</v>
      </c>
      <c r="D172" s="288" t="s">
        <v>1173</v>
      </c>
      <c r="E172" s="289" t="s">
        <v>96</v>
      </c>
      <c r="F172" s="290" t="s">
        <v>396</v>
      </c>
      <c r="G172" s="289">
        <v>1.140814925E9</v>
      </c>
      <c r="H172" s="291" t="s">
        <v>1174</v>
      </c>
      <c r="I172" s="292"/>
      <c r="J172" s="25" t="s">
        <v>1175</v>
      </c>
      <c r="K172" s="27">
        <v>3.548404834E9</v>
      </c>
      <c r="L172" s="292"/>
      <c r="M172" s="292"/>
      <c r="N172" s="297" t="s">
        <v>419</v>
      </c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</row>
    <row r="173">
      <c r="A173" s="285" t="s">
        <v>1136</v>
      </c>
      <c r="B173" s="324" t="s">
        <v>1176</v>
      </c>
      <c r="C173" s="287">
        <v>1.921</v>
      </c>
      <c r="D173" s="288" t="s">
        <v>1177</v>
      </c>
      <c r="E173" s="289" t="s">
        <v>96</v>
      </c>
      <c r="F173" s="293" t="s">
        <v>433</v>
      </c>
      <c r="G173" s="289" t="s">
        <v>1178</v>
      </c>
      <c r="H173" s="286" t="s">
        <v>1179</v>
      </c>
      <c r="I173" s="289" t="s">
        <v>389</v>
      </c>
      <c r="J173" s="25" t="s">
        <v>1180</v>
      </c>
      <c r="K173" s="27">
        <v>3.54161162E9</v>
      </c>
      <c r="L173" s="292"/>
      <c r="M173" s="292"/>
      <c r="N173" s="290" t="s">
        <v>1181</v>
      </c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</row>
    <row r="174">
      <c r="A174" s="285" t="s">
        <v>1136</v>
      </c>
      <c r="B174" s="286" t="s">
        <v>1182</v>
      </c>
      <c r="C174" s="287">
        <v>7.761</v>
      </c>
      <c r="D174" s="288" t="s">
        <v>1183</v>
      </c>
      <c r="E174" s="289" t="s">
        <v>96</v>
      </c>
      <c r="F174" s="290" t="s">
        <v>396</v>
      </c>
      <c r="G174" s="289" t="s">
        <v>1184</v>
      </c>
      <c r="H174" s="291" t="s">
        <v>1185</v>
      </c>
      <c r="I174" s="292"/>
      <c r="J174" s="25" t="s">
        <v>1186</v>
      </c>
      <c r="K174" s="27">
        <v>3.516334896E9</v>
      </c>
      <c r="L174" s="292"/>
      <c r="M174" s="292"/>
      <c r="N174" s="323" t="s">
        <v>995</v>
      </c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</row>
    <row r="175">
      <c r="A175" s="285" t="s">
        <v>1136</v>
      </c>
      <c r="B175" s="286" t="s">
        <v>1187</v>
      </c>
      <c r="C175" s="287">
        <v>16.379</v>
      </c>
      <c r="D175" s="288" t="s">
        <v>1188</v>
      </c>
      <c r="E175" s="289" t="s">
        <v>96</v>
      </c>
      <c r="F175" s="296" t="s">
        <v>415</v>
      </c>
      <c r="G175" s="289">
        <v>3.548465992E9</v>
      </c>
      <c r="H175" s="286" t="s">
        <v>1189</v>
      </c>
      <c r="I175" s="289" t="s">
        <v>389</v>
      </c>
      <c r="J175" s="25" t="s">
        <v>1190</v>
      </c>
      <c r="K175" s="289">
        <v>3.548465992E9</v>
      </c>
      <c r="L175" s="291" t="s">
        <v>1189</v>
      </c>
      <c r="M175" s="292"/>
      <c r="N175" s="297" t="s">
        <v>419</v>
      </c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</row>
    <row r="176">
      <c r="A176" s="285" t="s">
        <v>1136</v>
      </c>
      <c r="B176" s="286" t="s">
        <v>1191</v>
      </c>
      <c r="C176" s="287">
        <v>1.245</v>
      </c>
      <c r="D176" s="288" t="s">
        <v>1192</v>
      </c>
      <c r="E176" s="289" t="s">
        <v>96</v>
      </c>
      <c r="F176" s="296" t="s">
        <v>415</v>
      </c>
      <c r="G176" s="289">
        <v>3.548573448E9</v>
      </c>
      <c r="H176" s="291" t="s">
        <v>1193</v>
      </c>
      <c r="I176" s="292"/>
      <c r="J176" s="25" t="s">
        <v>1194</v>
      </c>
      <c r="K176" s="27">
        <v>3.548563388E9</v>
      </c>
      <c r="L176" s="292"/>
      <c r="M176" s="27" t="s">
        <v>401</v>
      </c>
      <c r="N176" s="297" t="s">
        <v>419</v>
      </c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</row>
    <row r="177">
      <c r="A177" s="285" t="s">
        <v>1136</v>
      </c>
      <c r="B177" s="286" t="s">
        <v>1195</v>
      </c>
      <c r="C177" s="287">
        <v>1.383</v>
      </c>
      <c r="D177" s="288" t="s">
        <v>1196</v>
      </c>
      <c r="E177" s="289" t="s">
        <v>73</v>
      </c>
      <c r="F177" s="290" t="s">
        <v>396</v>
      </c>
      <c r="G177" s="289">
        <v>3.541372963E9</v>
      </c>
      <c r="H177" s="291" t="s">
        <v>1197</v>
      </c>
      <c r="I177" s="292"/>
      <c r="J177" s="25" t="s">
        <v>1198</v>
      </c>
      <c r="K177" s="292"/>
      <c r="L177" s="292"/>
      <c r="M177" s="294"/>
      <c r="N177" s="322" t="s">
        <v>1034</v>
      </c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</row>
    <row r="178">
      <c r="A178" s="285" t="s">
        <v>1136</v>
      </c>
      <c r="B178" s="286" t="s">
        <v>1199</v>
      </c>
      <c r="C178" s="287">
        <v>3.93</v>
      </c>
      <c r="D178" s="288" t="s">
        <v>1200</v>
      </c>
      <c r="E178" s="289" t="s">
        <v>96</v>
      </c>
      <c r="F178" s="296" t="s">
        <v>415</v>
      </c>
      <c r="G178" s="289" t="s">
        <v>1201</v>
      </c>
      <c r="H178" s="291" t="s">
        <v>1202</v>
      </c>
      <c r="I178" s="292"/>
      <c r="J178" s="25" t="s">
        <v>1203</v>
      </c>
      <c r="K178" s="325">
        <v>3.541388836E9</v>
      </c>
      <c r="L178" s="292"/>
      <c r="M178" s="294"/>
      <c r="N178" s="290" t="s">
        <v>407</v>
      </c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</row>
    <row r="179">
      <c r="A179" s="285" t="s">
        <v>1136</v>
      </c>
      <c r="B179" s="286" t="s">
        <v>1204</v>
      </c>
      <c r="C179" s="287">
        <v>857.0</v>
      </c>
      <c r="D179" s="288" t="s">
        <v>1205</v>
      </c>
      <c r="E179" s="289" t="s">
        <v>96</v>
      </c>
      <c r="F179" s="290" t="s">
        <v>396</v>
      </c>
      <c r="G179" s="289" t="s">
        <v>1206</v>
      </c>
      <c r="H179" s="291" t="s">
        <v>1207</v>
      </c>
      <c r="I179" s="292"/>
      <c r="J179" s="25" t="s">
        <v>1208</v>
      </c>
      <c r="K179" s="27">
        <v>3.548590801E9</v>
      </c>
      <c r="L179" s="292"/>
      <c r="M179" s="294"/>
      <c r="N179" s="290" t="s">
        <v>407</v>
      </c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</row>
    <row r="180">
      <c r="A180" s="285" t="s">
        <v>1136</v>
      </c>
      <c r="B180" s="286" t="s">
        <v>1209</v>
      </c>
      <c r="C180" s="287">
        <v>1.128</v>
      </c>
      <c r="D180" s="288" t="s">
        <v>1210</v>
      </c>
      <c r="E180" s="289" t="s">
        <v>73</v>
      </c>
      <c r="F180" s="290" t="s">
        <v>396</v>
      </c>
      <c r="G180" s="289">
        <v>3.541622007E9</v>
      </c>
      <c r="H180" s="286" t="s">
        <v>1211</v>
      </c>
      <c r="I180" s="289" t="s">
        <v>389</v>
      </c>
      <c r="J180" s="25" t="s">
        <v>1212</v>
      </c>
      <c r="K180" s="27">
        <v>3.541622007E9</v>
      </c>
      <c r="L180" s="292"/>
      <c r="M180" s="292"/>
      <c r="N180" s="290" t="s">
        <v>1213</v>
      </c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</row>
    <row r="181">
      <c r="A181" s="285" t="s">
        <v>1136</v>
      </c>
      <c r="B181" s="286" t="s">
        <v>1214</v>
      </c>
      <c r="C181" s="287">
        <v>9.691</v>
      </c>
      <c r="D181" s="288" t="s">
        <v>1215</v>
      </c>
      <c r="E181" s="289" t="s">
        <v>96</v>
      </c>
      <c r="F181" s="296" t="s">
        <v>415</v>
      </c>
      <c r="G181" s="289">
        <v>3.54163825E9</v>
      </c>
      <c r="H181" s="291" t="s">
        <v>1216</v>
      </c>
      <c r="I181" s="292"/>
      <c r="J181" s="25" t="s">
        <v>1217</v>
      </c>
      <c r="K181" s="27">
        <v>3.541397777E9</v>
      </c>
      <c r="L181" s="292"/>
      <c r="M181" s="27" t="s">
        <v>401</v>
      </c>
      <c r="N181" s="297" t="s">
        <v>419</v>
      </c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</row>
    <row r="182">
      <c r="A182" s="285" t="s">
        <v>1136</v>
      </c>
      <c r="B182" s="286" t="s">
        <v>1218</v>
      </c>
      <c r="C182" s="287">
        <v>147.0</v>
      </c>
      <c r="D182" s="288" t="s">
        <v>1219</v>
      </c>
      <c r="E182" s="289" t="s">
        <v>73</v>
      </c>
      <c r="F182" s="293" t="s">
        <v>433</v>
      </c>
      <c r="G182" s="289">
        <v>3.541580738E9</v>
      </c>
      <c r="H182" s="291" t="s">
        <v>1220</v>
      </c>
      <c r="I182" s="292"/>
      <c r="J182" s="25" t="s">
        <v>1221</v>
      </c>
      <c r="K182" s="292"/>
      <c r="L182" s="292"/>
      <c r="M182" s="292"/>
      <c r="N182" s="310" t="s">
        <v>1222</v>
      </c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</row>
    <row r="183">
      <c r="A183" s="285" t="s">
        <v>1136</v>
      </c>
      <c r="B183" s="286" t="s">
        <v>1223</v>
      </c>
      <c r="C183" s="287">
        <v>6.841</v>
      </c>
      <c r="D183" s="288" t="s">
        <v>1224</v>
      </c>
      <c r="E183" s="289" t="s">
        <v>96</v>
      </c>
      <c r="F183" s="296" t="s">
        <v>525</v>
      </c>
      <c r="G183" s="289">
        <v>3.515123909E9</v>
      </c>
      <c r="H183" s="291" t="s">
        <v>1225</v>
      </c>
      <c r="I183" s="292"/>
      <c r="J183" s="25" t="s">
        <v>1226</v>
      </c>
      <c r="K183" s="27" t="s">
        <v>1227</v>
      </c>
      <c r="L183" s="292"/>
      <c r="M183" s="292"/>
      <c r="N183" s="312" t="s">
        <v>1228</v>
      </c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</row>
    <row r="184">
      <c r="A184" s="285" t="s">
        <v>1136</v>
      </c>
      <c r="B184" s="286" t="s">
        <v>1229</v>
      </c>
      <c r="C184" s="287">
        <v>6.252</v>
      </c>
      <c r="D184" s="288" t="s">
        <v>1230</v>
      </c>
      <c r="E184" s="289" t="s">
        <v>96</v>
      </c>
      <c r="F184" s="290" t="s">
        <v>396</v>
      </c>
      <c r="G184" s="289">
        <v>3.548565909E9</v>
      </c>
      <c r="H184" s="291" t="s">
        <v>1231</v>
      </c>
      <c r="I184" s="292"/>
      <c r="J184" s="25" t="s">
        <v>1232</v>
      </c>
      <c r="K184" s="27">
        <v>3.548576018E9</v>
      </c>
      <c r="L184" s="292"/>
      <c r="M184" s="292"/>
      <c r="N184" s="297" t="s">
        <v>419</v>
      </c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</row>
    <row r="185">
      <c r="A185" s="285" t="s">
        <v>1136</v>
      </c>
      <c r="B185" s="286" t="s">
        <v>1233</v>
      </c>
      <c r="C185" s="287">
        <v>62750.0</v>
      </c>
      <c r="D185" s="288" t="s">
        <v>1234</v>
      </c>
      <c r="E185" s="289" t="s">
        <v>96</v>
      </c>
      <c r="F185" s="308" t="s">
        <v>557</v>
      </c>
      <c r="G185" s="289">
        <v>3.541599492E9</v>
      </c>
      <c r="H185" s="291" t="s">
        <v>1235</v>
      </c>
      <c r="I185" s="292"/>
      <c r="J185" s="25" t="s">
        <v>1236</v>
      </c>
      <c r="K185" s="27">
        <v>3.541570707E9</v>
      </c>
      <c r="L185" s="292"/>
      <c r="M185" s="292"/>
      <c r="N185" s="290" t="s">
        <v>1237</v>
      </c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</row>
    <row r="186">
      <c r="A186" s="285" t="s">
        <v>1136</v>
      </c>
      <c r="B186" s="286" t="s">
        <v>1238</v>
      </c>
      <c r="C186" s="287">
        <v>6810.0</v>
      </c>
      <c r="D186" s="288" t="s">
        <v>1239</v>
      </c>
      <c r="E186" s="289" t="s">
        <v>96</v>
      </c>
      <c r="F186" s="296" t="s">
        <v>415</v>
      </c>
      <c r="G186" s="289">
        <v>3.548532856E9</v>
      </c>
      <c r="H186" s="291" t="s">
        <v>1240</v>
      </c>
      <c r="I186" s="292"/>
      <c r="J186" s="25" t="s">
        <v>1241</v>
      </c>
      <c r="K186" s="27" t="s">
        <v>1242</v>
      </c>
      <c r="L186" s="292"/>
      <c r="M186" s="292"/>
      <c r="N186" s="297" t="s">
        <v>419</v>
      </c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</row>
    <row r="187">
      <c r="A187" s="285" t="s">
        <v>1136</v>
      </c>
      <c r="B187" s="286" t="s">
        <v>1243</v>
      </c>
      <c r="C187" s="287">
        <v>1.888</v>
      </c>
      <c r="D187" s="288" t="s">
        <v>1244</v>
      </c>
      <c r="E187" s="289" t="s">
        <v>73</v>
      </c>
      <c r="F187" s="296" t="s">
        <v>415</v>
      </c>
      <c r="G187" s="289">
        <v>3.541610818E9</v>
      </c>
      <c r="H187" s="291" t="s">
        <v>1245</v>
      </c>
      <c r="I187" s="292"/>
      <c r="J187" s="25" t="s">
        <v>1246</v>
      </c>
      <c r="K187" s="27">
        <v>3.517038822E9</v>
      </c>
      <c r="L187" s="292"/>
      <c r="M187" s="292"/>
      <c r="N187" s="312" t="s">
        <v>1247</v>
      </c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</row>
    <row r="188">
      <c r="A188" s="285" t="s">
        <v>1136</v>
      </c>
      <c r="B188" s="286" t="s">
        <v>1248</v>
      </c>
      <c r="C188" s="287">
        <v>2.472</v>
      </c>
      <c r="D188" s="288" t="s">
        <v>1249</v>
      </c>
      <c r="E188" s="289" t="s">
        <v>96</v>
      </c>
      <c r="F188" s="290" t="s">
        <v>396</v>
      </c>
      <c r="G188" s="289">
        <v>3.541570009E9</v>
      </c>
      <c r="H188" s="286" t="s">
        <v>1250</v>
      </c>
      <c r="I188" s="289" t="s">
        <v>389</v>
      </c>
      <c r="J188" s="326" t="s">
        <v>1251</v>
      </c>
      <c r="K188" s="27">
        <v>3.541570009E9</v>
      </c>
      <c r="L188" s="292"/>
      <c r="M188" s="294"/>
      <c r="N188" s="290" t="s">
        <v>407</v>
      </c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</row>
    <row r="189">
      <c r="A189" s="285" t="s">
        <v>1252</v>
      </c>
      <c r="B189" s="286" t="s">
        <v>1253</v>
      </c>
      <c r="C189" s="287">
        <v>2.398</v>
      </c>
      <c r="D189" s="288" t="s">
        <v>1254</v>
      </c>
      <c r="E189" s="289" t="s">
        <v>96</v>
      </c>
      <c r="F189" s="296" t="s">
        <v>595</v>
      </c>
      <c r="G189" s="289">
        <v>3.584114148E9</v>
      </c>
      <c r="H189" s="291" t="s">
        <v>1255</v>
      </c>
      <c r="I189" s="292"/>
      <c r="J189" s="25" t="s">
        <v>1256</v>
      </c>
      <c r="K189" s="27">
        <v>3.584173221E9</v>
      </c>
      <c r="L189" s="327">
        <v>3.545173221E9</v>
      </c>
      <c r="M189" s="294"/>
      <c r="N189" s="290" t="s">
        <v>407</v>
      </c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</row>
    <row r="190">
      <c r="A190" s="285" t="s">
        <v>1252</v>
      </c>
      <c r="B190" s="286" t="s">
        <v>1257</v>
      </c>
      <c r="C190" s="287">
        <v>7.739</v>
      </c>
      <c r="D190" s="288" t="s">
        <v>1258</v>
      </c>
      <c r="E190" s="289" t="s">
        <v>96</v>
      </c>
      <c r="F190" s="290" t="s">
        <v>396</v>
      </c>
      <c r="G190" s="289">
        <v>3.585407076E9</v>
      </c>
      <c r="H190" s="286" t="s">
        <v>1259</v>
      </c>
      <c r="I190" s="289" t="s">
        <v>389</v>
      </c>
      <c r="J190" s="25" t="s">
        <v>1260</v>
      </c>
      <c r="K190" s="27">
        <v>3.585407076E9</v>
      </c>
      <c r="L190" s="292"/>
      <c r="M190" s="294"/>
      <c r="N190" s="290" t="s">
        <v>407</v>
      </c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</row>
    <row r="191">
      <c r="A191" s="285" t="s">
        <v>1252</v>
      </c>
      <c r="B191" s="286" t="s">
        <v>1261</v>
      </c>
      <c r="C191" s="287">
        <v>5.924</v>
      </c>
      <c r="D191" s="288" t="s">
        <v>1262</v>
      </c>
      <c r="E191" s="289" t="s">
        <v>96</v>
      </c>
      <c r="F191" s="296" t="s">
        <v>415</v>
      </c>
      <c r="G191" s="289">
        <v>3.58483759E9</v>
      </c>
      <c r="H191" s="291" t="s">
        <v>1263</v>
      </c>
      <c r="I191" s="292"/>
      <c r="J191" s="25" t="s">
        <v>1264</v>
      </c>
      <c r="K191" s="27" t="s">
        <v>1265</v>
      </c>
      <c r="L191" s="292"/>
      <c r="M191" s="27" t="s">
        <v>401</v>
      </c>
      <c r="N191" s="297" t="s">
        <v>419</v>
      </c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</row>
    <row r="192">
      <c r="A192" s="285" t="s">
        <v>1252</v>
      </c>
      <c r="B192" s="286" t="s">
        <v>1266</v>
      </c>
      <c r="C192" s="287">
        <v>966.0</v>
      </c>
      <c r="D192" s="288" t="s">
        <v>1267</v>
      </c>
      <c r="E192" s="289" t="s">
        <v>96</v>
      </c>
      <c r="F192" s="296" t="s">
        <v>415</v>
      </c>
      <c r="G192" s="289">
        <v>3.584385285E9</v>
      </c>
      <c r="H192" s="291" t="s">
        <v>1268</v>
      </c>
      <c r="I192" s="292"/>
      <c r="J192" s="25" t="s">
        <v>1269</v>
      </c>
      <c r="K192" s="27">
        <v>3.584297334E9</v>
      </c>
      <c r="L192" s="292"/>
      <c r="M192" s="294"/>
      <c r="N192" s="304" t="s">
        <v>1270</v>
      </c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</row>
    <row r="193">
      <c r="A193" s="285" t="s">
        <v>1252</v>
      </c>
      <c r="B193" s="286" t="s">
        <v>1271</v>
      </c>
      <c r="C193" s="287">
        <v>6.886</v>
      </c>
      <c r="D193" s="288" t="s">
        <v>1272</v>
      </c>
      <c r="E193" s="289" t="s">
        <v>96</v>
      </c>
      <c r="F193" s="296" t="s">
        <v>415</v>
      </c>
      <c r="G193" s="289">
        <v>3.584227024E9</v>
      </c>
      <c r="H193" s="291" t="s">
        <v>1273</v>
      </c>
      <c r="I193" s="292"/>
      <c r="J193" s="25" t="s">
        <v>1274</v>
      </c>
      <c r="K193" s="27">
        <v>3.584290738E9</v>
      </c>
      <c r="L193" s="292"/>
      <c r="M193" s="292"/>
      <c r="N193" s="297" t="s">
        <v>419</v>
      </c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</row>
    <row r="194">
      <c r="A194" s="285" t="s">
        <v>1252</v>
      </c>
      <c r="B194" s="286" t="s">
        <v>1275</v>
      </c>
      <c r="C194" s="287">
        <v>1.051</v>
      </c>
      <c r="D194" s="288" t="s">
        <v>1276</v>
      </c>
      <c r="E194" s="289" t="s">
        <v>96</v>
      </c>
      <c r="F194" s="290" t="s">
        <v>396</v>
      </c>
      <c r="G194" s="289">
        <v>3.585096252E9</v>
      </c>
      <c r="H194" s="291" t="s">
        <v>1277</v>
      </c>
      <c r="I194" s="292"/>
      <c r="J194" s="25" t="s">
        <v>1278</v>
      </c>
      <c r="K194" s="27">
        <v>3.582414875E9</v>
      </c>
      <c r="L194" s="292"/>
      <c r="M194" s="294"/>
      <c r="N194" s="290" t="s">
        <v>407</v>
      </c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</row>
    <row r="195">
      <c r="A195" s="285" t="s">
        <v>1252</v>
      </c>
      <c r="B195" s="286" t="s">
        <v>1279</v>
      </c>
      <c r="C195" s="287">
        <v>767.0</v>
      </c>
      <c r="D195" s="288" t="s">
        <v>1280</v>
      </c>
      <c r="E195" s="289" t="s">
        <v>96</v>
      </c>
      <c r="F195" s="290" t="s">
        <v>396</v>
      </c>
      <c r="G195" s="289">
        <v>3.582594677E9</v>
      </c>
      <c r="H195" s="291" t="s">
        <v>1281</v>
      </c>
      <c r="I195" s="292"/>
      <c r="J195" s="25" t="s">
        <v>1282</v>
      </c>
      <c r="K195" s="286">
        <v>3.582409001E9</v>
      </c>
      <c r="L195" s="315" t="s">
        <v>1283</v>
      </c>
      <c r="M195" s="294"/>
      <c r="N195" s="290" t="s">
        <v>407</v>
      </c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</row>
    <row r="196">
      <c r="A196" s="285" t="s">
        <v>1252</v>
      </c>
      <c r="B196" s="286" t="s">
        <v>1284</v>
      </c>
      <c r="C196" s="287">
        <v>304.0</v>
      </c>
      <c r="D196" s="288" t="s">
        <v>1285</v>
      </c>
      <c r="E196" s="289" t="s">
        <v>73</v>
      </c>
      <c r="F196" s="296" t="s">
        <v>415</v>
      </c>
      <c r="G196" s="289">
        <v>3.586543027E9</v>
      </c>
      <c r="H196" s="291" t="s">
        <v>1286</v>
      </c>
      <c r="I196" s="292"/>
      <c r="J196" s="25" t="s">
        <v>1287</v>
      </c>
      <c r="K196" s="27" t="s">
        <v>1288</v>
      </c>
      <c r="L196" s="292"/>
      <c r="M196" s="292"/>
      <c r="N196" s="328" t="s">
        <v>419</v>
      </c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</row>
    <row r="197">
      <c r="A197" s="285" t="s">
        <v>1252</v>
      </c>
      <c r="B197" s="286" t="s">
        <v>1289</v>
      </c>
      <c r="C197" s="287">
        <v>1.532</v>
      </c>
      <c r="D197" s="288" t="s">
        <v>1290</v>
      </c>
      <c r="E197" s="289" t="s">
        <v>96</v>
      </c>
      <c r="F197" s="296" t="s">
        <v>595</v>
      </c>
      <c r="G197" s="289" t="s">
        <v>1291</v>
      </c>
      <c r="H197" s="286" t="s">
        <v>1292</v>
      </c>
      <c r="I197" s="289" t="s">
        <v>389</v>
      </c>
      <c r="J197" s="25" t="s">
        <v>1293</v>
      </c>
      <c r="K197" s="27">
        <v>3.584322051E9</v>
      </c>
      <c r="L197" s="292"/>
      <c r="M197" s="292"/>
      <c r="N197" s="297" t="s">
        <v>419</v>
      </c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</row>
    <row r="198">
      <c r="A198" s="285" t="s">
        <v>1252</v>
      </c>
      <c r="B198" s="286" t="s">
        <v>1294</v>
      </c>
      <c r="C198" s="287">
        <v>9.01</v>
      </c>
      <c r="D198" s="288" t="s">
        <v>1295</v>
      </c>
      <c r="E198" s="289" t="s">
        <v>96</v>
      </c>
      <c r="F198" s="290" t="s">
        <v>396</v>
      </c>
      <c r="G198" s="289">
        <v>3.582409544E9</v>
      </c>
      <c r="H198" s="291" t="s">
        <v>1296</v>
      </c>
      <c r="I198" s="292"/>
      <c r="J198" s="25" t="s">
        <v>1297</v>
      </c>
      <c r="K198" s="27" t="s">
        <v>1298</v>
      </c>
      <c r="L198" s="292"/>
      <c r="M198" s="292"/>
      <c r="N198" s="297" t="s">
        <v>419</v>
      </c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</row>
    <row r="199">
      <c r="A199" s="285" t="s">
        <v>1252</v>
      </c>
      <c r="B199" s="286" t="s">
        <v>1299</v>
      </c>
      <c r="C199" s="287">
        <v>3.007</v>
      </c>
      <c r="D199" s="288" t="s">
        <v>1300</v>
      </c>
      <c r="E199" s="289" t="s">
        <v>96</v>
      </c>
      <c r="F199" s="290" t="s">
        <v>396</v>
      </c>
      <c r="G199" s="289">
        <v>3.584602994E9</v>
      </c>
      <c r="H199" s="291" t="s">
        <v>1301</v>
      </c>
      <c r="I199" s="292"/>
      <c r="J199" s="25" t="s">
        <v>1302</v>
      </c>
      <c r="K199" s="27" t="s">
        <v>1303</v>
      </c>
      <c r="L199" s="292"/>
      <c r="M199" s="27" t="s">
        <v>401</v>
      </c>
      <c r="N199" s="297" t="s">
        <v>419</v>
      </c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</row>
    <row r="200">
      <c r="A200" s="285" t="s">
        <v>1252</v>
      </c>
      <c r="B200" s="286" t="s">
        <v>1304</v>
      </c>
      <c r="C200" s="287">
        <v>165.0</v>
      </c>
      <c r="D200" s="288" t="s">
        <v>1305</v>
      </c>
      <c r="E200" s="289" t="s">
        <v>73</v>
      </c>
      <c r="F200" s="296" t="s">
        <v>415</v>
      </c>
      <c r="G200" s="289">
        <v>3.584280061E9</v>
      </c>
      <c r="H200" s="286" t="s">
        <v>1306</v>
      </c>
      <c r="I200" s="289" t="s">
        <v>389</v>
      </c>
      <c r="J200" s="25" t="s">
        <v>1307</v>
      </c>
      <c r="K200" s="27">
        <v>3.584280061E9</v>
      </c>
      <c r="L200" s="292"/>
      <c r="M200" s="292"/>
      <c r="N200" s="297" t="s">
        <v>419</v>
      </c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</row>
    <row r="201">
      <c r="A201" s="285" t="s">
        <v>1252</v>
      </c>
      <c r="B201" s="286" t="s">
        <v>1308</v>
      </c>
      <c r="C201" s="287">
        <v>1.014</v>
      </c>
      <c r="D201" s="288" t="s">
        <v>1309</v>
      </c>
      <c r="E201" s="289" t="s">
        <v>96</v>
      </c>
      <c r="F201" s="296" t="s">
        <v>415</v>
      </c>
      <c r="G201" s="289">
        <v>3.58364074E9</v>
      </c>
      <c r="H201" s="291" t="s">
        <v>1310</v>
      </c>
      <c r="I201" s="292"/>
      <c r="J201" s="25" t="s">
        <v>1311</v>
      </c>
      <c r="K201" s="27">
        <v>3.58341149E9</v>
      </c>
      <c r="L201" s="292"/>
      <c r="M201" s="27" t="s">
        <v>401</v>
      </c>
      <c r="N201" s="290" t="s">
        <v>407</v>
      </c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</row>
    <row r="202">
      <c r="A202" s="285" t="s">
        <v>1252</v>
      </c>
      <c r="B202" s="286" t="s">
        <v>1312</v>
      </c>
      <c r="C202" s="287">
        <v>2.443</v>
      </c>
      <c r="D202" s="288" t="s">
        <v>1313</v>
      </c>
      <c r="E202" s="289" t="s">
        <v>96</v>
      </c>
      <c r="F202" s="290" t="s">
        <v>396</v>
      </c>
      <c r="G202" s="289">
        <v>3.584221063E9</v>
      </c>
      <c r="H202" s="291" t="s">
        <v>1314</v>
      </c>
      <c r="I202" s="292"/>
      <c r="J202" s="25" t="s">
        <v>1315</v>
      </c>
      <c r="K202" s="27" t="s">
        <v>1316</v>
      </c>
      <c r="L202" s="292"/>
      <c r="M202" s="292"/>
      <c r="N202" s="297" t="s">
        <v>419</v>
      </c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</row>
    <row r="203">
      <c r="A203" s="285" t="s">
        <v>1252</v>
      </c>
      <c r="B203" s="286" t="s">
        <v>1317</v>
      </c>
      <c r="C203" s="287">
        <v>342.0</v>
      </c>
      <c r="D203" s="288" t="s">
        <v>1318</v>
      </c>
      <c r="E203" s="289" t="s">
        <v>73</v>
      </c>
      <c r="F203" s="296" t="s">
        <v>595</v>
      </c>
      <c r="G203" s="289">
        <v>3.584285277E9</v>
      </c>
      <c r="H203" s="286" t="s">
        <v>1319</v>
      </c>
      <c r="I203" s="27" t="s">
        <v>389</v>
      </c>
      <c r="J203" s="25" t="s">
        <v>1320</v>
      </c>
      <c r="K203" s="27">
        <v>3.584285277E9</v>
      </c>
      <c r="L203" s="292"/>
      <c r="M203" s="27" t="s">
        <v>401</v>
      </c>
      <c r="N203" s="297" t="s">
        <v>1321</v>
      </c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</row>
    <row r="204">
      <c r="A204" s="285" t="s">
        <v>1252</v>
      </c>
      <c r="B204" s="286" t="s">
        <v>1322</v>
      </c>
      <c r="C204" s="287">
        <v>6.202</v>
      </c>
      <c r="D204" s="288" t="s">
        <v>1323</v>
      </c>
      <c r="E204" s="289" t="s">
        <v>96</v>
      </c>
      <c r="F204" s="290" t="s">
        <v>396</v>
      </c>
      <c r="G204" s="289">
        <v>3.58402029E9</v>
      </c>
      <c r="H204" s="291" t="s">
        <v>1324</v>
      </c>
      <c r="I204" s="292"/>
      <c r="J204" s="25" t="s">
        <v>1325</v>
      </c>
      <c r="K204" s="27">
        <v>3.586006243E9</v>
      </c>
      <c r="L204" s="292"/>
      <c r="M204" s="294"/>
      <c r="N204" s="290" t="s">
        <v>407</v>
      </c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</row>
    <row r="205">
      <c r="A205" s="285" t="s">
        <v>1252</v>
      </c>
      <c r="B205" s="286" t="s">
        <v>1326</v>
      </c>
      <c r="C205" s="287">
        <v>148.0</v>
      </c>
      <c r="D205" s="288" t="s">
        <v>1327</v>
      </c>
      <c r="E205" s="289" t="s">
        <v>73</v>
      </c>
      <c r="F205" s="290" t="s">
        <v>396</v>
      </c>
      <c r="G205" s="289">
        <v>3.585604786E9</v>
      </c>
      <c r="H205" s="291" t="s">
        <v>1328</v>
      </c>
      <c r="I205" s="292"/>
      <c r="J205" s="25" t="s">
        <v>1329</v>
      </c>
      <c r="K205" s="286">
        <v>3.534771476E9</v>
      </c>
      <c r="L205" s="292"/>
      <c r="M205" s="294"/>
      <c r="N205" s="290" t="s">
        <v>407</v>
      </c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</row>
    <row r="206">
      <c r="A206" s="285" t="s">
        <v>1252</v>
      </c>
      <c r="B206" s="286" t="s">
        <v>1330</v>
      </c>
      <c r="C206" s="287">
        <v>766.0</v>
      </c>
      <c r="D206" s="288" t="s">
        <v>1331</v>
      </c>
      <c r="E206" s="289" t="s">
        <v>96</v>
      </c>
      <c r="F206" s="296" t="s">
        <v>415</v>
      </c>
      <c r="G206" s="289">
        <v>3.586011179E9</v>
      </c>
      <c r="H206" s="291" t="s">
        <v>1332</v>
      </c>
      <c r="I206" s="292"/>
      <c r="J206" s="25" t="s">
        <v>1333</v>
      </c>
      <c r="K206" s="27">
        <v>3.586002948E9</v>
      </c>
      <c r="L206" s="292"/>
      <c r="M206" s="292"/>
      <c r="N206" s="297" t="s">
        <v>419</v>
      </c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</row>
    <row r="207">
      <c r="A207" s="285" t="s">
        <v>1252</v>
      </c>
      <c r="B207" s="286" t="s">
        <v>1334</v>
      </c>
      <c r="C207" s="287">
        <v>368.0</v>
      </c>
      <c r="D207" s="288" t="s">
        <v>1335</v>
      </c>
      <c r="E207" s="289" t="s">
        <v>73</v>
      </c>
      <c r="F207" s="293" t="s">
        <v>433</v>
      </c>
      <c r="G207" s="289">
        <v>3.582416515E9</v>
      </c>
      <c r="H207" s="291" t="s">
        <v>1336</v>
      </c>
      <c r="I207" s="292"/>
      <c r="J207" s="25" t="s">
        <v>1337</v>
      </c>
      <c r="K207" s="27">
        <v>3.58402603E9</v>
      </c>
      <c r="L207" s="292"/>
      <c r="M207" s="294"/>
      <c r="N207" s="290" t="s">
        <v>407</v>
      </c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</row>
    <row r="208">
      <c r="A208" s="285" t="s">
        <v>1252</v>
      </c>
      <c r="B208" s="286" t="s">
        <v>1338</v>
      </c>
      <c r="C208" s="287">
        <v>694.0</v>
      </c>
      <c r="D208" s="288" t="s">
        <v>1339</v>
      </c>
      <c r="E208" s="289" t="s">
        <v>96</v>
      </c>
      <c r="F208" s="296" t="s">
        <v>415</v>
      </c>
      <c r="G208" s="289">
        <v>3.585499232E9</v>
      </c>
      <c r="H208" s="291" t="s">
        <v>1340</v>
      </c>
      <c r="I208" s="292"/>
      <c r="J208" s="25" t="s">
        <v>1341</v>
      </c>
      <c r="K208" s="27">
        <v>3.585499321E9</v>
      </c>
      <c r="L208" s="292"/>
      <c r="M208" s="292"/>
      <c r="N208" s="297" t="s">
        <v>419</v>
      </c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</row>
    <row r="209">
      <c r="A209" s="285" t="s">
        <v>1252</v>
      </c>
      <c r="B209" s="286" t="s">
        <v>1342</v>
      </c>
      <c r="C209" s="287">
        <v>158.298</v>
      </c>
      <c r="D209" s="288" t="s">
        <v>1343</v>
      </c>
      <c r="E209" s="289" t="s">
        <v>96</v>
      </c>
      <c r="F209" s="290" t="s">
        <v>396</v>
      </c>
      <c r="G209" s="289">
        <v>3.584838664E9</v>
      </c>
      <c r="H209" s="291" t="s">
        <v>1344</v>
      </c>
      <c r="I209" s="292"/>
      <c r="J209" s="25" t="s">
        <v>1345</v>
      </c>
      <c r="K209" s="27" t="s">
        <v>1346</v>
      </c>
      <c r="L209" s="292"/>
      <c r="M209" s="294"/>
      <c r="N209" s="290" t="s">
        <v>407</v>
      </c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</row>
    <row r="210">
      <c r="A210" s="285" t="s">
        <v>1252</v>
      </c>
      <c r="B210" s="286" t="s">
        <v>1347</v>
      </c>
      <c r="C210" s="287">
        <v>7.846</v>
      </c>
      <c r="D210" s="288" t="s">
        <v>1348</v>
      </c>
      <c r="E210" s="289" t="s">
        <v>96</v>
      </c>
      <c r="F210" s="293" t="s">
        <v>433</v>
      </c>
      <c r="G210" s="289">
        <v>3.582436084E9</v>
      </c>
      <c r="H210" s="301"/>
      <c r="I210" s="289" t="s">
        <v>389</v>
      </c>
      <c r="J210" s="25" t="s">
        <v>1349</v>
      </c>
      <c r="K210" s="27">
        <v>3.582436084E9</v>
      </c>
      <c r="L210" s="292"/>
      <c r="M210" s="294"/>
      <c r="N210" s="290" t="s">
        <v>407</v>
      </c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</row>
    <row r="211">
      <c r="A211" s="285" t="s">
        <v>1252</v>
      </c>
      <c r="B211" s="286" t="s">
        <v>1350</v>
      </c>
      <c r="C211" s="287">
        <v>3.225</v>
      </c>
      <c r="D211" s="288" t="s">
        <v>1351</v>
      </c>
      <c r="E211" s="289" t="s">
        <v>96</v>
      </c>
      <c r="F211" s="290" t="s">
        <v>396</v>
      </c>
      <c r="G211" s="289">
        <v>3.58540824E9</v>
      </c>
      <c r="H211" s="291" t="s">
        <v>1352</v>
      </c>
      <c r="I211" s="292"/>
      <c r="J211" s="25" t="s">
        <v>1353</v>
      </c>
      <c r="K211" s="27">
        <v>3.584371724E9</v>
      </c>
      <c r="L211" s="292"/>
      <c r="M211" s="294"/>
      <c r="N211" s="329" t="s">
        <v>1354</v>
      </c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</row>
    <row r="212">
      <c r="A212" s="285" t="s">
        <v>1252</v>
      </c>
      <c r="B212" s="286" t="s">
        <v>1355</v>
      </c>
      <c r="C212" s="287">
        <v>3.898</v>
      </c>
      <c r="D212" s="288" t="s">
        <v>1356</v>
      </c>
      <c r="E212" s="289" t="s">
        <v>96</v>
      </c>
      <c r="F212" s="290" t="s">
        <v>396</v>
      </c>
      <c r="G212" s="289" t="s">
        <v>1357</v>
      </c>
      <c r="H212" s="291" t="s">
        <v>1358</v>
      </c>
      <c r="I212" s="292"/>
      <c r="J212" s="25" t="s">
        <v>1359</v>
      </c>
      <c r="K212" s="27">
        <v>3.584171198E9</v>
      </c>
      <c r="L212" s="292"/>
      <c r="M212" s="294"/>
      <c r="N212" s="290" t="s">
        <v>407</v>
      </c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</row>
    <row r="213">
      <c r="A213" s="285" t="s">
        <v>1252</v>
      </c>
      <c r="B213" s="286" t="s">
        <v>1360</v>
      </c>
      <c r="C213" s="287">
        <v>307.0</v>
      </c>
      <c r="D213" s="288" t="s">
        <v>1361</v>
      </c>
      <c r="E213" s="289" t="s">
        <v>73</v>
      </c>
      <c r="F213" s="290" t="s">
        <v>396</v>
      </c>
      <c r="G213" s="289">
        <v>3.584195642E9</v>
      </c>
      <c r="H213" s="286" t="s">
        <v>1362</v>
      </c>
      <c r="I213" s="27" t="s">
        <v>389</v>
      </c>
      <c r="J213" s="25" t="s">
        <v>1363</v>
      </c>
      <c r="K213" s="289">
        <v>3.584195642E9</v>
      </c>
      <c r="L213" s="291" t="s">
        <v>1362</v>
      </c>
      <c r="M213" s="27" t="s">
        <v>401</v>
      </c>
      <c r="N213" s="290" t="s">
        <v>407</v>
      </c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</row>
    <row r="214">
      <c r="A214" s="285" t="s">
        <v>1252</v>
      </c>
      <c r="B214" s="286" t="s">
        <v>1364</v>
      </c>
      <c r="C214" s="287">
        <v>414.0</v>
      </c>
      <c r="D214" s="288" t="s">
        <v>1365</v>
      </c>
      <c r="E214" s="289" t="s">
        <v>96</v>
      </c>
      <c r="F214" s="293" t="s">
        <v>433</v>
      </c>
      <c r="G214" s="289">
        <v>3.58348695E9</v>
      </c>
      <c r="H214" s="291" t="s">
        <v>1366</v>
      </c>
      <c r="I214" s="292"/>
      <c r="J214" s="25" t="s">
        <v>1367</v>
      </c>
      <c r="K214" s="27">
        <v>3.518029078E9</v>
      </c>
      <c r="L214" s="292"/>
      <c r="M214" s="294"/>
      <c r="N214" s="290" t="s">
        <v>407</v>
      </c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</row>
    <row r="215">
      <c r="A215" s="285" t="s">
        <v>1252</v>
      </c>
      <c r="B215" s="286" t="s">
        <v>1368</v>
      </c>
      <c r="C215" s="287">
        <v>10.17</v>
      </c>
      <c r="D215" s="288" t="s">
        <v>1369</v>
      </c>
      <c r="E215" s="289" t="s">
        <v>96</v>
      </c>
      <c r="F215" s="296" t="s">
        <v>415</v>
      </c>
      <c r="G215" s="289">
        <v>3.583595933E9</v>
      </c>
      <c r="H215" s="286" t="s">
        <v>1370</v>
      </c>
      <c r="I215" s="27" t="s">
        <v>389</v>
      </c>
      <c r="J215" s="25" t="s">
        <v>1371</v>
      </c>
      <c r="K215" s="289">
        <v>3.583595933E9</v>
      </c>
      <c r="L215" s="291" t="s">
        <v>1370</v>
      </c>
      <c r="M215" s="292"/>
      <c r="N215" s="297" t="s">
        <v>419</v>
      </c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</row>
    <row r="216">
      <c r="A216" s="285" t="s">
        <v>1252</v>
      </c>
      <c r="B216" s="286" t="s">
        <v>1372</v>
      </c>
      <c r="C216" s="287">
        <v>84.0</v>
      </c>
      <c r="D216" s="288" t="s">
        <v>1373</v>
      </c>
      <c r="E216" s="289" t="s">
        <v>73</v>
      </c>
      <c r="F216" s="290" t="s">
        <v>396</v>
      </c>
      <c r="G216" s="289">
        <v>3.584029469E9</v>
      </c>
      <c r="H216" s="291" t="s">
        <v>1374</v>
      </c>
      <c r="I216" s="292"/>
      <c r="J216" s="25" t="s">
        <v>1375</v>
      </c>
      <c r="K216" s="330">
        <v>3.58488771E9</v>
      </c>
      <c r="L216" s="292"/>
      <c r="M216" s="292"/>
      <c r="N216" s="331" t="s">
        <v>1376</v>
      </c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</row>
    <row r="217">
      <c r="A217" s="285" t="s">
        <v>1252</v>
      </c>
      <c r="B217" s="286" t="s">
        <v>1377</v>
      </c>
      <c r="C217" s="287">
        <v>608.0</v>
      </c>
      <c r="D217" s="288" t="s">
        <v>1378</v>
      </c>
      <c r="E217" s="289" t="s">
        <v>73</v>
      </c>
      <c r="F217" s="308" t="s">
        <v>557</v>
      </c>
      <c r="G217" s="289">
        <v>3.583414117E9</v>
      </c>
      <c r="H217" s="291" t="s">
        <v>1379</v>
      </c>
      <c r="I217" s="292"/>
      <c r="J217" s="25" t="s">
        <v>1380</v>
      </c>
      <c r="K217" s="27" t="s">
        <v>1381</v>
      </c>
      <c r="L217" s="298" t="s">
        <v>1382</v>
      </c>
      <c r="M217" s="27" t="s">
        <v>401</v>
      </c>
      <c r="N217" s="297" t="s">
        <v>419</v>
      </c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</row>
    <row r="218">
      <c r="A218" s="285" t="s">
        <v>1383</v>
      </c>
      <c r="B218" s="286" t="s">
        <v>1384</v>
      </c>
      <c r="C218" s="287">
        <v>110.0</v>
      </c>
      <c r="D218" s="288" t="s">
        <v>1385</v>
      </c>
      <c r="E218" s="289" t="s">
        <v>73</v>
      </c>
      <c r="F218" s="290" t="s">
        <v>396</v>
      </c>
      <c r="G218" s="289">
        <v>3.525431996E9</v>
      </c>
      <c r="H218" s="291" t="s">
        <v>1386</v>
      </c>
      <c r="I218" s="292"/>
      <c r="J218" s="25" t="s">
        <v>1387</v>
      </c>
      <c r="K218" s="332">
        <v>3.525419055E9</v>
      </c>
      <c r="L218" s="292"/>
      <c r="M218" s="27" t="s">
        <v>401</v>
      </c>
      <c r="N218" s="290" t="s">
        <v>407</v>
      </c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</row>
    <row r="219">
      <c r="A219" s="285" t="s">
        <v>1383</v>
      </c>
      <c r="B219" s="286" t="s">
        <v>1388</v>
      </c>
      <c r="C219" s="287">
        <v>203.0</v>
      </c>
      <c r="D219" s="288" t="s">
        <v>1389</v>
      </c>
      <c r="E219" s="289" t="s">
        <v>73</v>
      </c>
      <c r="F219" s="296" t="s">
        <v>415</v>
      </c>
      <c r="G219" s="289">
        <v>3.573495609E9</v>
      </c>
      <c r="H219" s="286" t="s">
        <v>1390</v>
      </c>
      <c r="I219" s="27" t="s">
        <v>389</v>
      </c>
      <c r="J219" s="25" t="s">
        <v>1391</v>
      </c>
      <c r="K219" s="289">
        <v>3.573495609E9</v>
      </c>
      <c r="L219" s="291" t="s">
        <v>1390</v>
      </c>
      <c r="M219" s="292"/>
      <c r="N219" s="297" t="s">
        <v>419</v>
      </c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</row>
    <row r="220">
      <c r="A220" s="285" t="s">
        <v>1383</v>
      </c>
      <c r="B220" s="286" t="s">
        <v>1392</v>
      </c>
      <c r="C220" s="287">
        <v>809.0</v>
      </c>
      <c r="D220" s="288" t="s">
        <v>1393</v>
      </c>
      <c r="E220" s="289" t="s">
        <v>73</v>
      </c>
      <c r="F220" s="293" t="s">
        <v>433</v>
      </c>
      <c r="G220" s="289">
        <v>3.513042086E9</v>
      </c>
      <c r="H220" s="314" t="s">
        <v>1394</v>
      </c>
      <c r="I220" s="289" t="s">
        <v>389</v>
      </c>
      <c r="J220" s="25" t="s">
        <v>1395</v>
      </c>
      <c r="K220" s="27">
        <v>3.513042086E9</v>
      </c>
      <c r="L220" s="292"/>
      <c r="M220" s="294"/>
      <c r="N220" s="290" t="s">
        <v>407</v>
      </c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</row>
    <row r="221">
      <c r="A221" s="285" t="s">
        <v>1383</v>
      </c>
      <c r="B221" s="286" t="s">
        <v>1396</v>
      </c>
      <c r="C221" s="287">
        <v>180.0</v>
      </c>
      <c r="D221" s="288" t="s">
        <v>1397</v>
      </c>
      <c r="E221" s="289" t="s">
        <v>73</v>
      </c>
      <c r="F221" s="290" t="s">
        <v>396</v>
      </c>
      <c r="G221" s="289">
        <v>3.575407847E9</v>
      </c>
      <c r="H221" s="291" t="s">
        <v>1398</v>
      </c>
      <c r="I221" s="292"/>
      <c r="J221" s="25" t="s">
        <v>1399</v>
      </c>
      <c r="K221" s="332">
        <v>3.512468454E9</v>
      </c>
      <c r="L221" s="292"/>
      <c r="M221" s="292"/>
      <c r="N221" s="297" t="s">
        <v>419</v>
      </c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</row>
    <row r="222">
      <c r="A222" s="285" t="s">
        <v>1383</v>
      </c>
      <c r="B222" s="286" t="s">
        <v>1400</v>
      </c>
      <c r="C222" s="287">
        <v>115.0</v>
      </c>
      <c r="D222" s="288" t="s">
        <v>1401</v>
      </c>
      <c r="E222" s="289" t="s">
        <v>73</v>
      </c>
      <c r="F222" s="296" t="s">
        <v>415</v>
      </c>
      <c r="G222" s="289">
        <v>3.574459349E9</v>
      </c>
      <c r="H222" s="291" t="s">
        <v>1402</v>
      </c>
      <c r="I222" s="292"/>
      <c r="J222" s="25" t="s">
        <v>1403</v>
      </c>
      <c r="K222" s="27">
        <v>3.574403537E9</v>
      </c>
      <c r="L222" s="292"/>
      <c r="M222" s="27" t="s">
        <v>401</v>
      </c>
      <c r="N222" s="317" t="s">
        <v>1404</v>
      </c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</row>
    <row r="223">
      <c r="A223" s="285" t="s">
        <v>1383</v>
      </c>
      <c r="B223" s="286" t="s">
        <v>1405</v>
      </c>
      <c r="C223" s="287">
        <v>287.0</v>
      </c>
      <c r="D223" s="288" t="s">
        <v>1406</v>
      </c>
      <c r="E223" s="289" t="s">
        <v>73</v>
      </c>
      <c r="F223" s="296" t="s">
        <v>415</v>
      </c>
      <c r="G223" s="289">
        <v>3.574453109E9</v>
      </c>
      <c r="H223" s="291" t="s">
        <v>1407</v>
      </c>
      <c r="I223" s="292"/>
      <c r="J223" s="25" t="s">
        <v>1408</v>
      </c>
      <c r="K223" s="27" t="s">
        <v>1409</v>
      </c>
      <c r="L223" s="292"/>
      <c r="M223" s="292"/>
      <c r="N223" s="317" t="s">
        <v>476</v>
      </c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</row>
    <row r="224">
      <c r="A224" s="285" t="s">
        <v>1383</v>
      </c>
      <c r="B224" s="286" t="s">
        <v>1410</v>
      </c>
      <c r="C224" s="287">
        <v>509.0</v>
      </c>
      <c r="D224" s="288" t="s">
        <v>1411</v>
      </c>
      <c r="E224" s="289" t="s">
        <v>73</v>
      </c>
      <c r="F224" s="290" t="s">
        <v>396</v>
      </c>
      <c r="G224" s="289">
        <v>3.576528059E9</v>
      </c>
      <c r="H224" s="291" t="s">
        <v>1412</v>
      </c>
      <c r="I224" s="292"/>
      <c r="J224" s="25" t="s">
        <v>1413</v>
      </c>
      <c r="K224" s="27">
        <v>3.575408425E9</v>
      </c>
      <c r="L224" s="292"/>
      <c r="M224" s="27" t="s">
        <v>401</v>
      </c>
      <c r="N224" s="290" t="s">
        <v>407</v>
      </c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</row>
    <row r="225">
      <c r="A225" s="285" t="s">
        <v>1383</v>
      </c>
      <c r="B225" s="286" t="s">
        <v>1414</v>
      </c>
      <c r="C225" s="287">
        <v>220.0</v>
      </c>
      <c r="D225" s="288" t="s">
        <v>1415</v>
      </c>
      <c r="E225" s="289" t="s">
        <v>73</v>
      </c>
      <c r="F225" s="290" t="s">
        <v>396</v>
      </c>
      <c r="G225" s="289">
        <v>3.574417997E9</v>
      </c>
      <c r="H225" s="314" t="s">
        <v>1416</v>
      </c>
      <c r="I225" s="289" t="s">
        <v>389</v>
      </c>
      <c r="J225" s="25" t="s">
        <v>1417</v>
      </c>
      <c r="K225" s="27">
        <v>3.574417997E9</v>
      </c>
      <c r="L225" s="292"/>
      <c r="M225" s="27" t="s">
        <v>401</v>
      </c>
      <c r="N225" s="290" t="s">
        <v>407</v>
      </c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</row>
    <row r="226">
      <c r="A226" s="285" t="s">
        <v>1383</v>
      </c>
      <c r="B226" s="286" t="s">
        <v>1418</v>
      </c>
      <c r="C226" s="287">
        <v>273.0</v>
      </c>
      <c r="D226" s="288" t="s">
        <v>1419</v>
      </c>
      <c r="E226" s="289" t="s">
        <v>73</v>
      </c>
      <c r="F226" s="290" t="s">
        <v>396</v>
      </c>
      <c r="G226" s="289" t="s">
        <v>1420</v>
      </c>
      <c r="H226" s="291" t="s">
        <v>1421</v>
      </c>
      <c r="I226" s="292"/>
      <c r="J226" s="25" t="s">
        <v>1422</v>
      </c>
      <c r="K226" s="27">
        <v>3.525542483E9</v>
      </c>
      <c r="L226" s="292"/>
      <c r="M226" s="27" t="s">
        <v>401</v>
      </c>
      <c r="N226" s="290" t="s">
        <v>407</v>
      </c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</row>
    <row r="227">
      <c r="A227" s="285" t="s">
        <v>1383</v>
      </c>
      <c r="B227" s="286" t="s">
        <v>1423</v>
      </c>
      <c r="C227" s="287">
        <v>3.489</v>
      </c>
      <c r="D227" s="288" t="s">
        <v>1424</v>
      </c>
      <c r="E227" s="289" t="s">
        <v>96</v>
      </c>
      <c r="F227" s="290" t="s">
        <v>396</v>
      </c>
      <c r="G227" s="289">
        <v>3.575489383E9</v>
      </c>
      <c r="H227" s="291" t="s">
        <v>1425</v>
      </c>
      <c r="I227" s="292"/>
      <c r="J227" s="25" t="s">
        <v>1426</v>
      </c>
      <c r="K227" s="325">
        <v>3.575410846E9</v>
      </c>
      <c r="L227" s="292"/>
      <c r="M227" s="294"/>
      <c r="N227" s="290" t="s">
        <v>407</v>
      </c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</row>
    <row r="228">
      <c r="A228" s="285" t="s">
        <v>1383</v>
      </c>
      <c r="B228" s="286" t="s">
        <v>1427</v>
      </c>
      <c r="C228" s="287">
        <v>241.0</v>
      </c>
      <c r="D228" s="288" t="s">
        <v>1428</v>
      </c>
      <c r="E228" s="289" t="s">
        <v>73</v>
      </c>
      <c r="F228" s="290" t="s">
        <v>396</v>
      </c>
      <c r="G228" s="289">
        <v>3.575408155E9</v>
      </c>
      <c r="H228" s="291" t="s">
        <v>1429</v>
      </c>
      <c r="I228" s="292"/>
      <c r="J228" s="25" t="s">
        <v>1430</v>
      </c>
      <c r="K228" s="27">
        <v>3.512161687E9</v>
      </c>
      <c r="L228" s="292"/>
      <c r="M228" s="27" t="s">
        <v>401</v>
      </c>
      <c r="N228" s="290" t="s">
        <v>407</v>
      </c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</row>
    <row r="229">
      <c r="A229" s="285" t="s">
        <v>1383</v>
      </c>
      <c r="B229" s="286" t="s">
        <v>1431</v>
      </c>
      <c r="C229" s="287">
        <v>2.185</v>
      </c>
      <c r="D229" s="288" t="s">
        <v>1432</v>
      </c>
      <c r="E229" s="289" t="s">
        <v>96</v>
      </c>
      <c r="F229" s="296" t="s">
        <v>415</v>
      </c>
      <c r="G229" s="289">
        <v>3.575489042E9</v>
      </c>
      <c r="H229" s="291" t="s">
        <v>1433</v>
      </c>
      <c r="I229" s="292"/>
      <c r="J229" s="25" t="s">
        <v>1434</v>
      </c>
      <c r="K229" s="27">
        <v>3.575417264E9</v>
      </c>
      <c r="L229" s="292"/>
      <c r="M229" s="27" t="s">
        <v>401</v>
      </c>
      <c r="N229" s="297" t="s">
        <v>419</v>
      </c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</row>
    <row r="230">
      <c r="A230" s="285" t="s">
        <v>1383</v>
      </c>
      <c r="B230" s="286" t="s">
        <v>1435</v>
      </c>
      <c r="C230" s="287">
        <v>208.0</v>
      </c>
      <c r="D230" s="288" t="s">
        <v>1436</v>
      </c>
      <c r="E230" s="289" t="s">
        <v>73</v>
      </c>
      <c r="F230" s="290" t="s">
        <v>396</v>
      </c>
      <c r="G230" s="289">
        <v>3.574511487E9</v>
      </c>
      <c r="H230" s="291" t="s">
        <v>1437</v>
      </c>
      <c r="I230" s="292"/>
      <c r="J230" s="25" t="s">
        <v>1438</v>
      </c>
      <c r="K230" s="27">
        <v>3.575400641E9</v>
      </c>
      <c r="L230" s="292"/>
      <c r="M230" s="292"/>
      <c r="N230" s="297" t="s">
        <v>419</v>
      </c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</row>
    <row r="231">
      <c r="A231" s="285" t="s">
        <v>1383</v>
      </c>
      <c r="B231" s="286" t="s">
        <v>1439</v>
      </c>
      <c r="C231" s="287">
        <v>109.0</v>
      </c>
      <c r="D231" s="288" t="s">
        <v>1440</v>
      </c>
      <c r="E231" s="289" t="s">
        <v>73</v>
      </c>
      <c r="F231" s="293" t="s">
        <v>433</v>
      </c>
      <c r="G231" s="289">
        <v>3.576410751E9</v>
      </c>
      <c r="H231" s="291" t="s">
        <v>1441</v>
      </c>
      <c r="I231" s="292"/>
      <c r="J231" s="25" t="s">
        <v>1442</v>
      </c>
      <c r="K231" s="27">
        <v>3.574409035E9</v>
      </c>
      <c r="L231" s="292"/>
      <c r="M231" s="292"/>
      <c r="N231" s="297" t="s">
        <v>419</v>
      </c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</row>
    <row r="232">
      <c r="A232" s="285" t="s">
        <v>1383</v>
      </c>
      <c r="B232" s="286" t="s">
        <v>1443</v>
      </c>
      <c r="C232" s="287">
        <v>134.0</v>
      </c>
      <c r="D232" s="288" t="s">
        <v>1444</v>
      </c>
      <c r="E232" s="289" t="s">
        <v>73</v>
      </c>
      <c r="F232" s="296" t="s">
        <v>415</v>
      </c>
      <c r="G232" s="289" t="s">
        <v>1445</v>
      </c>
      <c r="H232" s="286" t="s">
        <v>1446</v>
      </c>
      <c r="I232" s="27" t="s">
        <v>389</v>
      </c>
      <c r="J232" s="25" t="s">
        <v>1447</v>
      </c>
      <c r="K232" s="289" t="s">
        <v>1445</v>
      </c>
      <c r="L232" s="291" t="s">
        <v>1446</v>
      </c>
      <c r="M232" s="292"/>
      <c r="N232" s="297" t="s">
        <v>419</v>
      </c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</row>
    <row r="233">
      <c r="A233" s="285" t="s">
        <v>1383</v>
      </c>
      <c r="B233" s="286" t="s">
        <v>1448</v>
      </c>
      <c r="C233" s="287">
        <v>69.0</v>
      </c>
      <c r="D233" s="288" t="s">
        <v>1449</v>
      </c>
      <c r="E233" s="289" t="s">
        <v>73</v>
      </c>
      <c r="F233" s="296" t="s">
        <v>415</v>
      </c>
      <c r="G233" s="289">
        <v>3.576526441E9</v>
      </c>
      <c r="H233" s="309" t="s">
        <v>1450</v>
      </c>
      <c r="I233" s="292"/>
      <c r="J233" s="25" t="s">
        <v>1451</v>
      </c>
      <c r="K233" s="27">
        <v>3.574410385E9</v>
      </c>
      <c r="L233" s="292"/>
      <c r="M233" s="27" t="s">
        <v>401</v>
      </c>
      <c r="N233" s="312" t="s">
        <v>1228</v>
      </c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</row>
    <row r="234">
      <c r="A234" s="285" t="s">
        <v>1383</v>
      </c>
      <c r="B234" s="286" t="s">
        <v>1452</v>
      </c>
      <c r="C234" s="287">
        <v>10.332</v>
      </c>
      <c r="D234" s="288" t="s">
        <v>1453</v>
      </c>
      <c r="E234" s="289" t="s">
        <v>96</v>
      </c>
      <c r="F234" s="296" t="s">
        <v>415</v>
      </c>
      <c r="G234" s="289" t="s">
        <v>1454</v>
      </c>
      <c r="H234" s="291" t="s">
        <v>1455</v>
      </c>
      <c r="I234" s="292"/>
      <c r="J234" s="25" t="s">
        <v>1456</v>
      </c>
      <c r="K234" s="27">
        <v>3.512428615E9</v>
      </c>
      <c r="L234" s="292"/>
      <c r="M234" s="294"/>
      <c r="N234" s="290" t="s">
        <v>407</v>
      </c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</row>
    <row r="235">
      <c r="A235" s="285" t="s">
        <v>1383</v>
      </c>
      <c r="B235" s="286" t="s">
        <v>1457</v>
      </c>
      <c r="C235" s="287">
        <v>2.497</v>
      </c>
      <c r="D235" s="288" t="s">
        <v>1458</v>
      </c>
      <c r="E235" s="289" t="s">
        <v>96</v>
      </c>
      <c r="F235" s="290" t="s">
        <v>396</v>
      </c>
      <c r="G235" s="289">
        <v>3.575417137E9</v>
      </c>
      <c r="H235" s="286" t="s">
        <v>1459</v>
      </c>
      <c r="I235" s="289" t="s">
        <v>389</v>
      </c>
      <c r="J235" s="25" t="s">
        <v>1460</v>
      </c>
      <c r="K235" s="27">
        <v>3.575417137E9</v>
      </c>
      <c r="L235" s="292"/>
      <c r="M235" s="27" t="s">
        <v>401</v>
      </c>
      <c r="N235" s="290" t="s">
        <v>407</v>
      </c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</row>
    <row r="236">
      <c r="A236" s="285" t="s">
        <v>1383</v>
      </c>
      <c r="B236" s="286" t="s">
        <v>1461</v>
      </c>
      <c r="C236" s="287">
        <v>365.0</v>
      </c>
      <c r="D236" s="288" t="s">
        <v>1462</v>
      </c>
      <c r="E236" s="289" t="s">
        <v>73</v>
      </c>
      <c r="F236" s="290" t="s">
        <v>396</v>
      </c>
      <c r="G236" s="289">
        <v>3.515304508E9</v>
      </c>
      <c r="H236" s="286" t="s">
        <v>1463</v>
      </c>
      <c r="I236" s="289" t="s">
        <v>389</v>
      </c>
      <c r="J236" s="25" t="s">
        <v>1464</v>
      </c>
      <c r="K236" s="27">
        <v>3.51304508E8</v>
      </c>
      <c r="L236" s="292"/>
      <c r="M236" s="27" t="s">
        <v>401</v>
      </c>
      <c r="N236" s="290" t="s">
        <v>407</v>
      </c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</row>
    <row r="237">
      <c r="A237" s="285" t="s">
        <v>1383</v>
      </c>
      <c r="B237" s="286" t="s">
        <v>1465</v>
      </c>
      <c r="C237" s="287">
        <v>1.364</v>
      </c>
      <c r="D237" s="288" t="s">
        <v>1466</v>
      </c>
      <c r="E237" s="289" t="s">
        <v>96</v>
      </c>
      <c r="F237" s="296" t="s">
        <v>415</v>
      </c>
      <c r="G237" s="289">
        <v>3.57441258E9</v>
      </c>
      <c r="H237" s="291" t="s">
        <v>1467</v>
      </c>
      <c r="I237" s="292"/>
      <c r="J237" s="25" t="s">
        <v>1468</v>
      </c>
      <c r="K237" s="27">
        <v>3.513851486E9</v>
      </c>
      <c r="L237" s="292"/>
      <c r="M237" s="294"/>
      <c r="N237" s="290" t="s">
        <v>407</v>
      </c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</row>
    <row r="238">
      <c r="A238" s="285" t="s">
        <v>1383</v>
      </c>
      <c r="B238" s="286" t="s">
        <v>1469</v>
      </c>
      <c r="C238" s="287">
        <v>67.0</v>
      </c>
      <c r="D238" s="288" t="s">
        <v>1470</v>
      </c>
      <c r="E238" s="289" t="s">
        <v>73</v>
      </c>
      <c r="F238" s="290" t="s">
        <v>396</v>
      </c>
      <c r="G238" s="289">
        <v>3.575403967E9</v>
      </c>
      <c r="H238" s="291" t="s">
        <v>1471</v>
      </c>
      <c r="I238" s="292"/>
      <c r="J238" s="25" t="s">
        <v>1472</v>
      </c>
      <c r="K238" s="332">
        <v>3.575403269E9</v>
      </c>
      <c r="L238" s="292"/>
      <c r="M238" s="27" t="s">
        <v>401</v>
      </c>
      <c r="N238" s="290" t="s">
        <v>407</v>
      </c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</row>
    <row r="239">
      <c r="A239" s="285" t="s">
        <v>1383</v>
      </c>
      <c r="B239" s="286" t="s">
        <v>1473</v>
      </c>
      <c r="C239" s="287">
        <v>7.389</v>
      </c>
      <c r="D239" s="288" t="s">
        <v>1474</v>
      </c>
      <c r="E239" s="289" t="s">
        <v>96</v>
      </c>
      <c r="F239" s="290" t="s">
        <v>396</v>
      </c>
      <c r="G239" s="289">
        <v>3.574510651E9</v>
      </c>
      <c r="H239" s="291" t="s">
        <v>1475</v>
      </c>
      <c r="I239" s="294"/>
      <c r="J239" s="25" t="s">
        <v>1476</v>
      </c>
      <c r="K239" s="27">
        <v>3.574405185E9</v>
      </c>
      <c r="L239" s="292"/>
      <c r="M239" s="27" t="s">
        <v>401</v>
      </c>
      <c r="N239" s="297" t="s">
        <v>419</v>
      </c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</row>
    <row r="240">
      <c r="A240" s="285" t="s">
        <v>1383</v>
      </c>
      <c r="B240" s="286" t="s">
        <v>1477</v>
      </c>
      <c r="C240" s="287">
        <v>151.0</v>
      </c>
      <c r="D240" s="288" t="s">
        <v>1478</v>
      </c>
      <c r="E240" s="289" t="s">
        <v>73</v>
      </c>
      <c r="F240" s="296" t="s">
        <v>415</v>
      </c>
      <c r="G240" s="289">
        <v>3.574411683E9</v>
      </c>
      <c r="H240" s="291" t="s">
        <v>1479</v>
      </c>
      <c r="I240" s="292"/>
      <c r="J240" s="25" t="s">
        <v>1480</v>
      </c>
      <c r="K240" s="27">
        <v>3.574408012E9</v>
      </c>
      <c r="L240" s="292"/>
      <c r="M240" s="292"/>
      <c r="N240" s="297" t="s">
        <v>419</v>
      </c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</row>
    <row r="241">
      <c r="A241" s="285" t="s">
        <v>1383</v>
      </c>
      <c r="B241" s="286" t="s">
        <v>1481</v>
      </c>
      <c r="C241" s="287">
        <v>939.0</v>
      </c>
      <c r="D241" s="288" t="s">
        <v>1482</v>
      </c>
      <c r="E241" s="289" t="s">
        <v>96</v>
      </c>
      <c r="F241" s="290" t="s">
        <v>396</v>
      </c>
      <c r="G241" s="289">
        <v>3.575402831E9</v>
      </c>
      <c r="H241" s="286" t="s">
        <v>1483</v>
      </c>
      <c r="I241" s="289" t="s">
        <v>389</v>
      </c>
      <c r="J241" s="25" t="s">
        <v>1484</v>
      </c>
      <c r="K241" s="27">
        <v>3.575402831E9</v>
      </c>
      <c r="L241" s="292"/>
      <c r="M241" s="294"/>
      <c r="N241" s="290" t="s">
        <v>407</v>
      </c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</row>
    <row r="242">
      <c r="A242" s="285" t="s">
        <v>1383</v>
      </c>
      <c r="B242" s="286" t="s">
        <v>1485</v>
      </c>
      <c r="C242" s="287">
        <v>7805.0</v>
      </c>
      <c r="D242" s="288" t="s">
        <v>1486</v>
      </c>
      <c r="E242" s="289" t="s">
        <v>96</v>
      </c>
      <c r="F242" s="296" t="s">
        <v>415</v>
      </c>
      <c r="G242" s="289">
        <v>3.57445549E9</v>
      </c>
      <c r="H242" s="286" t="s">
        <v>1487</v>
      </c>
      <c r="I242" s="289" t="s">
        <v>389</v>
      </c>
      <c r="J242" s="25" t="s">
        <v>1488</v>
      </c>
      <c r="K242" s="27" t="s">
        <v>1489</v>
      </c>
      <c r="L242" s="292"/>
      <c r="M242" s="292"/>
      <c r="N242" s="297" t="s">
        <v>419</v>
      </c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</row>
    <row r="243">
      <c r="A243" s="285" t="s">
        <v>1490</v>
      </c>
      <c r="B243" s="286" t="s">
        <v>1491</v>
      </c>
      <c r="C243" s="287">
        <v>285.0</v>
      </c>
      <c r="D243" s="288" t="s">
        <v>1492</v>
      </c>
      <c r="E243" s="289" t="s">
        <v>73</v>
      </c>
      <c r="F243" s="296" t="s">
        <v>415</v>
      </c>
      <c r="G243" s="289">
        <v>3.524494181E9</v>
      </c>
      <c r="H243" s="291" t="s">
        <v>1493</v>
      </c>
      <c r="I243" s="292"/>
      <c r="J243" s="25" t="s">
        <v>1494</v>
      </c>
      <c r="K243" s="27">
        <v>3.516983181E9</v>
      </c>
      <c r="L243" s="292"/>
      <c r="M243" s="27" t="s">
        <v>401</v>
      </c>
      <c r="N243" s="290" t="s">
        <v>407</v>
      </c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</row>
    <row r="244">
      <c r="A244" s="285" t="s">
        <v>1490</v>
      </c>
      <c r="B244" s="286" t="s">
        <v>1495</v>
      </c>
      <c r="C244" s="287">
        <v>186.0</v>
      </c>
      <c r="D244" s="288" t="s">
        <v>1496</v>
      </c>
      <c r="E244" s="289" t="s">
        <v>73</v>
      </c>
      <c r="F244" s="293" t="s">
        <v>433</v>
      </c>
      <c r="G244" s="289">
        <v>3.522403729E9</v>
      </c>
      <c r="H244" s="291" t="s">
        <v>1497</v>
      </c>
      <c r="I244" s="292"/>
      <c r="J244" s="25" t="s">
        <v>1498</v>
      </c>
      <c r="K244" s="27">
        <v>3.52240925E9</v>
      </c>
      <c r="L244" s="292"/>
      <c r="M244" s="27" t="s">
        <v>401</v>
      </c>
      <c r="N244" s="290" t="s">
        <v>407</v>
      </c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</row>
    <row r="245">
      <c r="A245" s="285" t="s">
        <v>1490</v>
      </c>
      <c r="B245" s="286" t="s">
        <v>1499</v>
      </c>
      <c r="C245" s="287">
        <v>166.0</v>
      </c>
      <c r="D245" s="288" t="s">
        <v>1500</v>
      </c>
      <c r="E245" s="289" t="s">
        <v>73</v>
      </c>
      <c r="F245" s="296" t="s">
        <v>595</v>
      </c>
      <c r="G245" s="289">
        <v>3.513861923E9</v>
      </c>
      <c r="H245" s="291" t="s">
        <v>1501</v>
      </c>
      <c r="I245" s="292"/>
      <c r="J245" s="25" t="s">
        <v>1502</v>
      </c>
      <c r="K245" s="27" t="s">
        <v>1503</v>
      </c>
      <c r="L245" s="292"/>
      <c r="M245" s="27" t="s">
        <v>401</v>
      </c>
      <c r="N245" s="290" t="s">
        <v>407</v>
      </c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</row>
    <row r="246">
      <c r="A246" s="285" t="s">
        <v>1490</v>
      </c>
      <c r="B246" s="286" t="s">
        <v>1504</v>
      </c>
      <c r="C246" s="287">
        <v>691.0</v>
      </c>
      <c r="D246" s="288" t="s">
        <v>1505</v>
      </c>
      <c r="E246" s="289" t="s">
        <v>73</v>
      </c>
      <c r="F246" s="290" t="s">
        <v>396</v>
      </c>
      <c r="G246" s="289">
        <v>3.516959189E9</v>
      </c>
      <c r="H246" s="291" t="s">
        <v>1506</v>
      </c>
      <c r="I246" s="292"/>
      <c r="J246" s="25" t="s">
        <v>1507</v>
      </c>
      <c r="K246" s="27">
        <v>3.522649639E9</v>
      </c>
      <c r="L246" s="292"/>
      <c r="M246" s="27" t="s">
        <v>401</v>
      </c>
      <c r="N246" s="290" t="s">
        <v>407</v>
      </c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</row>
    <row r="247">
      <c r="A247" s="285" t="s">
        <v>1490</v>
      </c>
      <c r="B247" s="286" t="s">
        <v>1508</v>
      </c>
      <c r="C247" s="287">
        <v>217.0</v>
      </c>
      <c r="D247" s="288" t="s">
        <v>1509</v>
      </c>
      <c r="E247" s="289" t="s">
        <v>73</v>
      </c>
      <c r="F247" s="290" t="s">
        <v>396</v>
      </c>
      <c r="G247" s="289">
        <v>3.522455259E9</v>
      </c>
      <c r="H247" s="291" t="s">
        <v>1510</v>
      </c>
      <c r="I247" s="292"/>
      <c r="J247" s="25" t="s">
        <v>1511</v>
      </c>
      <c r="K247" s="27">
        <v>3.522453702E9</v>
      </c>
      <c r="L247" s="292"/>
      <c r="M247" s="292"/>
      <c r="N247" s="297" t="s">
        <v>419</v>
      </c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</row>
    <row r="248">
      <c r="A248" s="285" t="s">
        <v>1490</v>
      </c>
      <c r="B248" s="286" t="s">
        <v>1512</v>
      </c>
      <c r="C248" s="287">
        <v>279.0</v>
      </c>
      <c r="D248" s="288" t="s">
        <v>1513</v>
      </c>
      <c r="E248" s="289" t="s">
        <v>73</v>
      </c>
      <c r="F248" s="290" t="s">
        <v>396</v>
      </c>
      <c r="G248" s="289">
        <v>3.522454448E9</v>
      </c>
      <c r="H248" s="291" t="s">
        <v>1514</v>
      </c>
      <c r="I248" s="292"/>
      <c r="J248" s="25" t="s">
        <v>1515</v>
      </c>
      <c r="K248" s="27">
        <v>3.522453506E9</v>
      </c>
      <c r="L248" s="292"/>
      <c r="M248" s="27" t="s">
        <v>401</v>
      </c>
      <c r="N248" s="290" t="s">
        <v>407</v>
      </c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</row>
    <row r="249">
      <c r="A249" s="285" t="s">
        <v>1490</v>
      </c>
      <c r="B249" s="286" t="s">
        <v>1516</v>
      </c>
      <c r="C249" s="287">
        <v>172.0</v>
      </c>
      <c r="D249" s="288" t="s">
        <v>1517</v>
      </c>
      <c r="E249" s="289" t="s">
        <v>73</v>
      </c>
      <c r="F249" s="290" t="s">
        <v>396</v>
      </c>
      <c r="G249" s="289">
        <v>3.522453099E9</v>
      </c>
      <c r="H249" s="291" t="s">
        <v>1518</v>
      </c>
      <c r="I249" s="292"/>
      <c r="J249" s="25" t="s">
        <v>1519</v>
      </c>
      <c r="K249" s="27">
        <v>3.522455079E9</v>
      </c>
      <c r="L249" s="292"/>
      <c r="M249" s="292"/>
      <c r="N249" s="297" t="s">
        <v>419</v>
      </c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</row>
    <row r="250">
      <c r="A250" s="285" t="s">
        <v>1490</v>
      </c>
      <c r="B250" s="286" t="s">
        <v>1520</v>
      </c>
      <c r="C250" s="287">
        <v>691.0</v>
      </c>
      <c r="D250" s="288" t="s">
        <v>1521</v>
      </c>
      <c r="E250" s="289" t="s">
        <v>73</v>
      </c>
      <c r="F250" s="290" t="s">
        <v>396</v>
      </c>
      <c r="G250" s="289">
        <v>3.522453041E9</v>
      </c>
      <c r="H250" s="291" t="s">
        <v>1522</v>
      </c>
      <c r="I250" s="292"/>
      <c r="J250" s="25" t="s">
        <v>1523</v>
      </c>
      <c r="K250" s="27" t="s">
        <v>1524</v>
      </c>
      <c r="L250" s="292"/>
      <c r="M250" s="294"/>
      <c r="N250" s="333" t="s">
        <v>1525</v>
      </c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</row>
    <row r="251">
      <c r="A251" s="285" t="s">
        <v>1490</v>
      </c>
      <c r="B251" s="286" t="s">
        <v>1526</v>
      </c>
      <c r="C251" s="287">
        <v>296.0</v>
      </c>
      <c r="D251" s="288" t="s">
        <v>1527</v>
      </c>
      <c r="E251" s="289" t="s">
        <v>73</v>
      </c>
      <c r="F251" s="296" t="s">
        <v>415</v>
      </c>
      <c r="G251" s="289">
        <v>3.522649344E9</v>
      </c>
      <c r="H251" s="291" t="s">
        <v>1528</v>
      </c>
      <c r="I251" s="292"/>
      <c r="J251" s="25" t="s">
        <v>1529</v>
      </c>
      <c r="K251" s="27" t="s">
        <v>1530</v>
      </c>
      <c r="L251" s="292"/>
      <c r="M251" s="292"/>
      <c r="N251" s="297" t="s">
        <v>419</v>
      </c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</row>
    <row r="252">
      <c r="A252" s="285" t="s">
        <v>1490</v>
      </c>
      <c r="B252" s="286" t="s">
        <v>1531</v>
      </c>
      <c r="C252" s="287">
        <v>2.481</v>
      </c>
      <c r="D252" s="288" t="s">
        <v>1532</v>
      </c>
      <c r="E252" s="289" t="s">
        <v>96</v>
      </c>
      <c r="F252" s="296" t="s">
        <v>415</v>
      </c>
      <c r="G252" s="289">
        <v>3.571605727E9</v>
      </c>
      <c r="H252" s="309" t="s">
        <v>1533</v>
      </c>
      <c r="I252" s="292"/>
      <c r="J252" s="25" t="s">
        <v>1534</v>
      </c>
      <c r="K252" s="27">
        <v>3.571605727E9</v>
      </c>
      <c r="L252" s="292"/>
      <c r="M252" s="292"/>
      <c r="N252" s="297" t="s">
        <v>419</v>
      </c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</row>
    <row r="253">
      <c r="A253" s="285" t="s">
        <v>1490</v>
      </c>
      <c r="B253" s="286" t="s">
        <v>1535</v>
      </c>
      <c r="C253" s="287">
        <v>276.0</v>
      </c>
      <c r="D253" s="288" t="s">
        <v>1536</v>
      </c>
      <c r="E253" s="289" t="s">
        <v>73</v>
      </c>
      <c r="F253" s="296" t="s">
        <v>415</v>
      </c>
      <c r="G253" s="289">
        <v>3.517641007E9</v>
      </c>
      <c r="H253" s="286" t="s">
        <v>1537</v>
      </c>
      <c r="I253" s="289" t="s">
        <v>389</v>
      </c>
      <c r="J253" s="25" t="s">
        <v>1538</v>
      </c>
      <c r="K253" s="27" t="s">
        <v>1539</v>
      </c>
      <c r="L253" s="292"/>
      <c r="M253" s="292"/>
      <c r="N253" s="297" t="s">
        <v>419</v>
      </c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</row>
    <row r="254">
      <c r="A254" s="285" t="s">
        <v>1490</v>
      </c>
      <c r="B254" s="286" t="s">
        <v>1540</v>
      </c>
      <c r="C254" s="287">
        <v>4.911</v>
      </c>
      <c r="D254" s="288" t="s">
        <v>1541</v>
      </c>
      <c r="E254" s="289" t="s">
        <v>96</v>
      </c>
      <c r="F254" s="290" t="s">
        <v>396</v>
      </c>
      <c r="G254" s="289">
        <v>3.522407E9</v>
      </c>
      <c r="H254" s="291" t="s">
        <v>1542</v>
      </c>
      <c r="I254" s="292"/>
      <c r="J254" s="25" t="s">
        <v>1543</v>
      </c>
      <c r="K254" s="27" t="s">
        <v>1544</v>
      </c>
      <c r="L254" s="292"/>
      <c r="M254" s="292"/>
      <c r="N254" s="329" t="s">
        <v>1545</v>
      </c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</row>
    <row r="255">
      <c r="A255" s="285" t="s">
        <v>1546</v>
      </c>
      <c r="B255" s="286" t="s">
        <v>1547</v>
      </c>
      <c r="C255" s="287">
        <v>2.447</v>
      </c>
      <c r="D255" s="288" t="s">
        <v>1548</v>
      </c>
      <c r="E255" s="289" t="s">
        <v>96</v>
      </c>
      <c r="F255" s="296" t="s">
        <v>415</v>
      </c>
      <c r="G255" s="289">
        <v>3.573430001E9</v>
      </c>
      <c r="H255" s="291" t="s">
        <v>1549</v>
      </c>
      <c r="I255" s="292"/>
      <c r="J255" s="25" t="s">
        <v>1550</v>
      </c>
      <c r="K255" s="27">
        <v>3.573498726E9</v>
      </c>
      <c r="L255" s="292"/>
      <c r="M255" s="292"/>
      <c r="N255" s="297" t="s">
        <v>419</v>
      </c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</row>
    <row r="256">
      <c r="A256" s="285" t="s">
        <v>1546</v>
      </c>
      <c r="B256" s="286" t="s">
        <v>1551</v>
      </c>
      <c r="C256" s="287">
        <v>765.0</v>
      </c>
      <c r="D256" s="288" t="s">
        <v>1552</v>
      </c>
      <c r="E256" s="289" t="s">
        <v>96</v>
      </c>
      <c r="F256" s="296" t="s">
        <v>415</v>
      </c>
      <c r="G256" s="289">
        <v>3.532499629E9</v>
      </c>
      <c r="H256" s="291" t="s">
        <v>1553</v>
      </c>
      <c r="I256" s="292"/>
      <c r="J256" s="25" t="s">
        <v>1554</v>
      </c>
      <c r="K256" s="27">
        <v>3.532588332E9</v>
      </c>
      <c r="L256" s="292"/>
      <c r="M256" s="292"/>
      <c r="N256" s="297" t="s">
        <v>419</v>
      </c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</row>
    <row r="257">
      <c r="A257" s="285" t="s">
        <v>1546</v>
      </c>
      <c r="B257" s="286" t="s">
        <v>1555</v>
      </c>
      <c r="C257" s="287">
        <v>342.0</v>
      </c>
      <c r="D257" s="288" t="s">
        <v>301</v>
      </c>
      <c r="E257" s="289" t="s">
        <v>96</v>
      </c>
      <c r="F257" s="296" t="s">
        <v>415</v>
      </c>
      <c r="G257" s="289">
        <v>3.573402343E9</v>
      </c>
      <c r="H257" s="286" t="s">
        <v>303</v>
      </c>
      <c r="I257" s="289" t="s">
        <v>389</v>
      </c>
      <c r="J257" s="25" t="s">
        <v>1556</v>
      </c>
      <c r="K257" s="289">
        <v>3.573402343E9</v>
      </c>
      <c r="L257" s="292"/>
      <c r="M257" s="292"/>
      <c r="N257" s="297" t="s">
        <v>419</v>
      </c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</row>
    <row r="258">
      <c r="A258" s="285" t="s">
        <v>1546</v>
      </c>
      <c r="B258" s="286" t="s">
        <v>1557</v>
      </c>
      <c r="C258" s="287">
        <v>1.772</v>
      </c>
      <c r="D258" s="288" t="s">
        <v>1558</v>
      </c>
      <c r="E258" s="289" t="s">
        <v>96</v>
      </c>
      <c r="F258" s="296" t="s">
        <v>415</v>
      </c>
      <c r="G258" s="289">
        <v>3.573513737E9</v>
      </c>
      <c r="H258" s="291" t="s">
        <v>1559</v>
      </c>
      <c r="I258" s="292"/>
      <c r="J258" s="25" t="s">
        <v>1560</v>
      </c>
      <c r="K258" s="27">
        <v>3.534292225E9</v>
      </c>
      <c r="L258" s="292"/>
      <c r="M258" s="292"/>
      <c r="N258" s="297" t="s">
        <v>419</v>
      </c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</row>
    <row r="259">
      <c r="A259" s="285" t="s">
        <v>1546</v>
      </c>
      <c r="B259" s="286" t="s">
        <v>1561</v>
      </c>
      <c r="C259" s="287">
        <v>1.634</v>
      </c>
      <c r="D259" s="288" t="s">
        <v>1562</v>
      </c>
      <c r="E259" s="289" t="s">
        <v>96</v>
      </c>
      <c r="F259" s="296" t="s">
        <v>595</v>
      </c>
      <c r="G259" s="289">
        <v>3.532678599E9</v>
      </c>
      <c r="H259" s="291" t="s">
        <v>1563</v>
      </c>
      <c r="I259" s="292"/>
      <c r="J259" s="25" t="s">
        <v>1564</v>
      </c>
      <c r="K259" s="27">
        <v>3.532678599E9</v>
      </c>
      <c r="L259" s="292"/>
      <c r="M259" s="294"/>
      <c r="N259" s="290" t="s">
        <v>407</v>
      </c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</row>
    <row r="260">
      <c r="A260" s="285" t="s">
        <v>1546</v>
      </c>
      <c r="B260" s="286" t="s">
        <v>1565</v>
      </c>
      <c r="C260" s="287">
        <v>78.0</v>
      </c>
      <c r="D260" s="288" t="s">
        <v>1566</v>
      </c>
      <c r="E260" s="289" t="s">
        <v>73</v>
      </c>
      <c r="F260" s="290" t="s">
        <v>396</v>
      </c>
      <c r="G260" s="289">
        <v>3.532496513E9</v>
      </c>
      <c r="H260" s="291" t="s">
        <v>1567</v>
      </c>
      <c r="I260" s="292"/>
      <c r="J260" s="25" t="s">
        <v>1568</v>
      </c>
      <c r="K260" s="325">
        <v>3.572536505E9</v>
      </c>
      <c r="L260" s="292"/>
      <c r="M260" s="294"/>
      <c r="N260" s="290" t="s">
        <v>407</v>
      </c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</row>
    <row r="261">
      <c r="A261" s="285" t="s">
        <v>1546</v>
      </c>
      <c r="B261" s="286" t="s">
        <v>1569</v>
      </c>
      <c r="C261" s="287">
        <v>1.485</v>
      </c>
      <c r="D261" s="288" t="s">
        <v>1570</v>
      </c>
      <c r="E261" s="289" t="s">
        <v>96</v>
      </c>
      <c r="F261" s="296" t="s">
        <v>595</v>
      </c>
      <c r="G261" s="289">
        <v>3.57252478E9</v>
      </c>
      <c r="H261" s="291" t="s">
        <v>1571</v>
      </c>
      <c r="I261" s="292"/>
      <c r="J261" s="25" t="s">
        <v>1572</v>
      </c>
      <c r="K261" s="27">
        <v>3.572584976E9</v>
      </c>
      <c r="L261" s="292"/>
      <c r="M261" s="294"/>
      <c r="N261" s="290" t="s">
        <v>407</v>
      </c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</row>
    <row r="262">
      <c r="A262" s="285" t="s">
        <v>1546</v>
      </c>
      <c r="B262" s="286" t="s">
        <v>1573</v>
      </c>
      <c r="C262" s="287">
        <v>163.0</v>
      </c>
      <c r="D262" s="288" t="s">
        <v>1574</v>
      </c>
      <c r="E262" s="289" t="s">
        <v>73</v>
      </c>
      <c r="F262" s="290" t="s">
        <v>396</v>
      </c>
      <c r="G262" s="289">
        <v>3.572449353E9</v>
      </c>
      <c r="H262" s="291" t="s">
        <v>1575</v>
      </c>
      <c r="I262" s="292"/>
      <c r="J262" s="25" t="s">
        <v>1576</v>
      </c>
      <c r="K262" s="27">
        <v>3.572586535E9</v>
      </c>
      <c r="L262" s="292"/>
      <c r="M262" s="27" t="s">
        <v>401</v>
      </c>
      <c r="N262" s="290" t="s">
        <v>407</v>
      </c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</row>
    <row r="263">
      <c r="A263" s="285" t="s">
        <v>1546</v>
      </c>
      <c r="B263" s="286" t="s">
        <v>1577</v>
      </c>
      <c r="C263" s="287">
        <v>7.487</v>
      </c>
      <c r="D263" s="288" t="s">
        <v>1578</v>
      </c>
      <c r="E263" s="289" t="s">
        <v>96</v>
      </c>
      <c r="F263" s="290" t="s">
        <v>396</v>
      </c>
      <c r="G263" s="289">
        <v>3.572507577E9</v>
      </c>
      <c r="H263" s="286" t="s">
        <v>1579</v>
      </c>
      <c r="I263" s="27" t="s">
        <v>389</v>
      </c>
      <c r="J263" s="25" t="s">
        <v>1580</v>
      </c>
      <c r="K263" s="27">
        <v>3.572507577E9</v>
      </c>
      <c r="L263" s="292"/>
      <c r="M263" s="294"/>
      <c r="N263" s="290" t="s">
        <v>407</v>
      </c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</row>
    <row r="264">
      <c r="A264" s="285" t="s">
        <v>1546</v>
      </c>
      <c r="B264" s="286" t="s">
        <v>1581</v>
      </c>
      <c r="C264" s="287">
        <v>1.748</v>
      </c>
      <c r="D264" s="288" t="s">
        <v>1582</v>
      </c>
      <c r="E264" s="289" t="s">
        <v>96</v>
      </c>
      <c r="F264" s="296" t="s">
        <v>415</v>
      </c>
      <c r="G264" s="289">
        <v>3.532678181E9</v>
      </c>
      <c r="H264" s="291" t="s">
        <v>1583</v>
      </c>
      <c r="I264" s="292"/>
      <c r="J264" s="25" t="s">
        <v>1584</v>
      </c>
      <c r="K264" s="27" t="s">
        <v>1585</v>
      </c>
      <c r="L264" s="292"/>
      <c r="M264" s="292"/>
      <c r="N264" s="297" t="s">
        <v>419</v>
      </c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</row>
    <row r="265">
      <c r="A265" s="285" t="s">
        <v>1546</v>
      </c>
      <c r="B265" s="286" t="s">
        <v>1586</v>
      </c>
      <c r="C265" s="287">
        <v>219.0</v>
      </c>
      <c r="D265" s="288" t="s">
        <v>1587</v>
      </c>
      <c r="E265" s="289" t="s">
        <v>73</v>
      </c>
      <c r="F265" s="296" t="s">
        <v>415</v>
      </c>
      <c r="G265" s="289">
        <v>3.513009684E9</v>
      </c>
      <c r="H265" s="291" t="s">
        <v>1588</v>
      </c>
      <c r="I265" s="294"/>
      <c r="J265" s="326" t="s">
        <v>1589</v>
      </c>
      <c r="K265" s="334">
        <v>3.576465331E9</v>
      </c>
      <c r="L265" s="292"/>
      <c r="M265" s="292"/>
      <c r="N265" s="297" t="s">
        <v>419</v>
      </c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</row>
    <row r="266">
      <c r="A266" s="285" t="s">
        <v>1546</v>
      </c>
      <c r="B266" s="286" t="s">
        <v>1590</v>
      </c>
      <c r="C266" s="287">
        <v>6.281</v>
      </c>
      <c r="D266" s="288" t="s">
        <v>1591</v>
      </c>
      <c r="E266" s="289" t="s">
        <v>96</v>
      </c>
      <c r="F266" s="296" t="s">
        <v>415</v>
      </c>
      <c r="G266" s="289">
        <v>3.573690591E9</v>
      </c>
      <c r="H266" s="291" t="s">
        <v>1592</v>
      </c>
      <c r="I266" s="292"/>
      <c r="J266" s="25" t="s">
        <v>1593</v>
      </c>
      <c r="K266" s="27" t="s">
        <v>1594</v>
      </c>
      <c r="L266" s="292"/>
      <c r="M266" s="292"/>
      <c r="N266" s="297" t="s">
        <v>419</v>
      </c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</row>
    <row r="267">
      <c r="A267" s="285" t="s">
        <v>1546</v>
      </c>
      <c r="B267" s="286" t="s">
        <v>1595</v>
      </c>
      <c r="C267" s="287">
        <v>964.0</v>
      </c>
      <c r="D267" s="288" t="s">
        <v>1596</v>
      </c>
      <c r="E267" s="289" t="s">
        <v>96</v>
      </c>
      <c r="F267" s="290" t="s">
        <v>396</v>
      </c>
      <c r="G267" s="289">
        <v>3.572439766E9</v>
      </c>
      <c r="H267" s="291" t="s">
        <v>1597</v>
      </c>
      <c r="I267" s="292"/>
      <c r="J267" s="25" t="s">
        <v>1598</v>
      </c>
      <c r="K267" s="27" t="s">
        <v>1599</v>
      </c>
      <c r="L267" s="292"/>
      <c r="M267" s="292"/>
      <c r="N267" s="297" t="s">
        <v>419</v>
      </c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</row>
    <row r="268">
      <c r="A268" s="285" t="s">
        <v>1546</v>
      </c>
      <c r="B268" s="286" t="s">
        <v>1600</v>
      </c>
      <c r="C268" s="287">
        <v>981.0</v>
      </c>
      <c r="D268" s="288" t="s">
        <v>1601</v>
      </c>
      <c r="E268" s="289" t="s">
        <v>96</v>
      </c>
      <c r="F268" s="290" t="s">
        <v>396</v>
      </c>
      <c r="G268" s="289">
        <v>3.573513735E9</v>
      </c>
      <c r="H268" s="286" t="s">
        <v>1602</v>
      </c>
      <c r="I268" s="289" t="s">
        <v>389</v>
      </c>
      <c r="J268" s="25" t="s">
        <v>1603</v>
      </c>
      <c r="K268" s="27">
        <v>3.573513735E9</v>
      </c>
      <c r="L268" s="292"/>
      <c r="M268" s="294"/>
      <c r="N268" s="290" t="s">
        <v>407</v>
      </c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</row>
    <row r="269">
      <c r="A269" s="285" t="s">
        <v>1546</v>
      </c>
      <c r="B269" s="286" t="s">
        <v>1604</v>
      </c>
      <c r="C269" s="287">
        <v>13.295</v>
      </c>
      <c r="D269" s="288" t="s">
        <v>1605</v>
      </c>
      <c r="E269" s="289" t="s">
        <v>96</v>
      </c>
      <c r="F269" s="290" t="s">
        <v>396</v>
      </c>
      <c r="G269" s="289">
        <v>3.572509825E9</v>
      </c>
      <c r="H269" s="291" t="s">
        <v>1606</v>
      </c>
      <c r="I269" s="292"/>
      <c r="J269" s="25" t="s">
        <v>1607</v>
      </c>
      <c r="K269" s="27">
        <v>3.572580738E9</v>
      </c>
      <c r="L269" s="292"/>
      <c r="M269" s="292"/>
      <c r="N269" s="297" t="s">
        <v>419</v>
      </c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</row>
    <row r="270">
      <c r="A270" s="285" t="s">
        <v>1546</v>
      </c>
      <c r="B270" s="286" t="s">
        <v>1608</v>
      </c>
      <c r="C270" s="287">
        <v>14.809</v>
      </c>
      <c r="D270" s="288" t="s">
        <v>1609</v>
      </c>
      <c r="E270" s="289" t="s">
        <v>96</v>
      </c>
      <c r="F270" s="296" t="s">
        <v>415</v>
      </c>
      <c r="G270" s="289">
        <v>3.572547798E9</v>
      </c>
      <c r="H270" s="286" t="s">
        <v>1610</v>
      </c>
      <c r="I270" s="289" t="s">
        <v>389</v>
      </c>
      <c r="J270" s="25" t="s">
        <v>1611</v>
      </c>
      <c r="K270" s="27">
        <v>3.572547798E9</v>
      </c>
      <c r="L270" s="292"/>
      <c r="M270" s="292"/>
      <c r="N270" s="297" t="s">
        <v>419</v>
      </c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</row>
    <row r="271">
      <c r="A271" s="285" t="s">
        <v>1546</v>
      </c>
      <c r="B271" s="286" t="s">
        <v>1612</v>
      </c>
      <c r="C271" s="287">
        <v>5.718</v>
      </c>
      <c r="D271" s="288" t="s">
        <v>1613</v>
      </c>
      <c r="E271" s="289" t="s">
        <v>96</v>
      </c>
      <c r="F271" s="290" t="s">
        <v>396</v>
      </c>
      <c r="G271" s="289">
        <v>3.534141294E9</v>
      </c>
      <c r="H271" s="291" t="s">
        <v>1614</v>
      </c>
      <c r="I271" s="292"/>
      <c r="J271" s="25" t="s">
        <v>1615</v>
      </c>
      <c r="K271" s="27">
        <v>3.534227342E9</v>
      </c>
      <c r="L271" s="292"/>
      <c r="M271" s="294"/>
      <c r="N271" s="290" t="s">
        <v>407</v>
      </c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</row>
    <row r="272">
      <c r="A272" s="285" t="s">
        <v>1546</v>
      </c>
      <c r="B272" s="286" t="s">
        <v>1616</v>
      </c>
      <c r="C272" s="287">
        <v>540.0</v>
      </c>
      <c r="D272" s="288" t="s">
        <v>1617</v>
      </c>
      <c r="E272" s="289" t="s">
        <v>73</v>
      </c>
      <c r="F272" s="290" t="s">
        <v>396</v>
      </c>
      <c r="G272" s="289">
        <v>3.573404225E9</v>
      </c>
      <c r="H272" s="291" t="s">
        <v>1618</v>
      </c>
      <c r="I272" s="292"/>
      <c r="J272" s="25" t="s">
        <v>1619</v>
      </c>
      <c r="K272" s="27" t="s">
        <v>1620</v>
      </c>
      <c r="L272" s="292"/>
      <c r="M272" s="292"/>
      <c r="N272" s="297" t="s">
        <v>419</v>
      </c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</row>
    <row r="273">
      <c r="A273" s="285" t="s">
        <v>1546</v>
      </c>
      <c r="B273" s="286" t="s">
        <v>1621</v>
      </c>
      <c r="C273" s="287">
        <v>20.427</v>
      </c>
      <c r="D273" s="288" t="s">
        <v>1622</v>
      </c>
      <c r="E273" s="289" t="s">
        <v>96</v>
      </c>
      <c r="F273" s="290" t="s">
        <v>396</v>
      </c>
      <c r="G273" s="289">
        <v>3.572438157E9</v>
      </c>
      <c r="H273" s="286" t="s">
        <v>1623</v>
      </c>
      <c r="I273" s="289" t="s">
        <v>389</v>
      </c>
      <c r="J273" s="25" t="s">
        <v>1624</v>
      </c>
      <c r="K273" s="27">
        <v>3.57258862E9</v>
      </c>
      <c r="L273" s="292"/>
      <c r="M273" s="294"/>
      <c r="N273" s="290" t="s">
        <v>407</v>
      </c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</row>
    <row r="274">
      <c r="A274" s="285" t="s">
        <v>1546</v>
      </c>
      <c r="B274" s="286" t="s">
        <v>1625</v>
      </c>
      <c r="C274" s="287">
        <v>2.787</v>
      </c>
      <c r="D274" s="288" t="s">
        <v>1626</v>
      </c>
      <c r="E274" s="289" t="s">
        <v>96</v>
      </c>
      <c r="F274" s="290" t="s">
        <v>396</v>
      </c>
      <c r="G274" s="289">
        <v>3.513879863E9</v>
      </c>
      <c r="H274" s="286" t="s">
        <v>1627</v>
      </c>
      <c r="I274" s="289" t="s">
        <v>389</v>
      </c>
      <c r="J274" s="25" t="s">
        <v>1628</v>
      </c>
      <c r="K274" s="27">
        <v>3.513879863E9</v>
      </c>
      <c r="L274" s="292"/>
      <c r="M274" s="294"/>
      <c r="N274" s="290" t="s">
        <v>407</v>
      </c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</row>
    <row r="275">
      <c r="A275" s="285" t="s">
        <v>1546</v>
      </c>
      <c r="B275" s="286" t="s">
        <v>1629</v>
      </c>
      <c r="C275" s="287">
        <v>15.394</v>
      </c>
      <c r="D275" s="288" t="s">
        <v>1630</v>
      </c>
      <c r="E275" s="289" t="s">
        <v>96</v>
      </c>
      <c r="F275" s="296" t="s">
        <v>415</v>
      </c>
      <c r="G275" s="289">
        <v>3.573412308E9</v>
      </c>
      <c r="H275" s="291" t="s">
        <v>1631</v>
      </c>
      <c r="I275" s="292"/>
      <c r="J275" s="25" t="s">
        <v>1632</v>
      </c>
      <c r="K275" s="27">
        <v>3.573405675E9</v>
      </c>
      <c r="L275" s="292"/>
      <c r="M275" s="292"/>
      <c r="N275" s="297" t="s">
        <v>419</v>
      </c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</row>
    <row r="276">
      <c r="A276" s="285" t="s">
        <v>1633</v>
      </c>
      <c r="B276" s="286" t="s">
        <v>1634</v>
      </c>
      <c r="C276" s="287">
        <v>732.0</v>
      </c>
      <c r="D276" s="288" t="s">
        <v>1635</v>
      </c>
      <c r="E276" s="289" t="s">
        <v>73</v>
      </c>
      <c r="F276" s="290" t="s">
        <v>396</v>
      </c>
      <c r="G276" s="289">
        <v>3.544593715E9</v>
      </c>
      <c r="H276" s="291" t="s">
        <v>1636</v>
      </c>
      <c r="I276" s="292"/>
      <c r="J276" s="25" t="s">
        <v>1637</v>
      </c>
      <c r="K276" s="327">
        <v>3.542620168E9</v>
      </c>
      <c r="L276" s="292"/>
      <c r="M276" s="292"/>
      <c r="N276" s="323" t="s">
        <v>1638</v>
      </c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</row>
    <row r="277">
      <c r="A277" s="285" t="s">
        <v>1633</v>
      </c>
      <c r="B277" s="286" t="s">
        <v>1639</v>
      </c>
      <c r="C277" s="287">
        <v>634.0</v>
      </c>
      <c r="D277" s="288" t="s">
        <v>1640</v>
      </c>
      <c r="E277" s="289" t="s">
        <v>73</v>
      </c>
      <c r="F277" s="290" t="s">
        <v>396</v>
      </c>
      <c r="G277" s="289">
        <v>3.544612003E9</v>
      </c>
      <c r="H277" s="291" t="s">
        <v>1641</v>
      </c>
      <c r="I277" s="292"/>
      <c r="J277" s="25" t="s">
        <v>1642</v>
      </c>
      <c r="K277" s="292"/>
      <c r="L277" s="292"/>
      <c r="M277" s="27" t="s">
        <v>401</v>
      </c>
      <c r="N277" s="335" t="s">
        <v>1643</v>
      </c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</row>
    <row r="278">
      <c r="A278" s="285" t="s">
        <v>1633</v>
      </c>
      <c r="B278" s="286" t="s">
        <v>1644</v>
      </c>
      <c r="C278" s="287">
        <v>700.0</v>
      </c>
      <c r="D278" s="288" t="s">
        <v>1645</v>
      </c>
      <c r="E278" s="289" t="s">
        <v>73</v>
      </c>
      <c r="F278" s="290" t="s">
        <v>396</v>
      </c>
      <c r="G278" s="289">
        <v>3.544571465E9</v>
      </c>
      <c r="H278" s="309" t="s">
        <v>1646</v>
      </c>
      <c r="I278" s="292"/>
      <c r="J278" s="25" t="s">
        <v>1647</v>
      </c>
      <c r="K278" s="27">
        <v>3.544570706E9</v>
      </c>
      <c r="L278" s="292"/>
      <c r="M278" s="27" t="s">
        <v>401</v>
      </c>
      <c r="N278" s="290" t="s">
        <v>407</v>
      </c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</row>
    <row r="279">
      <c r="A279" s="285" t="s">
        <v>1633</v>
      </c>
      <c r="B279" s="286" t="s">
        <v>1648</v>
      </c>
      <c r="C279" s="287">
        <v>703.0</v>
      </c>
      <c r="D279" s="288" t="s">
        <v>1649</v>
      </c>
      <c r="E279" s="289" t="s">
        <v>73</v>
      </c>
      <c r="F279" s="290" t="s">
        <v>396</v>
      </c>
      <c r="G279" s="289">
        <v>3.544431809E9</v>
      </c>
      <c r="H279" s="291" t="s">
        <v>1650</v>
      </c>
      <c r="I279" s="292"/>
      <c r="J279" s="25" t="s">
        <v>1651</v>
      </c>
      <c r="K279" s="27" t="s">
        <v>1652</v>
      </c>
      <c r="L279" s="292"/>
      <c r="M279" s="292"/>
      <c r="N279" s="297" t="s">
        <v>419</v>
      </c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</row>
    <row r="280">
      <c r="A280" s="285" t="s">
        <v>1633</v>
      </c>
      <c r="B280" s="286" t="s">
        <v>1653</v>
      </c>
      <c r="C280" s="287">
        <v>9.434</v>
      </c>
      <c r="D280" s="288" t="s">
        <v>1654</v>
      </c>
      <c r="E280" s="289" t="s">
        <v>96</v>
      </c>
      <c r="F280" s="290" t="s">
        <v>396</v>
      </c>
      <c r="G280" s="289">
        <v>3.544415394E9</v>
      </c>
      <c r="H280" s="291" t="s">
        <v>1655</v>
      </c>
      <c r="I280" s="292"/>
      <c r="J280" s="25" t="s">
        <v>1656</v>
      </c>
      <c r="K280" s="27">
        <v>3.54441213E9</v>
      </c>
      <c r="L280" s="292"/>
      <c r="M280" s="292"/>
      <c r="N280" s="297" t="s">
        <v>419</v>
      </c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</row>
    <row r="281">
      <c r="A281" s="285" t="s">
        <v>1633</v>
      </c>
      <c r="B281" s="286" t="s">
        <v>1657</v>
      </c>
      <c r="C281" s="287">
        <v>2.408</v>
      </c>
      <c r="D281" s="288" t="s">
        <v>1658</v>
      </c>
      <c r="E281" s="289" t="s">
        <v>96</v>
      </c>
      <c r="F281" s="290" t="s">
        <v>396</v>
      </c>
      <c r="G281" s="289">
        <v>3.544568556E9</v>
      </c>
      <c r="H281" s="291" t="s">
        <v>1659</v>
      </c>
      <c r="I281" s="292"/>
      <c r="J281" s="25" t="s">
        <v>1660</v>
      </c>
      <c r="K281" s="286">
        <v>3.54453671E9</v>
      </c>
      <c r="L281" s="315" t="s">
        <v>1661</v>
      </c>
      <c r="M281" s="294"/>
      <c r="N281" s="290" t="s">
        <v>407</v>
      </c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</row>
    <row r="282">
      <c r="A282" s="285" t="s">
        <v>1633</v>
      </c>
      <c r="B282" s="286" t="s">
        <v>1662</v>
      </c>
      <c r="C282" s="287">
        <v>273.0</v>
      </c>
      <c r="D282" s="288" t="s">
        <v>1663</v>
      </c>
      <c r="E282" s="289" t="s">
        <v>73</v>
      </c>
      <c r="F282" s="290" t="s">
        <v>396</v>
      </c>
      <c r="G282" s="289">
        <v>3.544465035E9</v>
      </c>
      <c r="H282" s="291" t="s">
        <v>1664</v>
      </c>
      <c r="I282" s="292"/>
      <c r="J282" s="25" t="s">
        <v>1665</v>
      </c>
      <c r="K282" s="27" t="s">
        <v>1666</v>
      </c>
      <c r="L282" s="292"/>
      <c r="M282" s="292"/>
      <c r="N282" s="297" t="s">
        <v>419</v>
      </c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</row>
    <row r="283">
      <c r="A283" s="285" t="s">
        <v>1633</v>
      </c>
      <c r="B283" s="286" t="s">
        <v>1667</v>
      </c>
      <c r="C283" s="287">
        <v>1.045</v>
      </c>
      <c r="D283" s="288" t="s">
        <v>1668</v>
      </c>
      <c r="E283" s="289" t="s">
        <v>73</v>
      </c>
      <c r="F283" s="296" t="s">
        <v>595</v>
      </c>
      <c r="G283" s="289">
        <v>3.54443938E9</v>
      </c>
      <c r="H283" s="291" t="s">
        <v>1669</v>
      </c>
      <c r="I283" s="292"/>
      <c r="J283" s="25" t="s">
        <v>1670</v>
      </c>
      <c r="K283" s="27">
        <v>3.544542236E9</v>
      </c>
      <c r="L283" s="292"/>
      <c r="M283" s="292"/>
      <c r="N283" s="297" t="s">
        <v>419</v>
      </c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</row>
    <row r="284">
      <c r="A284" s="285" t="s">
        <v>1633</v>
      </c>
      <c r="B284" s="286" t="s">
        <v>1671</v>
      </c>
      <c r="C284" s="287">
        <v>4.624</v>
      </c>
      <c r="D284" s="288" t="s">
        <v>1672</v>
      </c>
      <c r="E284" s="289" t="s">
        <v>96</v>
      </c>
      <c r="F284" s="290" t="s">
        <v>396</v>
      </c>
      <c r="G284" s="289">
        <v>3.544611114E9</v>
      </c>
      <c r="H284" s="291" t="s">
        <v>1673</v>
      </c>
      <c r="I284" s="292"/>
      <c r="J284" s="25" t="s">
        <v>1674</v>
      </c>
      <c r="K284" s="27">
        <v>3.544611212E9</v>
      </c>
      <c r="L284" s="292"/>
      <c r="M284" s="27" t="s">
        <v>401</v>
      </c>
      <c r="N284" s="290" t="s">
        <v>407</v>
      </c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</row>
    <row r="285">
      <c r="A285" s="285" t="s">
        <v>1633</v>
      </c>
      <c r="B285" s="286" t="s">
        <v>1675</v>
      </c>
      <c r="C285" s="287">
        <v>1.783</v>
      </c>
      <c r="D285" s="288" t="s">
        <v>1676</v>
      </c>
      <c r="E285" s="289" t="s">
        <v>73</v>
      </c>
      <c r="F285" s="293" t="s">
        <v>433</v>
      </c>
      <c r="G285" s="289" t="s">
        <v>1677</v>
      </c>
      <c r="H285" s="286" t="s">
        <v>1678</v>
      </c>
      <c r="I285" s="289" t="s">
        <v>389</v>
      </c>
      <c r="J285" s="25" t="s">
        <v>1679</v>
      </c>
      <c r="K285" s="311" t="s">
        <v>1677</v>
      </c>
      <c r="L285" s="292"/>
      <c r="M285" s="294"/>
      <c r="N285" s="290" t="s">
        <v>407</v>
      </c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</row>
    <row r="286">
      <c r="A286" s="285" t="s">
        <v>1633</v>
      </c>
      <c r="B286" s="286" t="s">
        <v>1680</v>
      </c>
      <c r="C286" s="287">
        <v>749.0</v>
      </c>
      <c r="D286" s="288" t="s">
        <v>1681</v>
      </c>
      <c r="E286" s="289" t="s">
        <v>73</v>
      </c>
      <c r="F286" s="290" t="s">
        <v>396</v>
      </c>
      <c r="G286" s="289">
        <v>3.544469318E9</v>
      </c>
      <c r="H286" s="291" t="s">
        <v>1682</v>
      </c>
      <c r="I286" s="292"/>
      <c r="J286" s="25" t="s">
        <v>1683</v>
      </c>
      <c r="K286" s="27">
        <v>3.544469425E9</v>
      </c>
      <c r="L286" s="292"/>
      <c r="M286" s="27" t="s">
        <v>401</v>
      </c>
      <c r="N286" s="290" t="s">
        <v>407</v>
      </c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</row>
    <row r="287">
      <c r="A287" s="285" t="s">
        <v>1633</v>
      </c>
      <c r="B287" s="286" t="s">
        <v>1684</v>
      </c>
      <c r="C287" s="287">
        <v>6.351</v>
      </c>
      <c r="D287" s="288" t="s">
        <v>1685</v>
      </c>
      <c r="E287" s="289" t="s">
        <v>96</v>
      </c>
      <c r="F287" s="290" t="s">
        <v>396</v>
      </c>
      <c r="G287" s="289">
        <v>3.54446989E9</v>
      </c>
      <c r="H287" s="286" t="s">
        <v>1686</v>
      </c>
      <c r="I287" s="27" t="s">
        <v>389</v>
      </c>
      <c r="J287" s="25" t="s">
        <v>1687</v>
      </c>
      <c r="K287" s="27">
        <v>3.54446989E9</v>
      </c>
      <c r="L287" s="292"/>
      <c r="M287" s="294"/>
      <c r="N287" s="290" t="s">
        <v>407</v>
      </c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</row>
    <row r="288">
      <c r="A288" s="285" t="s">
        <v>1633</v>
      </c>
      <c r="B288" s="286" t="s">
        <v>1688</v>
      </c>
      <c r="C288" s="287">
        <v>5.264</v>
      </c>
      <c r="D288" s="288" t="s">
        <v>1689</v>
      </c>
      <c r="E288" s="289" t="s">
        <v>96</v>
      </c>
      <c r="F288" s="290" t="s">
        <v>396</v>
      </c>
      <c r="G288" s="289">
        <v>3.544405343E9</v>
      </c>
      <c r="H288" s="309" t="s">
        <v>1690</v>
      </c>
      <c r="I288" s="292"/>
      <c r="J288" s="25" t="s">
        <v>1691</v>
      </c>
      <c r="K288" s="292"/>
      <c r="L288" s="292"/>
      <c r="M288" s="292"/>
      <c r="N288" s="304" t="s">
        <v>1692</v>
      </c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</row>
    <row r="289">
      <c r="A289" s="285" t="s">
        <v>86</v>
      </c>
      <c r="B289" s="286" t="s">
        <v>1693</v>
      </c>
      <c r="C289" s="287">
        <v>508.0</v>
      </c>
      <c r="D289" s="288" t="s">
        <v>1694</v>
      </c>
      <c r="E289" s="289" t="s">
        <v>73</v>
      </c>
      <c r="F289" s="290" t="s">
        <v>396</v>
      </c>
      <c r="G289" s="289">
        <v>3.544447145E9</v>
      </c>
      <c r="H289" s="291" t="s">
        <v>1695</v>
      </c>
      <c r="I289" s="292"/>
      <c r="J289" s="25" t="s">
        <v>1696</v>
      </c>
      <c r="K289" s="327">
        <v>3.544430659E9</v>
      </c>
      <c r="L289" s="292"/>
      <c r="M289" s="27" t="s">
        <v>401</v>
      </c>
      <c r="N289" s="336" t="s">
        <v>665</v>
      </c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</row>
    <row r="290">
      <c r="A290" s="285" t="s">
        <v>86</v>
      </c>
      <c r="B290" s="286" t="s">
        <v>1697</v>
      </c>
      <c r="C290" s="287">
        <v>3.58</v>
      </c>
      <c r="D290" s="288" t="s">
        <v>1698</v>
      </c>
      <c r="E290" s="289" t="s">
        <v>96</v>
      </c>
      <c r="F290" s="290" t="s">
        <v>396</v>
      </c>
      <c r="G290" s="289">
        <v>3.544460642E9</v>
      </c>
      <c r="H290" s="291" t="s">
        <v>1699</v>
      </c>
      <c r="I290" s="292"/>
      <c r="J290" s="25" t="s">
        <v>1700</v>
      </c>
      <c r="K290" s="27">
        <v>3.544440352E9</v>
      </c>
      <c r="L290" s="292"/>
      <c r="M290" s="294"/>
      <c r="N290" s="290" t="s">
        <v>407</v>
      </c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</row>
    <row r="291">
      <c r="A291" s="285" t="s">
        <v>86</v>
      </c>
      <c r="B291" s="286" t="s">
        <v>1701</v>
      </c>
      <c r="C291" s="287">
        <v>535.0</v>
      </c>
      <c r="D291" s="288" t="s">
        <v>1702</v>
      </c>
      <c r="E291" s="289" t="s">
        <v>73</v>
      </c>
      <c r="F291" s="290" t="s">
        <v>396</v>
      </c>
      <c r="G291" s="289">
        <v>3.544564719E9</v>
      </c>
      <c r="H291" s="291" t="s">
        <v>1703</v>
      </c>
      <c r="I291" s="292"/>
      <c r="J291" s="25" t="s">
        <v>1704</v>
      </c>
      <c r="K291" s="27">
        <v>3.544580485E9</v>
      </c>
      <c r="L291" s="292"/>
      <c r="M291" s="292"/>
      <c r="N291" s="297" t="s">
        <v>419</v>
      </c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</row>
    <row r="292">
      <c r="A292" s="285" t="s">
        <v>86</v>
      </c>
      <c r="B292" s="286" t="s">
        <v>1705</v>
      </c>
      <c r="C292" s="287">
        <v>1.936</v>
      </c>
      <c r="D292" s="288" t="s">
        <v>1706</v>
      </c>
      <c r="E292" s="289" t="s">
        <v>96</v>
      </c>
      <c r="F292" s="308" t="s">
        <v>557</v>
      </c>
      <c r="G292" s="289" t="s">
        <v>1707</v>
      </c>
      <c r="H292" s="286" t="s">
        <v>1708</v>
      </c>
      <c r="I292" s="289" t="s">
        <v>389</v>
      </c>
      <c r="J292" s="25" t="s">
        <v>1709</v>
      </c>
      <c r="K292" s="337">
        <v>3.544309755E9</v>
      </c>
      <c r="L292" s="292"/>
      <c r="M292" s="27" t="s">
        <v>401</v>
      </c>
      <c r="N292" s="290" t="s">
        <v>407</v>
      </c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</row>
    <row r="293">
      <c r="A293" s="285" t="s">
        <v>86</v>
      </c>
      <c r="B293" s="286" t="s">
        <v>1710</v>
      </c>
      <c r="C293" s="287">
        <v>2.306</v>
      </c>
      <c r="D293" s="288" t="s">
        <v>1711</v>
      </c>
      <c r="E293" s="289" t="s">
        <v>96</v>
      </c>
      <c r="F293" s="290" t="s">
        <v>396</v>
      </c>
      <c r="G293" s="289">
        <v>3.544616265E9</v>
      </c>
      <c r="H293" s="291" t="s">
        <v>1712</v>
      </c>
      <c r="I293" s="292"/>
      <c r="J293" s="25" t="s">
        <v>1713</v>
      </c>
      <c r="K293" s="27" t="s">
        <v>1714</v>
      </c>
      <c r="L293" s="292"/>
      <c r="M293" s="27" t="s">
        <v>401</v>
      </c>
      <c r="N293" s="290" t="s">
        <v>407</v>
      </c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</row>
    <row r="294">
      <c r="A294" s="285" t="s">
        <v>86</v>
      </c>
      <c r="B294" s="286" t="s">
        <v>1715</v>
      </c>
      <c r="C294" s="287">
        <v>1.228</v>
      </c>
      <c r="D294" s="288" t="s">
        <v>1716</v>
      </c>
      <c r="E294" s="289" t="s">
        <v>73</v>
      </c>
      <c r="F294" s="290" t="s">
        <v>396</v>
      </c>
      <c r="G294" s="289">
        <v>3.544577062E9</v>
      </c>
      <c r="H294" s="291" t="s">
        <v>1717</v>
      </c>
      <c r="I294" s="292"/>
      <c r="J294" s="25" t="s">
        <v>1718</v>
      </c>
      <c r="K294" s="27">
        <v>3.544410108E9</v>
      </c>
      <c r="L294" s="292"/>
      <c r="M294" s="27" t="s">
        <v>401</v>
      </c>
      <c r="N294" s="297" t="s">
        <v>419</v>
      </c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</row>
    <row r="295">
      <c r="A295" s="285" t="s">
        <v>86</v>
      </c>
      <c r="B295" s="286" t="s">
        <v>1719</v>
      </c>
      <c r="C295" s="287">
        <v>1.595</v>
      </c>
      <c r="D295" s="288" t="s">
        <v>1720</v>
      </c>
      <c r="E295" s="289" t="s">
        <v>73</v>
      </c>
      <c r="F295" s="290" t="s">
        <v>396</v>
      </c>
      <c r="G295" s="289">
        <v>3.544510743E9</v>
      </c>
      <c r="H295" s="291" t="s">
        <v>1721</v>
      </c>
      <c r="I295" s="292"/>
      <c r="J295" s="25" t="s">
        <v>1722</v>
      </c>
      <c r="K295" s="27">
        <v>3.544567381E9</v>
      </c>
      <c r="L295" s="292"/>
      <c r="M295" s="294"/>
      <c r="N295" s="290" t="s">
        <v>407</v>
      </c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</row>
    <row r="296">
      <c r="A296" s="285" t="s">
        <v>86</v>
      </c>
      <c r="B296" s="286" t="s">
        <v>1723</v>
      </c>
      <c r="C296" s="287">
        <v>1.825</v>
      </c>
      <c r="D296" s="288" t="s">
        <v>1724</v>
      </c>
      <c r="E296" s="289" t="s">
        <v>96</v>
      </c>
      <c r="F296" s="290" t="s">
        <v>396</v>
      </c>
      <c r="G296" s="289">
        <v>3.544534283E9</v>
      </c>
      <c r="H296" s="286" t="s">
        <v>106</v>
      </c>
      <c r="I296" s="27" t="s">
        <v>389</v>
      </c>
      <c r="J296" s="25" t="s">
        <v>1725</v>
      </c>
      <c r="K296" s="27">
        <v>3.544534283E9</v>
      </c>
      <c r="L296" s="292"/>
      <c r="M296" s="294"/>
      <c r="N296" s="290" t="s">
        <v>407</v>
      </c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</row>
    <row r="297">
      <c r="A297" s="285" t="s">
        <v>86</v>
      </c>
      <c r="B297" s="286" t="s">
        <v>1726</v>
      </c>
      <c r="C297" s="287">
        <v>2.591</v>
      </c>
      <c r="D297" s="288" t="s">
        <v>1727</v>
      </c>
      <c r="E297" s="289" t="s">
        <v>96</v>
      </c>
      <c r="F297" s="290" t="s">
        <v>396</v>
      </c>
      <c r="G297" s="289">
        <v>3.544466177E9</v>
      </c>
      <c r="H297" s="291" t="s">
        <v>1728</v>
      </c>
      <c r="I297" s="292"/>
      <c r="J297" s="25" t="s">
        <v>1729</v>
      </c>
      <c r="K297" s="27" t="s">
        <v>1730</v>
      </c>
      <c r="L297" s="292"/>
      <c r="M297" s="292"/>
      <c r="N297" s="317" t="s">
        <v>823</v>
      </c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</row>
    <row r="298">
      <c r="A298" s="285" t="s">
        <v>86</v>
      </c>
      <c r="B298" s="286" t="s">
        <v>1731</v>
      </c>
      <c r="C298" s="287">
        <v>4.116</v>
      </c>
      <c r="D298" s="288" t="s">
        <v>1732</v>
      </c>
      <c r="E298" s="289" t="s">
        <v>96</v>
      </c>
      <c r="F298" s="290" t="s">
        <v>396</v>
      </c>
      <c r="G298" s="289">
        <v>3.544555885E9</v>
      </c>
      <c r="H298" s="291" t="s">
        <v>1733</v>
      </c>
      <c r="I298" s="292"/>
      <c r="J298" s="25" t="s">
        <v>1734</v>
      </c>
      <c r="K298" s="27">
        <v>3.544556319E9</v>
      </c>
      <c r="L298" s="292"/>
      <c r="M298" s="294"/>
      <c r="N298" s="290" t="s">
        <v>407</v>
      </c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</row>
    <row r="299">
      <c r="A299" s="285" t="s">
        <v>86</v>
      </c>
      <c r="B299" s="286" t="s">
        <v>1735</v>
      </c>
      <c r="C299" s="287">
        <v>31.853</v>
      </c>
      <c r="D299" s="288" t="s">
        <v>1736</v>
      </c>
      <c r="E299" s="289" t="s">
        <v>96</v>
      </c>
      <c r="F299" s="308" t="s">
        <v>557</v>
      </c>
      <c r="G299" s="289">
        <v>3.544615338E9</v>
      </c>
      <c r="H299" s="291" t="s">
        <v>1737</v>
      </c>
      <c r="I299" s="292"/>
      <c r="J299" s="25" t="s">
        <v>1738</v>
      </c>
      <c r="K299" s="27">
        <v>3.544616427E9</v>
      </c>
      <c r="L299" s="292"/>
      <c r="M299" s="294"/>
      <c r="N299" s="297" t="s">
        <v>1739</v>
      </c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</row>
    <row r="300">
      <c r="A300" s="285" t="s">
        <v>275</v>
      </c>
      <c r="B300" s="286" t="s">
        <v>1740</v>
      </c>
      <c r="C300" s="287">
        <v>3.318</v>
      </c>
      <c r="D300" s="288" t="s">
        <v>1741</v>
      </c>
      <c r="E300" s="289" t="s">
        <v>96</v>
      </c>
      <c r="F300" s="290" t="s">
        <v>396</v>
      </c>
      <c r="G300" s="289">
        <v>3.53368191E9</v>
      </c>
      <c r="H300" s="291" t="s">
        <v>1742</v>
      </c>
      <c r="I300" s="292"/>
      <c r="J300" s="25" t="s">
        <v>354</v>
      </c>
      <c r="K300" s="325">
        <v>3.533405587E9</v>
      </c>
      <c r="L300" s="292"/>
      <c r="M300" s="294"/>
      <c r="N300" s="290" t="s">
        <v>407</v>
      </c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</row>
    <row r="301">
      <c r="A301" s="285" t="s">
        <v>275</v>
      </c>
      <c r="B301" s="286" t="s">
        <v>1743</v>
      </c>
      <c r="C301" s="287">
        <v>1.793</v>
      </c>
      <c r="D301" s="288" t="s">
        <v>1744</v>
      </c>
      <c r="E301" s="289" t="s">
        <v>96</v>
      </c>
      <c r="F301" s="290" t="s">
        <v>396</v>
      </c>
      <c r="G301" s="289">
        <v>3.56244007E9</v>
      </c>
      <c r="H301" s="291" t="s">
        <v>1745</v>
      </c>
      <c r="I301" s="292"/>
      <c r="J301" s="25" t="s">
        <v>1746</v>
      </c>
      <c r="K301" s="27">
        <v>3.562512336E9</v>
      </c>
      <c r="L301" s="292"/>
      <c r="M301" s="294"/>
      <c r="N301" s="290" t="s">
        <v>407</v>
      </c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</row>
    <row r="302">
      <c r="A302" s="285" t="s">
        <v>275</v>
      </c>
      <c r="B302" s="286" t="s">
        <v>1747</v>
      </c>
      <c r="C302" s="287">
        <v>22.726</v>
      </c>
      <c r="D302" s="288" t="s">
        <v>1748</v>
      </c>
      <c r="E302" s="289" t="s">
        <v>96</v>
      </c>
      <c r="F302" s="293" t="s">
        <v>433</v>
      </c>
      <c r="G302" s="289" t="s">
        <v>1749</v>
      </c>
      <c r="H302" s="286" t="s">
        <v>1750</v>
      </c>
      <c r="I302" s="289" t="s">
        <v>389</v>
      </c>
      <c r="J302" s="25" t="s">
        <v>1751</v>
      </c>
      <c r="K302" s="27">
        <v>3.576468889E9</v>
      </c>
      <c r="L302" s="292"/>
      <c r="M302" s="294"/>
      <c r="N302" s="290" t="s">
        <v>407</v>
      </c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</row>
    <row r="303">
      <c r="A303" s="285" t="s">
        <v>275</v>
      </c>
      <c r="B303" s="286" t="s">
        <v>1752</v>
      </c>
      <c r="C303" s="287">
        <v>6.171</v>
      </c>
      <c r="D303" s="288" t="s">
        <v>1753</v>
      </c>
      <c r="E303" s="289" t="s">
        <v>96</v>
      </c>
      <c r="F303" s="290" t="s">
        <v>396</v>
      </c>
      <c r="G303" s="289">
        <v>3.563401445E9</v>
      </c>
      <c r="H303" s="286" t="s">
        <v>1754</v>
      </c>
      <c r="I303" s="289" t="s">
        <v>389</v>
      </c>
      <c r="J303" s="25" t="s">
        <v>1755</v>
      </c>
      <c r="K303" s="27">
        <v>3.563401445E9</v>
      </c>
      <c r="L303" s="292"/>
      <c r="M303" s="294"/>
      <c r="N303" s="290" t="s">
        <v>407</v>
      </c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</row>
    <row r="304">
      <c r="A304" s="285" t="s">
        <v>275</v>
      </c>
      <c r="B304" s="286" t="s">
        <v>1756</v>
      </c>
      <c r="C304" s="287">
        <v>9.963</v>
      </c>
      <c r="D304" s="288" t="s">
        <v>1757</v>
      </c>
      <c r="E304" s="289" t="s">
        <v>96</v>
      </c>
      <c r="F304" s="290" t="s">
        <v>396</v>
      </c>
      <c r="G304" s="289">
        <v>3.562438595E9</v>
      </c>
      <c r="H304" s="309" t="s">
        <v>1758</v>
      </c>
      <c r="I304" s="292"/>
      <c r="J304" s="25" t="s">
        <v>1759</v>
      </c>
      <c r="K304" s="27">
        <v>3.562439656E9</v>
      </c>
      <c r="L304" s="292"/>
      <c r="M304" s="294"/>
      <c r="N304" s="290" t="s">
        <v>407</v>
      </c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</row>
    <row r="305">
      <c r="A305" s="285" t="s">
        <v>275</v>
      </c>
      <c r="B305" s="286" t="s">
        <v>1760</v>
      </c>
      <c r="C305" s="287">
        <v>8.0</v>
      </c>
      <c r="D305" s="288" t="s">
        <v>1761</v>
      </c>
      <c r="E305" s="289" t="s">
        <v>73</v>
      </c>
      <c r="F305" s="321" t="s">
        <v>1007</v>
      </c>
      <c r="G305" s="289">
        <v>3.564561444E9</v>
      </c>
      <c r="H305" s="291" t="s">
        <v>1762</v>
      </c>
      <c r="I305" s="294"/>
      <c r="J305" s="326" t="s">
        <v>1763</v>
      </c>
      <c r="K305" s="27">
        <v>3.564564235E9</v>
      </c>
      <c r="L305" s="292"/>
      <c r="M305" s="292"/>
      <c r="N305" s="317" t="s">
        <v>1764</v>
      </c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</row>
    <row r="306">
      <c r="A306" s="285" t="s">
        <v>275</v>
      </c>
      <c r="B306" s="286" t="s">
        <v>1765</v>
      </c>
      <c r="C306" s="287">
        <v>6.0</v>
      </c>
      <c r="D306" s="288" t="s">
        <v>1766</v>
      </c>
      <c r="E306" s="289" t="s">
        <v>73</v>
      </c>
      <c r="F306" s="321" t="s">
        <v>1007</v>
      </c>
      <c r="G306" s="289">
        <v>3.564500852E9</v>
      </c>
      <c r="H306" s="291" t="s">
        <v>1767</v>
      </c>
      <c r="I306" s="294"/>
      <c r="J306" s="326" t="s">
        <v>1768</v>
      </c>
      <c r="K306" s="27">
        <v>3.564509575E9</v>
      </c>
      <c r="L306" s="292"/>
      <c r="M306" s="292"/>
      <c r="N306" s="317" t="s">
        <v>1764</v>
      </c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</row>
    <row r="307">
      <c r="A307" s="285" t="s">
        <v>275</v>
      </c>
      <c r="B307" s="286" t="s">
        <v>1769</v>
      </c>
      <c r="C307" s="287">
        <v>181.0</v>
      </c>
      <c r="D307" s="288" t="s">
        <v>1770</v>
      </c>
      <c r="E307" s="289" t="s">
        <v>73</v>
      </c>
      <c r="F307" s="296" t="s">
        <v>415</v>
      </c>
      <c r="G307" s="289">
        <v>3.576520381E9</v>
      </c>
      <c r="H307" s="291" t="s">
        <v>1771</v>
      </c>
      <c r="I307" s="294"/>
      <c r="J307" s="25" t="s">
        <v>1772</v>
      </c>
      <c r="K307" s="27" t="s">
        <v>1773</v>
      </c>
      <c r="L307" s="292"/>
      <c r="M307" s="27" t="s">
        <v>401</v>
      </c>
      <c r="N307" s="297" t="s">
        <v>419</v>
      </c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</row>
    <row r="308">
      <c r="A308" s="285" t="s">
        <v>275</v>
      </c>
      <c r="B308" s="286" t="s">
        <v>1774</v>
      </c>
      <c r="C308" s="287">
        <v>1.153</v>
      </c>
      <c r="D308" s="288" t="s">
        <v>1775</v>
      </c>
      <c r="E308" s="289" t="s">
        <v>96</v>
      </c>
      <c r="F308" s="296" t="s">
        <v>595</v>
      </c>
      <c r="G308" s="289" t="s">
        <v>1776</v>
      </c>
      <c r="H308" s="286" t="s">
        <v>1777</v>
      </c>
      <c r="I308" s="289" t="s">
        <v>389</v>
      </c>
      <c r="J308" s="25" t="s">
        <v>1778</v>
      </c>
      <c r="K308" s="27">
        <v>3.564615239E9</v>
      </c>
      <c r="L308" s="292"/>
      <c r="M308" s="292"/>
      <c r="N308" s="297" t="s">
        <v>419</v>
      </c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</row>
    <row r="309">
      <c r="A309" s="285" t="s">
        <v>275</v>
      </c>
      <c r="B309" s="286" t="s">
        <v>1779</v>
      </c>
      <c r="C309" s="287">
        <v>377.0</v>
      </c>
      <c r="D309" s="288" t="s">
        <v>1780</v>
      </c>
      <c r="E309" s="289" t="s">
        <v>96</v>
      </c>
      <c r="F309" s="296" t="s">
        <v>415</v>
      </c>
      <c r="G309" s="289">
        <v>3.564623202E9</v>
      </c>
      <c r="H309" s="286" t="s">
        <v>1781</v>
      </c>
      <c r="I309" s="289" t="s">
        <v>389</v>
      </c>
      <c r="J309" s="25" t="s">
        <v>1782</v>
      </c>
      <c r="K309" s="289">
        <v>3.564623202E9</v>
      </c>
      <c r="L309" s="292"/>
      <c r="M309" s="292"/>
      <c r="N309" s="297" t="s">
        <v>419</v>
      </c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</row>
    <row r="310">
      <c r="A310" s="285" t="s">
        <v>275</v>
      </c>
      <c r="B310" s="286" t="s">
        <v>1783</v>
      </c>
      <c r="C310" s="287">
        <v>1.291</v>
      </c>
      <c r="D310" s="288" t="s">
        <v>1784</v>
      </c>
      <c r="E310" s="289" t="s">
        <v>96</v>
      </c>
      <c r="F310" s="290" t="s">
        <v>396</v>
      </c>
      <c r="G310" s="289">
        <v>3.564573551E9</v>
      </c>
      <c r="H310" s="291" t="s">
        <v>1785</v>
      </c>
      <c r="I310" s="292"/>
      <c r="J310" s="25" t="s">
        <v>1786</v>
      </c>
      <c r="K310" s="27">
        <v>3.564415409E9</v>
      </c>
      <c r="L310" s="292"/>
      <c r="M310" s="294"/>
      <c r="N310" s="290" t="s">
        <v>407</v>
      </c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</row>
    <row r="311">
      <c r="A311" s="285" t="s">
        <v>275</v>
      </c>
      <c r="B311" s="286" t="s">
        <v>1787</v>
      </c>
      <c r="C311" s="287">
        <v>151.0</v>
      </c>
      <c r="D311" s="288" t="s">
        <v>1788</v>
      </c>
      <c r="E311" s="289" t="s">
        <v>73</v>
      </c>
      <c r="F311" s="290" t="s">
        <v>396</v>
      </c>
      <c r="G311" s="289">
        <v>3.562445495E9</v>
      </c>
      <c r="H311" s="291" t="s">
        <v>1789</v>
      </c>
      <c r="I311" s="292"/>
      <c r="J311" s="25" t="s">
        <v>1790</v>
      </c>
      <c r="K311" s="27">
        <v>3.562510431E9</v>
      </c>
      <c r="L311" s="292"/>
      <c r="M311" s="27" t="s">
        <v>401</v>
      </c>
      <c r="N311" s="290" t="s">
        <v>407</v>
      </c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</row>
    <row r="312">
      <c r="A312" s="285" t="s">
        <v>275</v>
      </c>
      <c r="B312" s="286" t="s">
        <v>1791</v>
      </c>
      <c r="C312" s="287">
        <v>190.0</v>
      </c>
      <c r="D312" s="288" t="s">
        <v>1792</v>
      </c>
      <c r="E312" s="289" t="s">
        <v>73</v>
      </c>
      <c r="F312" s="293" t="s">
        <v>433</v>
      </c>
      <c r="G312" s="289">
        <v>3.564332425E9</v>
      </c>
      <c r="H312" s="291" t="s">
        <v>1793</v>
      </c>
      <c r="I312" s="292"/>
      <c r="J312" s="25" t="s">
        <v>1794</v>
      </c>
      <c r="K312" s="27">
        <v>3.456335787E9</v>
      </c>
      <c r="L312" s="292"/>
      <c r="M312" s="27" t="s">
        <v>401</v>
      </c>
      <c r="N312" s="317" t="s">
        <v>1795</v>
      </c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</row>
    <row r="313">
      <c r="A313" s="285" t="s">
        <v>275</v>
      </c>
      <c r="B313" s="286" t="s">
        <v>1796</v>
      </c>
      <c r="C313" s="287">
        <v>727.0</v>
      </c>
      <c r="D313" s="288" t="s">
        <v>1797</v>
      </c>
      <c r="E313" s="289" t="s">
        <v>96</v>
      </c>
      <c r="F313" s="293" t="s">
        <v>433</v>
      </c>
      <c r="G313" s="289" t="s">
        <v>1798</v>
      </c>
      <c r="H313" s="286" t="s">
        <v>1799</v>
      </c>
      <c r="I313" s="289" t="s">
        <v>389</v>
      </c>
      <c r="J313" s="25" t="s">
        <v>1800</v>
      </c>
      <c r="K313" s="27">
        <v>3.562515112E9</v>
      </c>
      <c r="L313" s="292"/>
      <c r="M313" s="27" t="s">
        <v>401</v>
      </c>
      <c r="N313" s="290" t="s">
        <v>407</v>
      </c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</row>
    <row r="314">
      <c r="A314" s="285" t="s">
        <v>275</v>
      </c>
      <c r="B314" s="286" t="s">
        <v>1801</v>
      </c>
      <c r="C314" s="287">
        <v>6.133</v>
      </c>
      <c r="D314" s="288" t="s">
        <v>1802</v>
      </c>
      <c r="E314" s="289" t="s">
        <v>96</v>
      </c>
      <c r="F314" s="308" t="s">
        <v>557</v>
      </c>
      <c r="G314" s="289">
        <v>3.564561014E9</v>
      </c>
      <c r="H314" s="286" t="s">
        <v>1803</v>
      </c>
      <c r="I314" s="289" t="s">
        <v>389</v>
      </c>
      <c r="J314" s="25" t="s">
        <v>1804</v>
      </c>
      <c r="K314" s="289">
        <v>3.564561014E9</v>
      </c>
      <c r="L314" s="292"/>
      <c r="M314" s="292"/>
      <c r="N314" s="297" t="s">
        <v>419</v>
      </c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</row>
    <row r="315">
      <c r="A315" s="285" t="s">
        <v>275</v>
      </c>
      <c r="B315" s="286" t="s">
        <v>1805</v>
      </c>
      <c r="C315" s="287">
        <v>1.776</v>
      </c>
      <c r="D315" s="288" t="s">
        <v>1806</v>
      </c>
      <c r="E315" s="289" t="s">
        <v>96</v>
      </c>
      <c r="F315" s="290" t="s">
        <v>396</v>
      </c>
      <c r="G315" s="289">
        <v>3.533442771E9</v>
      </c>
      <c r="H315" s="291" t="s">
        <v>1807</v>
      </c>
      <c r="I315" s="292"/>
      <c r="J315" s="25" t="s">
        <v>359</v>
      </c>
      <c r="K315" s="27">
        <v>3.533442747E9</v>
      </c>
      <c r="L315" s="292"/>
      <c r="M315" s="294"/>
      <c r="N315" s="290" t="s">
        <v>407</v>
      </c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</row>
    <row r="316">
      <c r="A316" s="285" t="s">
        <v>275</v>
      </c>
      <c r="B316" s="286" t="s">
        <v>1808</v>
      </c>
      <c r="C316" s="287">
        <v>1.648</v>
      </c>
      <c r="D316" s="288" t="s">
        <v>1809</v>
      </c>
      <c r="E316" s="289" t="s">
        <v>96</v>
      </c>
      <c r="F316" s="290" t="s">
        <v>396</v>
      </c>
      <c r="G316" s="289">
        <v>3.533453912E9</v>
      </c>
      <c r="H316" s="291" t="s">
        <v>1810</v>
      </c>
      <c r="I316" s="292"/>
      <c r="J316" s="25" t="s">
        <v>1811</v>
      </c>
      <c r="K316" s="27">
        <v>3.533437629E9</v>
      </c>
      <c r="L316" s="292"/>
      <c r="M316" s="294"/>
      <c r="N316" s="290" t="s">
        <v>407</v>
      </c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</row>
    <row r="317">
      <c r="A317" s="285" t="s">
        <v>275</v>
      </c>
      <c r="B317" s="286" t="s">
        <v>1812</v>
      </c>
      <c r="C317" s="287">
        <v>1.92</v>
      </c>
      <c r="D317" s="288" t="s">
        <v>1813</v>
      </c>
      <c r="E317" s="289" t="s">
        <v>96</v>
      </c>
      <c r="F317" s="290" t="s">
        <v>396</v>
      </c>
      <c r="G317" s="289">
        <v>3.5765297E9</v>
      </c>
      <c r="H317" s="291" t="s">
        <v>1814</v>
      </c>
      <c r="I317" s="292"/>
      <c r="J317" s="25" t="s">
        <v>1815</v>
      </c>
      <c r="K317" s="27">
        <v>3.546412007E9</v>
      </c>
      <c r="L317" s="292"/>
      <c r="M317" s="27" t="s">
        <v>401</v>
      </c>
      <c r="N317" s="290" t="s">
        <v>407</v>
      </c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</row>
    <row r="318">
      <c r="A318" s="285" t="s">
        <v>275</v>
      </c>
      <c r="B318" s="286" t="s">
        <v>1816</v>
      </c>
      <c r="C318" s="287">
        <v>6.922</v>
      </c>
      <c r="D318" s="288" t="s">
        <v>1817</v>
      </c>
      <c r="E318" s="289" t="s">
        <v>96</v>
      </c>
      <c r="F318" s="290" t="s">
        <v>396</v>
      </c>
      <c r="G318" s="289">
        <v>3.564415956E9</v>
      </c>
      <c r="H318" s="291" t="s">
        <v>1818</v>
      </c>
      <c r="I318" s="292"/>
      <c r="J318" s="25" t="s">
        <v>1819</v>
      </c>
      <c r="K318" s="27">
        <v>3.56441794E9</v>
      </c>
      <c r="L318" s="292"/>
      <c r="M318" s="294"/>
      <c r="N318" s="290" t="s">
        <v>407</v>
      </c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</row>
    <row r="319">
      <c r="A319" s="285" t="s">
        <v>275</v>
      </c>
      <c r="B319" s="286" t="s">
        <v>1820</v>
      </c>
      <c r="C319" s="287">
        <v>3.804</v>
      </c>
      <c r="D319" s="288" t="s">
        <v>1821</v>
      </c>
      <c r="E319" s="289" t="s">
        <v>96</v>
      </c>
      <c r="F319" s="290" t="s">
        <v>396</v>
      </c>
      <c r="G319" s="289">
        <v>3.564561655E9</v>
      </c>
      <c r="H319" s="291" t="s">
        <v>1822</v>
      </c>
      <c r="I319" s="292"/>
      <c r="J319" s="25" t="s">
        <v>1823</v>
      </c>
      <c r="K319" s="27">
        <v>3.56469777E9</v>
      </c>
      <c r="L319" s="292"/>
      <c r="M319" s="294"/>
      <c r="N319" s="290" t="s">
        <v>407</v>
      </c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</row>
    <row r="320">
      <c r="A320" s="285" t="s">
        <v>275</v>
      </c>
      <c r="B320" s="286" t="s">
        <v>1824</v>
      </c>
      <c r="C320" s="287">
        <v>964.0</v>
      </c>
      <c r="D320" s="288" t="s">
        <v>1825</v>
      </c>
      <c r="E320" s="289" t="s">
        <v>96</v>
      </c>
      <c r="F320" s="290" t="s">
        <v>396</v>
      </c>
      <c r="G320" s="289">
        <v>3.562413151E9</v>
      </c>
      <c r="H320" s="291" t="s">
        <v>1826</v>
      </c>
      <c r="I320" s="292"/>
      <c r="J320" s="25" t="s">
        <v>1827</v>
      </c>
      <c r="K320" s="27">
        <v>3.562522039E9</v>
      </c>
      <c r="L320" s="292"/>
      <c r="M320" s="294"/>
      <c r="N320" s="290" t="s">
        <v>407</v>
      </c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</row>
    <row r="321">
      <c r="A321" s="285" t="s">
        <v>275</v>
      </c>
      <c r="B321" s="286" t="s">
        <v>1828</v>
      </c>
      <c r="C321" s="287">
        <v>1.257</v>
      </c>
      <c r="D321" s="288" t="s">
        <v>1829</v>
      </c>
      <c r="E321" s="289" t="s">
        <v>96</v>
      </c>
      <c r="F321" s="290" t="s">
        <v>396</v>
      </c>
      <c r="G321" s="289">
        <v>3.576525056E9</v>
      </c>
      <c r="H321" s="286" t="s">
        <v>1830</v>
      </c>
      <c r="I321" s="289" t="s">
        <v>389</v>
      </c>
      <c r="J321" s="25" t="s">
        <v>1831</v>
      </c>
      <c r="K321" s="27">
        <v>3.576525056E9</v>
      </c>
      <c r="L321" s="292"/>
      <c r="M321" s="27" t="s">
        <v>401</v>
      </c>
      <c r="N321" s="290" t="s">
        <v>407</v>
      </c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</row>
    <row r="322">
      <c r="A322" s="285" t="s">
        <v>275</v>
      </c>
      <c r="B322" s="286" t="s">
        <v>1832</v>
      </c>
      <c r="C322" s="287">
        <v>1.32</v>
      </c>
      <c r="D322" s="288" t="s">
        <v>1833</v>
      </c>
      <c r="E322" s="289" t="s">
        <v>96</v>
      </c>
      <c r="F322" s="290" t="s">
        <v>396</v>
      </c>
      <c r="G322" s="289">
        <v>3.533408836E9</v>
      </c>
      <c r="H322" s="291" t="s">
        <v>1834</v>
      </c>
      <c r="I322" s="292"/>
      <c r="J322" s="25" t="s">
        <v>334</v>
      </c>
      <c r="K322" s="338">
        <v>3.53340289E9</v>
      </c>
      <c r="L322" s="315" t="s">
        <v>1835</v>
      </c>
      <c r="M322" s="294"/>
      <c r="N322" s="290" t="s">
        <v>407</v>
      </c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</row>
    <row r="323">
      <c r="A323" s="285" t="s">
        <v>275</v>
      </c>
      <c r="B323" s="286" t="s">
        <v>1836</v>
      </c>
      <c r="C323" s="287">
        <v>16.316</v>
      </c>
      <c r="D323" s="288" t="s">
        <v>277</v>
      </c>
      <c r="E323" s="289" t="s">
        <v>96</v>
      </c>
      <c r="F323" s="321" t="s">
        <v>1007</v>
      </c>
      <c r="G323" s="289">
        <v>3.573414656E9</v>
      </c>
      <c r="H323" s="286" t="s">
        <v>1837</v>
      </c>
      <c r="I323" s="27" t="s">
        <v>389</v>
      </c>
      <c r="J323" s="25" t="s">
        <v>1838</v>
      </c>
      <c r="K323" s="289">
        <v>3.573414656E9</v>
      </c>
      <c r="L323" s="291" t="s">
        <v>1837</v>
      </c>
      <c r="M323" s="294"/>
      <c r="N323" s="317" t="s">
        <v>1839</v>
      </c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</row>
    <row r="324">
      <c r="A324" s="285" t="s">
        <v>275</v>
      </c>
      <c r="B324" s="286" t="s">
        <v>1840</v>
      </c>
      <c r="C324" s="287">
        <v>1.799</v>
      </c>
      <c r="D324" s="288" t="s">
        <v>1841</v>
      </c>
      <c r="E324" s="289" t="s">
        <v>96</v>
      </c>
      <c r="F324" s="290" t="s">
        <v>396</v>
      </c>
      <c r="G324" s="289">
        <v>3.563669962E9</v>
      </c>
      <c r="H324" s="291" t="s">
        <v>1842</v>
      </c>
      <c r="I324" s="294"/>
      <c r="J324" s="326" t="s">
        <v>1843</v>
      </c>
      <c r="K324" s="27" t="s">
        <v>1844</v>
      </c>
      <c r="L324" s="292"/>
      <c r="M324" s="294"/>
      <c r="N324" s="290" t="s">
        <v>407</v>
      </c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</row>
    <row r="325">
      <c r="A325" s="285" t="s">
        <v>275</v>
      </c>
      <c r="B325" s="286" t="s">
        <v>1845</v>
      </c>
      <c r="C325" s="287">
        <v>2.212</v>
      </c>
      <c r="D325" s="288" t="s">
        <v>1846</v>
      </c>
      <c r="E325" s="289" t="s">
        <v>96</v>
      </c>
      <c r="F325" s="290" t="s">
        <v>396</v>
      </c>
      <c r="G325" s="289">
        <v>3.56340847E9</v>
      </c>
      <c r="H325" s="291" t="s">
        <v>1847</v>
      </c>
      <c r="I325" s="292"/>
      <c r="J325" s="25" t="s">
        <v>1848</v>
      </c>
      <c r="K325" s="332">
        <v>3.563491418E9</v>
      </c>
      <c r="L325" s="292"/>
      <c r="M325" s="294"/>
      <c r="N325" s="290" t="s">
        <v>407</v>
      </c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</row>
    <row r="326">
      <c r="A326" s="285" t="s">
        <v>275</v>
      </c>
      <c r="B326" s="286" t="s">
        <v>1849</v>
      </c>
      <c r="C326" s="287">
        <v>17.124</v>
      </c>
      <c r="D326" s="288" t="s">
        <v>1850</v>
      </c>
      <c r="E326" s="289" t="s">
        <v>96</v>
      </c>
      <c r="F326" s="296" t="s">
        <v>415</v>
      </c>
      <c r="G326" s="289">
        <v>3.562505802E9</v>
      </c>
      <c r="H326" s="291" t="s">
        <v>1851</v>
      </c>
      <c r="I326" s="292"/>
      <c r="J326" s="25" t="s">
        <v>1852</v>
      </c>
      <c r="K326" s="27">
        <v>3.56241209E9</v>
      </c>
      <c r="L326" s="292"/>
      <c r="M326" s="294"/>
      <c r="N326" s="295" t="s">
        <v>1853</v>
      </c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</row>
    <row r="327">
      <c r="A327" s="285" t="s">
        <v>275</v>
      </c>
      <c r="B327" s="286" t="s">
        <v>1854</v>
      </c>
      <c r="C327" s="287">
        <v>195.0</v>
      </c>
      <c r="D327" s="288" t="s">
        <v>1855</v>
      </c>
      <c r="E327" s="289" t="s">
        <v>73</v>
      </c>
      <c r="F327" s="290" t="s">
        <v>396</v>
      </c>
      <c r="G327" s="289">
        <v>3.564417451E9</v>
      </c>
      <c r="H327" s="291" t="s">
        <v>1856</v>
      </c>
      <c r="I327" s="292"/>
      <c r="J327" s="25" t="s">
        <v>1857</v>
      </c>
      <c r="K327" s="339">
        <v>3.56447895E9</v>
      </c>
      <c r="L327" s="292"/>
      <c r="M327" s="294"/>
      <c r="N327" s="317" t="s">
        <v>541</v>
      </c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</row>
    <row r="328">
      <c r="A328" s="285" t="s">
        <v>275</v>
      </c>
      <c r="B328" s="286" t="s">
        <v>1858</v>
      </c>
      <c r="C328" s="287">
        <v>5.439</v>
      </c>
      <c r="D328" s="288" t="s">
        <v>1859</v>
      </c>
      <c r="E328" s="289" t="s">
        <v>96</v>
      </c>
      <c r="F328" s="290" t="s">
        <v>396</v>
      </c>
      <c r="G328" s="289">
        <v>3.564590126E9</v>
      </c>
      <c r="H328" s="291" t="s">
        <v>1860</v>
      </c>
      <c r="I328" s="292"/>
      <c r="J328" s="25" t="s">
        <v>1861</v>
      </c>
      <c r="K328" s="27">
        <v>3.564599451E9</v>
      </c>
      <c r="L328" s="292"/>
      <c r="M328" s="27" t="s">
        <v>401</v>
      </c>
      <c r="N328" s="297" t="s">
        <v>419</v>
      </c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</row>
    <row r="329">
      <c r="A329" s="285" t="s">
        <v>275</v>
      </c>
      <c r="B329" s="286" t="s">
        <v>1862</v>
      </c>
      <c r="C329" s="287">
        <v>388.0</v>
      </c>
      <c r="D329" s="288" t="s">
        <v>1863</v>
      </c>
      <c r="E329" s="289" t="s">
        <v>96</v>
      </c>
      <c r="F329" s="290" t="s">
        <v>396</v>
      </c>
      <c r="G329" s="289">
        <v>3.564612353E9</v>
      </c>
      <c r="H329" s="291" t="s">
        <v>1864</v>
      </c>
      <c r="I329" s="292"/>
      <c r="J329" s="25" t="s">
        <v>1865</v>
      </c>
      <c r="K329" s="27">
        <v>3.564621939E9</v>
      </c>
      <c r="L329" s="292"/>
      <c r="M329" s="294"/>
      <c r="N329" s="290" t="s">
        <v>407</v>
      </c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</row>
    <row r="330">
      <c r="A330" s="285" t="s">
        <v>275</v>
      </c>
      <c r="B330" s="286" t="s">
        <v>1866</v>
      </c>
      <c r="C330" s="287">
        <v>3.134</v>
      </c>
      <c r="D330" s="288" t="s">
        <v>1867</v>
      </c>
      <c r="E330" s="289" t="s">
        <v>96</v>
      </c>
      <c r="F330" s="296" t="s">
        <v>415</v>
      </c>
      <c r="G330" s="289">
        <v>3.576529791E9</v>
      </c>
      <c r="H330" s="291" t="s">
        <v>1868</v>
      </c>
      <c r="I330" s="292"/>
      <c r="J330" s="25" t="s">
        <v>308</v>
      </c>
      <c r="K330" s="27">
        <v>3.533580162E9</v>
      </c>
      <c r="L330" s="292"/>
      <c r="M330" s="292"/>
      <c r="N330" s="297" t="s">
        <v>419</v>
      </c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</row>
    <row r="331">
      <c r="A331" s="285" t="s">
        <v>275</v>
      </c>
      <c r="B331" s="286" t="s">
        <v>1869</v>
      </c>
      <c r="C331" s="287">
        <v>62.211</v>
      </c>
      <c r="D331" s="288" t="s">
        <v>1870</v>
      </c>
      <c r="E331" s="289" t="s">
        <v>96</v>
      </c>
      <c r="F331" s="290" t="s">
        <v>396</v>
      </c>
      <c r="G331" s="289">
        <v>3.564476204E9</v>
      </c>
      <c r="H331" s="301"/>
      <c r="I331" s="289" t="s">
        <v>389</v>
      </c>
      <c r="J331" s="25" t="s">
        <v>1871</v>
      </c>
      <c r="K331" s="27">
        <v>3.564476204E9</v>
      </c>
      <c r="L331" s="292"/>
      <c r="M331" s="294"/>
      <c r="N331" s="290" t="s">
        <v>407</v>
      </c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</row>
    <row r="332">
      <c r="A332" s="285" t="s">
        <v>275</v>
      </c>
      <c r="B332" s="286" t="s">
        <v>1872</v>
      </c>
      <c r="C332" s="287">
        <v>2.496</v>
      </c>
      <c r="D332" s="288" t="s">
        <v>1873</v>
      </c>
      <c r="E332" s="289" t="s">
        <v>96</v>
      </c>
      <c r="F332" s="293" t="s">
        <v>433</v>
      </c>
      <c r="G332" s="289">
        <v>3.533406694E9</v>
      </c>
      <c r="H332" s="291" t="s">
        <v>1874</v>
      </c>
      <c r="I332" s="292"/>
      <c r="J332" s="25" t="s">
        <v>1875</v>
      </c>
      <c r="K332" s="27">
        <v>3.533438984E9</v>
      </c>
      <c r="L332" s="292"/>
      <c r="M332" s="294"/>
      <c r="N332" s="290" t="s">
        <v>407</v>
      </c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</row>
    <row r="333">
      <c r="A333" s="285" t="s">
        <v>275</v>
      </c>
      <c r="B333" s="286" t="s">
        <v>1876</v>
      </c>
      <c r="C333" s="287">
        <v>620.0</v>
      </c>
      <c r="D333" s="288" t="s">
        <v>1877</v>
      </c>
      <c r="E333" s="289" t="s">
        <v>96</v>
      </c>
      <c r="F333" s="290" t="s">
        <v>396</v>
      </c>
      <c r="G333" s="289">
        <v>3.56457097E9</v>
      </c>
      <c r="H333" s="286" t="s">
        <v>1878</v>
      </c>
      <c r="I333" s="27" t="s">
        <v>389</v>
      </c>
      <c r="J333" s="25" t="s">
        <v>1879</v>
      </c>
      <c r="K333" s="289">
        <v>3.56457097E9</v>
      </c>
      <c r="L333" s="292"/>
      <c r="M333" s="27" t="s">
        <v>401</v>
      </c>
      <c r="N333" s="290" t="s">
        <v>407</v>
      </c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</row>
    <row r="334">
      <c r="A334" s="285" t="s">
        <v>275</v>
      </c>
      <c r="B334" s="286" t="s">
        <v>1880</v>
      </c>
      <c r="C334" s="287">
        <v>173.0</v>
      </c>
      <c r="D334" s="288" t="s">
        <v>1881</v>
      </c>
      <c r="E334" s="289" t="s">
        <v>73</v>
      </c>
      <c r="F334" s="296" t="s">
        <v>415</v>
      </c>
      <c r="G334" s="289">
        <v>3.576415796E9</v>
      </c>
      <c r="H334" s="301"/>
      <c r="I334" s="292"/>
      <c r="J334" s="25" t="s">
        <v>1882</v>
      </c>
      <c r="K334" s="27" t="s">
        <v>1883</v>
      </c>
      <c r="L334" s="292"/>
      <c r="M334" s="292"/>
      <c r="N334" s="312" t="s">
        <v>1228</v>
      </c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</row>
    <row r="335">
      <c r="A335" s="285" t="s">
        <v>275</v>
      </c>
      <c r="B335" s="286" t="s">
        <v>1884</v>
      </c>
      <c r="C335" s="287">
        <v>3.185</v>
      </c>
      <c r="D335" s="288" t="s">
        <v>1885</v>
      </c>
      <c r="E335" s="289" t="s">
        <v>96</v>
      </c>
      <c r="F335" s="290" t="s">
        <v>396</v>
      </c>
      <c r="G335" s="289">
        <v>3.576650122E9</v>
      </c>
      <c r="H335" s="291" t="s">
        <v>1886</v>
      </c>
      <c r="I335" s="292"/>
      <c r="J335" s="25" t="s">
        <v>1887</v>
      </c>
      <c r="K335" s="27">
        <v>3.513545849E9</v>
      </c>
      <c r="L335" s="292"/>
      <c r="M335" s="294"/>
      <c r="N335" s="290" t="s">
        <v>407</v>
      </c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</row>
    <row r="336">
      <c r="A336" s="285" t="s">
        <v>275</v>
      </c>
      <c r="B336" s="286" t="s">
        <v>1888</v>
      </c>
      <c r="C336" s="287">
        <v>1.886</v>
      </c>
      <c r="D336" s="288" t="s">
        <v>1889</v>
      </c>
      <c r="E336" s="289" t="s">
        <v>96</v>
      </c>
      <c r="F336" s="290" t="s">
        <v>396</v>
      </c>
      <c r="G336" s="289">
        <v>3.576415602E9</v>
      </c>
      <c r="H336" s="291" t="s">
        <v>1890</v>
      </c>
      <c r="I336" s="294"/>
      <c r="J336" s="326" t="s">
        <v>1891</v>
      </c>
      <c r="K336" s="332">
        <v>3.576474785E9</v>
      </c>
      <c r="L336" s="292"/>
      <c r="M336" s="294"/>
      <c r="N336" s="290" t="s">
        <v>407</v>
      </c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</row>
    <row r="337">
      <c r="A337" s="285" t="s">
        <v>275</v>
      </c>
      <c r="B337" s="286" t="s">
        <v>1892</v>
      </c>
      <c r="C337" s="287">
        <v>82.0</v>
      </c>
      <c r="D337" s="288" t="s">
        <v>1893</v>
      </c>
      <c r="E337" s="289" t="s">
        <v>73</v>
      </c>
      <c r="F337" s="290" t="s">
        <v>396</v>
      </c>
      <c r="G337" s="289">
        <v>3.533448449E9</v>
      </c>
      <c r="H337" s="291" t="s">
        <v>1894</v>
      </c>
      <c r="I337" s="292"/>
      <c r="J337" s="25" t="s">
        <v>1895</v>
      </c>
      <c r="K337" s="27">
        <v>3.533448449E9</v>
      </c>
      <c r="L337" s="292"/>
      <c r="M337" s="294"/>
      <c r="N337" s="290" t="s">
        <v>407</v>
      </c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</row>
    <row r="338">
      <c r="A338" s="285" t="s">
        <v>1896</v>
      </c>
      <c r="B338" s="286" t="s">
        <v>1897</v>
      </c>
      <c r="C338" s="287">
        <v>48.506</v>
      </c>
      <c r="D338" s="288" t="s">
        <v>1898</v>
      </c>
      <c r="E338" s="289" t="s">
        <v>96</v>
      </c>
      <c r="F338" s="290" t="s">
        <v>396</v>
      </c>
      <c r="G338" s="289" t="s">
        <v>1899</v>
      </c>
      <c r="H338" s="291" t="s">
        <v>1900</v>
      </c>
      <c r="I338" s="292"/>
      <c r="J338" s="25" t="s">
        <v>1901</v>
      </c>
      <c r="K338" s="27" t="s">
        <v>1902</v>
      </c>
      <c r="L338" s="292"/>
      <c r="M338" s="294"/>
      <c r="N338" s="290" t="s">
        <v>407</v>
      </c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</row>
    <row r="339">
      <c r="A339" s="285" t="s">
        <v>1896</v>
      </c>
      <c r="B339" s="286" t="s">
        <v>1903</v>
      </c>
      <c r="C339" s="287">
        <v>3.35</v>
      </c>
      <c r="D339" s="288" t="s">
        <v>1904</v>
      </c>
      <c r="E339" s="289" t="s">
        <v>96</v>
      </c>
      <c r="F339" s="290" t="s">
        <v>933</v>
      </c>
      <c r="G339" s="289">
        <v>3.54748405E9</v>
      </c>
      <c r="H339" s="291" t="s">
        <v>1905</v>
      </c>
      <c r="I339" s="292"/>
      <c r="J339" s="25" t="s">
        <v>1906</v>
      </c>
      <c r="K339" s="27" t="s">
        <v>1907</v>
      </c>
      <c r="L339" s="292"/>
      <c r="M339" s="27" t="s">
        <v>401</v>
      </c>
      <c r="N339" s="297" t="s">
        <v>419</v>
      </c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</row>
    <row r="340">
      <c r="A340" s="285" t="s">
        <v>1896</v>
      </c>
      <c r="B340" s="286" t="s">
        <v>1908</v>
      </c>
      <c r="C340" s="287">
        <v>1.786</v>
      </c>
      <c r="D340" s="288" t="s">
        <v>1909</v>
      </c>
      <c r="E340" s="289" t="s">
        <v>96</v>
      </c>
      <c r="F340" s="308" t="s">
        <v>557</v>
      </c>
      <c r="G340" s="289">
        <v>0.0</v>
      </c>
      <c r="H340" s="291" t="s">
        <v>1910</v>
      </c>
      <c r="I340" s="292"/>
      <c r="J340" s="25" t="s">
        <v>1911</v>
      </c>
      <c r="K340" s="27" t="s">
        <v>1912</v>
      </c>
      <c r="L340" s="292"/>
      <c r="M340" s="292"/>
      <c r="N340" s="317" t="s">
        <v>1913</v>
      </c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</row>
    <row r="341">
      <c r="A341" s="285" t="s">
        <v>1896</v>
      </c>
      <c r="B341" s="286" t="s">
        <v>1914</v>
      </c>
      <c r="C341" s="287">
        <v>5.988</v>
      </c>
      <c r="D341" s="288" t="s">
        <v>1915</v>
      </c>
      <c r="E341" s="289" t="s">
        <v>96</v>
      </c>
      <c r="F341" s="290" t="s">
        <v>396</v>
      </c>
      <c r="G341" s="289">
        <v>3.5175063E9</v>
      </c>
      <c r="H341" s="314" t="s">
        <v>1916</v>
      </c>
      <c r="I341" s="27" t="s">
        <v>389</v>
      </c>
      <c r="J341" s="25" t="s">
        <v>1917</v>
      </c>
      <c r="K341" s="289">
        <v>3.5175063E9</v>
      </c>
      <c r="L341" s="309" t="s">
        <v>1916</v>
      </c>
      <c r="M341" s="27" t="s">
        <v>401</v>
      </c>
      <c r="N341" s="290" t="s">
        <v>407</v>
      </c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</row>
    <row r="342">
      <c r="A342" s="285" t="s">
        <v>1896</v>
      </c>
      <c r="B342" s="286" t="s">
        <v>1918</v>
      </c>
      <c r="C342" s="287">
        <v>259.0</v>
      </c>
      <c r="D342" s="288" t="s">
        <v>1919</v>
      </c>
      <c r="E342" s="289" t="s">
        <v>73</v>
      </c>
      <c r="F342" s="290" t="s">
        <v>396</v>
      </c>
      <c r="G342" s="289">
        <v>3.547531148E9</v>
      </c>
      <c r="H342" s="291" t="s">
        <v>1920</v>
      </c>
      <c r="I342" s="292"/>
      <c r="J342" s="25" t="s">
        <v>1921</v>
      </c>
      <c r="K342" s="27">
        <v>3.547531153E9</v>
      </c>
      <c r="L342" s="292"/>
      <c r="M342" s="27" t="s">
        <v>401</v>
      </c>
      <c r="N342" s="290" t="s">
        <v>407</v>
      </c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</row>
    <row r="343">
      <c r="A343" s="285" t="s">
        <v>1896</v>
      </c>
      <c r="B343" s="286" t="s">
        <v>1922</v>
      </c>
      <c r="C343" s="287">
        <v>610.0</v>
      </c>
      <c r="D343" s="288" t="s">
        <v>1923</v>
      </c>
      <c r="E343" s="289" t="s">
        <v>73</v>
      </c>
      <c r="F343" s="290" t="s">
        <v>396</v>
      </c>
      <c r="G343" s="289">
        <v>3.547632106E9</v>
      </c>
      <c r="H343" s="286" t="s">
        <v>1924</v>
      </c>
      <c r="I343" s="27" t="s">
        <v>389</v>
      </c>
      <c r="J343" s="25" t="s">
        <v>1925</v>
      </c>
      <c r="K343" s="289">
        <v>3.547632106E9</v>
      </c>
      <c r="L343" s="291" t="s">
        <v>1924</v>
      </c>
      <c r="M343" s="294"/>
      <c r="N343" s="290" t="s">
        <v>407</v>
      </c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</row>
    <row r="344">
      <c r="A344" s="285" t="s">
        <v>1896</v>
      </c>
      <c r="B344" s="286" t="s">
        <v>1926</v>
      </c>
      <c r="C344" s="287">
        <v>155.0</v>
      </c>
      <c r="D344" s="288" t="s">
        <v>1927</v>
      </c>
      <c r="E344" s="289" t="s">
        <v>73</v>
      </c>
      <c r="F344" s="296" t="s">
        <v>595</v>
      </c>
      <c r="G344" s="289">
        <v>3.54751333E9</v>
      </c>
      <c r="H344" s="291" t="s">
        <v>1928</v>
      </c>
      <c r="I344" s="292"/>
      <c r="J344" s="25" t="s">
        <v>1929</v>
      </c>
      <c r="K344" s="292"/>
      <c r="L344" s="292"/>
      <c r="M344" s="292"/>
      <c r="N344" s="297" t="s">
        <v>419</v>
      </c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</row>
    <row r="345">
      <c r="A345" s="285" t="s">
        <v>1896</v>
      </c>
      <c r="B345" s="286" t="s">
        <v>1930</v>
      </c>
      <c r="C345" s="287">
        <v>129.0</v>
      </c>
      <c r="D345" s="288" t="s">
        <v>1931</v>
      </c>
      <c r="E345" s="289" t="s">
        <v>73</v>
      </c>
      <c r="F345" s="290" t="s">
        <v>396</v>
      </c>
      <c r="G345" s="289">
        <v>3.547503842E9</v>
      </c>
      <c r="H345" s="340" t="s">
        <v>1932</v>
      </c>
      <c r="I345" s="292"/>
      <c r="J345" s="25" t="s">
        <v>1933</v>
      </c>
      <c r="K345" s="332">
        <v>3.512651139E9</v>
      </c>
      <c r="L345" s="292"/>
      <c r="M345" s="294"/>
      <c r="N345" s="290" t="s">
        <v>407</v>
      </c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</row>
    <row r="346">
      <c r="A346" s="285" t="s">
        <v>1896</v>
      </c>
      <c r="B346" s="286" t="s">
        <v>1934</v>
      </c>
      <c r="C346" s="287">
        <v>436.0</v>
      </c>
      <c r="D346" s="288" t="s">
        <v>1935</v>
      </c>
      <c r="E346" s="289" t="s">
        <v>73</v>
      </c>
      <c r="F346" s="290" t="s">
        <v>396</v>
      </c>
      <c r="G346" s="289">
        <v>3.547641285E9</v>
      </c>
      <c r="H346" s="291" t="s">
        <v>1936</v>
      </c>
      <c r="I346" s="294"/>
      <c r="J346" s="326" t="s">
        <v>1937</v>
      </c>
      <c r="K346" s="332">
        <v>3.547633204E9</v>
      </c>
      <c r="L346" s="292"/>
      <c r="M346" s="294"/>
      <c r="N346" s="290" t="s">
        <v>407</v>
      </c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</row>
    <row r="347">
      <c r="A347" s="285" t="s">
        <v>1896</v>
      </c>
      <c r="B347" s="286" t="s">
        <v>1938</v>
      </c>
      <c r="C347" s="287">
        <v>1.092</v>
      </c>
      <c r="D347" s="288" t="s">
        <v>1939</v>
      </c>
      <c r="E347" s="289" t="s">
        <v>73</v>
      </c>
      <c r="F347" s="290" t="s">
        <v>396</v>
      </c>
      <c r="G347" s="289">
        <v>3.513624984E9</v>
      </c>
      <c r="H347" s="291" t="s">
        <v>1940</v>
      </c>
      <c r="I347" s="292"/>
      <c r="J347" s="25" t="s">
        <v>1941</v>
      </c>
      <c r="K347" s="27">
        <v>3.515395754E9</v>
      </c>
      <c r="L347" s="292"/>
      <c r="M347" s="27" t="s">
        <v>401</v>
      </c>
      <c r="N347" s="290" t="s">
        <v>407</v>
      </c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</row>
    <row r="348">
      <c r="A348" s="285" t="s">
        <v>1896</v>
      </c>
      <c r="B348" s="286" t="s">
        <v>1942</v>
      </c>
      <c r="C348" s="287">
        <v>1.041</v>
      </c>
      <c r="D348" s="288" t="s">
        <v>1943</v>
      </c>
      <c r="E348" s="289" t="s">
        <v>96</v>
      </c>
      <c r="F348" s="290" t="s">
        <v>396</v>
      </c>
      <c r="G348" s="289">
        <v>3.572446468E9</v>
      </c>
      <c r="H348" s="291" t="s">
        <v>1944</v>
      </c>
      <c r="I348" s="292"/>
      <c r="J348" s="25" t="s">
        <v>1945</v>
      </c>
      <c r="K348" s="27">
        <v>3.572509587E9</v>
      </c>
      <c r="L348" s="292"/>
      <c r="M348" s="294"/>
      <c r="N348" s="290" t="s">
        <v>407</v>
      </c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</row>
    <row r="349">
      <c r="A349" s="285" t="s">
        <v>1896</v>
      </c>
      <c r="B349" s="286" t="s">
        <v>1946</v>
      </c>
      <c r="C349" s="287">
        <v>13.102</v>
      </c>
      <c r="D349" s="288" t="s">
        <v>1947</v>
      </c>
      <c r="E349" s="289" t="s">
        <v>96</v>
      </c>
      <c r="F349" s="290" t="s">
        <v>396</v>
      </c>
      <c r="G349" s="289">
        <v>3.512272774E9</v>
      </c>
      <c r="H349" s="291" t="s">
        <v>1948</v>
      </c>
      <c r="I349" s="292"/>
      <c r="J349" s="25" t="s">
        <v>1949</v>
      </c>
      <c r="K349" s="27" t="s">
        <v>1950</v>
      </c>
      <c r="L349" s="292"/>
      <c r="M349" s="294"/>
      <c r="N349" s="317" t="s">
        <v>1270</v>
      </c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</row>
    <row r="350">
      <c r="A350" s="285" t="s">
        <v>1896</v>
      </c>
      <c r="B350" s="286" t="s">
        <v>1951</v>
      </c>
      <c r="C350" s="287">
        <v>535.0</v>
      </c>
      <c r="D350" s="288" t="s">
        <v>1952</v>
      </c>
      <c r="E350" s="289" t="s">
        <v>96</v>
      </c>
      <c r="F350" s="290" t="s">
        <v>396</v>
      </c>
      <c r="G350" s="289">
        <v>3.547599103E9</v>
      </c>
      <c r="H350" s="291" t="s">
        <v>1953</v>
      </c>
      <c r="I350" s="292"/>
      <c r="J350" s="25" t="s">
        <v>1954</v>
      </c>
      <c r="K350" s="332">
        <v>3.54744723E9</v>
      </c>
      <c r="L350" s="292"/>
      <c r="M350" s="294"/>
      <c r="N350" s="290" t="s">
        <v>407</v>
      </c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</row>
    <row r="351">
      <c r="A351" s="285" t="s">
        <v>1896</v>
      </c>
      <c r="B351" s="286" t="s">
        <v>1955</v>
      </c>
      <c r="C351" s="287">
        <v>1.323</v>
      </c>
      <c r="D351" s="288" t="s">
        <v>1956</v>
      </c>
      <c r="E351" s="289" t="s">
        <v>73</v>
      </c>
      <c r="F351" s="293" t="s">
        <v>433</v>
      </c>
      <c r="G351" s="289">
        <v>3.547594277E9</v>
      </c>
      <c r="H351" s="314" t="s">
        <v>1957</v>
      </c>
      <c r="I351" s="289" t="s">
        <v>389</v>
      </c>
      <c r="J351" s="25" t="s">
        <v>1958</v>
      </c>
      <c r="K351" s="27">
        <v>3.547594277E9</v>
      </c>
      <c r="L351" s="292"/>
      <c r="M351" s="294"/>
      <c r="N351" s="290" t="s">
        <v>407</v>
      </c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</row>
    <row r="352">
      <c r="A352" s="285" t="s">
        <v>1896</v>
      </c>
      <c r="B352" s="286" t="s">
        <v>1959</v>
      </c>
      <c r="C352" s="287">
        <v>565.0</v>
      </c>
      <c r="D352" s="288" t="s">
        <v>1960</v>
      </c>
      <c r="E352" s="289" t="s">
        <v>73</v>
      </c>
      <c r="F352" s="290" t="s">
        <v>396</v>
      </c>
      <c r="G352" s="289">
        <v>3.547500092E9</v>
      </c>
      <c r="H352" s="309" t="s">
        <v>1961</v>
      </c>
      <c r="I352" s="292"/>
      <c r="J352" s="25" t="s">
        <v>1962</v>
      </c>
      <c r="K352" s="27" t="s">
        <v>1963</v>
      </c>
      <c r="L352" s="292"/>
      <c r="M352" s="292"/>
      <c r="N352" s="297" t="s">
        <v>419</v>
      </c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</row>
    <row r="353">
      <c r="A353" s="285" t="s">
        <v>1896</v>
      </c>
      <c r="B353" s="286" t="s">
        <v>1964</v>
      </c>
      <c r="C353" s="287">
        <v>240.0</v>
      </c>
      <c r="D353" s="288" t="s">
        <v>1965</v>
      </c>
      <c r="E353" s="289" t="s">
        <v>73</v>
      </c>
      <c r="F353" s="296" t="s">
        <v>595</v>
      </c>
      <c r="G353" s="289">
        <v>3.547466176E9</v>
      </c>
      <c r="H353" s="291" t="s">
        <v>1966</v>
      </c>
      <c r="I353" s="292"/>
      <c r="J353" s="25" t="s">
        <v>1967</v>
      </c>
      <c r="K353" s="27" t="s">
        <v>1968</v>
      </c>
      <c r="L353" s="292"/>
      <c r="M353" s="292"/>
      <c r="N353" s="297" t="s">
        <v>419</v>
      </c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</row>
    <row r="354">
      <c r="A354" s="285" t="s">
        <v>1896</v>
      </c>
      <c r="B354" s="286" t="s">
        <v>1969</v>
      </c>
      <c r="C354" s="287">
        <v>4.107</v>
      </c>
      <c r="D354" s="288" t="s">
        <v>1970</v>
      </c>
      <c r="E354" s="289" t="s">
        <v>96</v>
      </c>
      <c r="F354" s="290" t="s">
        <v>396</v>
      </c>
      <c r="G354" s="289">
        <v>3.512327963E9</v>
      </c>
      <c r="H354" s="291" t="s">
        <v>1971</v>
      </c>
      <c r="I354" s="292"/>
      <c r="J354" s="25" t="s">
        <v>1972</v>
      </c>
      <c r="K354" s="27" t="s">
        <v>1973</v>
      </c>
      <c r="L354" s="292"/>
      <c r="M354" s="292"/>
      <c r="N354" s="297" t="s">
        <v>419</v>
      </c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</row>
    <row r="355">
      <c r="A355" s="285" t="s">
        <v>1896</v>
      </c>
      <c r="B355" s="286" t="s">
        <v>1974</v>
      </c>
      <c r="C355" s="287">
        <v>762.0</v>
      </c>
      <c r="D355" s="288" t="s">
        <v>1975</v>
      </c>
      <c r="E355" s="289" t="s">
        <v>73</v>
      </c>
      <c r="F355" s="290" t="s">
        <v>396</v>
      </c>
      <c r="G355" s="289">
        <v>3.547448881E9</v>
      </c>
      <c r="H355" s="291" t="s">
        <v>1976</v>
      </c>
      <c r="I355" s="292"/>
      <c r="J355" s="25" t="s">
        <v>1977</v>
      </c>
      <c r="K355" s="341">
        <v>3.547479854E9</v>
      </c>
      <c r="L355" s="292"/>
      <c r="M355" s="294"/>
      <c r="N355" s="290" t="s">
        <v>407</v>
      </c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</row>
    <row r="356">
      <c r="A356" s="285" t="s">
        <v>1896</v>
      </c>
      <c r="B356" s="286" t="s">
        <v>1978</v>
      </c>
      <c r="C356" s="287">
        <v>2861.0</v>
      </c>
      <c r="D356" s="288" t="s">
        <v>1979</v>
      </c>
      <c r="E356" s="289" t="s">
        <v>96</v>
      </c>
      <c r="F356" s="290" t="s">
        <v>396</v>
      </c>
      <c r="G356" s="289">
        <v>3.547570787E9</v>
      </c>
      <c r="H356" s="291" t="s">
        <v>1980</v>
      </c>
      <c r="I356" s="292"/>
      <c r="J356" s="25" t="s">
        <v>1981</v>
      </c>
      <c r="K356" s="292"/>
      <c r="L356" s="292"/>
      <c r="M356" s="292"/>
      <c r="N356" s="320" t="s">
        <v>995</v>
      </c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</row>
    <row r="357">
      <c r="A357" s="285" t="s">
        <v>1896</v>
      </c>
      <c r="B357" s="286" t="s">
        <v>1982</v>
      </c>
      <c r="C357" s="287">
        <v>487.0</v>
      </c>
      <c r="D357" s="288" t="s">
        <v>1983</v>
      </c>
      <c r="E357" s="289" t="s">
        <v>73</v>
      </c>
      <c r="F357" s="290" t="s">
        <v>396</v>
      </c>
      <c r="G357" s="289" t="s">
        <v>1984</v>
      </c>
      <c r="H357" s="291" t="s">
        <v>1985</v>
      </c>
      <c r="I357" s="292"/>
      <c r="J357" s="25" t="s">
        <v>1986</v>
      </c>
      <c r="K357" s="332">
        <v>3.516860375E9</v>
      </c>
      <c r="L357" s="292"/>
      <c r="M357" s="294"/>
      <c r="N357" s="290" t="s">
        <v>407</v>
      </c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</row>
    <row r="358">
      <c r="A358" s="285" t="s">
        <v>1896</v>
      </c>
      <c r="B358" s="286" t="s">
        <v>1987</v>
      </c>
      <c r="C358" s="287">
        <v>2011.0</v>
      </c>
      <c r="D358" s="288" t="s">
        <v>1988</v>
      </c>
      <c r="E358" s="289" t="s">
        <v>73</v>
      </c>
      <c r="F358" s="296" t="s">
        <v>415</v>
      </c>
      <c r="G358" s="342">
        <v>3.35E16</v>
      </c>
      <c r="H358" s="291" t="s">
        <v>1989</v>
      </c>
      <c r="I358" s="292"/>
      <c r="J358" s="25" t="s">
        <v>365</v>
      </c>
      <c r="K358" s="343" t="s">
        <v>366</v>
      </c>
      <c r="L358" s="292"/>
      <c r="M358" s="292"/>
      <c r="N358" s="297" t="s">
        <v>419</v>
      </c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</row>
    <row r="359">
      <c r="A359" s="285" t="s">
        <v>1896</v>
      </c>
      <c r="B359" s="286" t="s">
        <v>1990</v>
      </c>
      <c r="C359" s="287">
        <v>995.0</v>
      </c>
      <c r="D359" s="288" t="s">
        <v>1991</v>
      </c>
      <c r="E359" s="289" t="s">
        <v>73</v>
      </c>
      <c r="F359" s="290" t="s">
        <v>396</v>
      </c>
      <c r="G359" s="289">
        <v>3.515133493E9</v>
      </c>
      <c r="H359" s="291" t="s">
        <v>1992</v>
      </c>
      <c r="I359" s="292"/>
      <c r="J359" s="25" t="s">
        <v>1993</v>
      </c>
      <c r="K359" s="27" t="s">
        <v>1994</v>
      </c>
      <c r="L359" s="292"/>
      <c r="M359" s="27" t="s">
        <v>401</v>
      </c>
      <c r="N359" s="297" t="s">
        <v>419</v>
      </c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</row>
    <row r="360">
      <c r="A360" s="285" t="s">
        <v>1896</v>
      </c>
      <c r="B360" s="286" t="s">
        <v>1995</v>
      </c>
      <c r="C360" s="287">
        <v>1378.0</v>
      </c>
      <c r="D360" s="288" t="s">
        <v>1996</v>
      </c>
      <c r="E360" s="289" t="s">
        <v>73</v>
      </c>
      <c r="F360" s="296" t="s">
        <v>595</v>
      </c>
      <c r="G360" s="289">
        <v>3.5475914E9</v>
      </c>
      <c r="H360" s="291" t="s">
        <v>1997</v>
      </c>
      <c r="I360" s="292"/>
      <c r="J360" s="25" t="s">
        <v>1998</v>
      </c>
      <c r="K360" s="27" t="s">
        <v>1999</v>
      </c>
      <c r="L360" s="292"/>
      <c r="M360" s="294"/>
      <c r="N360" s="290" t="s">
        <v>407</v>
      </c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</row>
    <row r="361">
      <c r="A361" s="285" t="s">
        <v>1896</v>
      </c>
      <c r="B361" s="286" t="s">
        <v>2000</v>
      </c>
      <c r="C361" s="287">
        <v>1249.0</v>
      </c>
      <c r="D361" s="288" t="s">
        <v>2001</v>
      </c>
      <c r="E361" s="289" t="s">
        <v>73</v>
      </c>
      <c r="F361" s="290" t="s">
        <v>396</v>
      </c>
      <c r="G361" s="289">
        <v>3.547506986E9</v>
      </c>
      <c r="H361" s="291" t="s">
        <v>2002</v>
      </c>
      <c r="I361" s="292"/>
      <c r="J361" s="25" t="s">
        <v>2003</v>
      </c>
      <c r="K361" s="27">
        <v>3.547597269E9</v>
      </c>
      <c r="L361" s="292"/>
      <c r="M361" s="294"/>
      <c r="N361" s="290" t="s">
        <v>407</v>
      </c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</row>
    <row r="362">
      <c r="A362" s="285" t="s">
        <v>2004</v>
      </c>
      <c r="B362" s="286" t="s">
        <v>2005</v>
      </c>
      <c r="C362" s="287">
        <v>362.0</v>
      </c>
      <c r="D362" s="288" t="s">
        <v>2006</v>
      </c>
      <c r="E362" s="289" t="s">
        <v>73</v>
      </c>
      <c r="F362" s="290" t="s">
        <v>396</v>
      </c>
      <c r="G362" s="289">
        <v>3.521400077E9</v>
      </c>
      <c r="H362" s="286" t="s">
        <v>2007</v>
      </c>
      <c r="I362" s="27" t="s">
        <v>389</v>
      </c>
      <c r="J362" s="25" t="s">
        <v>2008</v>
      </c>
      <c r="K362" s="289">
        <v>3.521400077E9</v>
      </c>
      <c r="L362" s="291" t="s">
        <v>2007</v>
      </c>
      <c r="M362" s="294"/>
      <c r="N362" s="290" t="s">
        <v>407</v>
      </c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</row>
    <row r="363">
      <c r="A363" s="285" t="s">
        <v>2004</v>
      </c>
      <c r="B363" s="286" t="s">
        <v>2009</v>
      </c>
      <c r="C363" s="287">
        <v>457.0</v>
      </c>
      <c r="D363" s="288" t="s">
        <v>2010</v>
      </c>
      <c r="E363" s="289" t="s">
        <v>73</v>
      </c>
      <c r="F363" s="290" t="s">
        <v>396</v>
      </c>
      <c r="G363" s="289">
        <v>3.51626613E9</v>
      </c>
      <c r="H363" s="291" t="s">
        <v>2011</v>
      </c>
      <c r="I363" s="292"/>
      <c r="J363" s="25" t="s">
        <v>2012</v>
      </c>
      <c r="K363" s="332">
        <v>3.522649415E9</v>
      </c>
      <c r="L363" s="292"/>
      <c r="M363" s="294"/>
      <c r="N363" s="290" t="s">
        <v>407</v>
      </c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</row>
    <row r="364">
      <c r="A364" s="285" t="s">
        <v>2004</v>
      </c>
      <c r="B364" s="286" t="s">
        <v>2013</v>
      </c>
      <c r="C364" s="287">
        <v>468.0</v>
      </c>
      <c r="D364" s="288" t="s">
        <v>2014</v>
      </c>
      <c r="E364" s="289" t="s">
        <v>73</v>
      </c>
      <c r="F364" s="296" t="s">
        <v>415</v>
      </c>
      <c r="G364" s="289">
        <v>3.522414642E9</v>
      </c>
      <c r="H364" s="291" t="s">
        <v>2015</v>
      </c>
      <c r="I364" s="292"/>
      <c r="J364" s="25" t="s">
        <v>2016</v>
      </c>
      <c r="K364" s="27" t="s">
        <v>2017</v>
      </c>
      <c r="L364" s="298" t="s">
        <v>2018</v>
      </c>
      <c r="M364" s="27" t="s">
        <v>401</v>
      </c>
      <c r="N364" s="297" t="s">
        <v>419</v>
      </c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</row>
    <row r="365">
      <c r="A365" s="285" t="s">
        <v>2004</v>
      </c>
      <c r="B365" s="286" t="s">
        <v>2019</v>
      </c>
      <c r="C365" s="287">
        <v>2506.0</v>
      </c>
      <c r="D365" s="288" t="s">
        <v>2020</v>
      </c>
      <c r="E365" s="289" t="s">
        <v>96</v>
      </c>
      <c r="F365" s="290" t="s">
        <v>396</v>
      </c>
      <c r="G365" s="289">
        <v>3.522648167E9</v>
      </c>
      <c r="H365" s="291" t="s">
        <v>2021</v>
      </c>
      <c r="I365" s="294"/>
      <c r="J365" s="326" t="s">
        <v>2022</v>
      </c>
      <c r="K365" s="27" t="s">
        <v>2023</v>
      </c>
      <c r="L365" s="292"/>
      <c r="M365" s="292"/>
      <c r="N365" s="297" t="s">
        <v>419</v>
      </c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</row>
    <row r="366">
      <c r="A366" s="285" t="s">
        <v>219</v>
      </c>
      <c r="B366" s="286" t="s">
        <v>2024</v>
      </c>
      <c r="C366" s="287">
        <v>11.845</v>
      </c>
      <c r="D366" s="288" t="s">
        <v>2025</v>
      </c>
      <c r="E366" s="289" t="s">
        <v>96</v>
      </c>
      <c r="F366" s="296" t="s">
        <v>415</v>
      </c>
      <c r="G366" s="289" t="s">
        <v>2026</v>
      </c>
      <c r="H366" s="291" t="s">
        <v>2027</v>
      </c>
      <c r="I366" s="292"/>
      <c r="J366" s="25" t="s">
        <v>2028</v>
      </c>
      <c r="K366" s="27" t="s">
        <v>2026</v>
      </c>
      <c r="L366" s="292"/>
      <c r="M366" s="292"/>
      <c r="N366" s="297" t="s">
        <v>419</v>
      </c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</row>
    <row r="367">
      <c r="A367" s="285" t="s">
        <v>219</v>
      </c>
      <c r="B367" s="286" t="s">
        <v>2029</v>
      </c>
      <c r="C367" s="287">
        <v>541.0</v>
      </c>
      <c r="D367" s="288" t="s">
        <v>2030</v>
      </c>
      <c r="E367" s="289" t="s">
        <v>96</v>
      </c>
      <c r="F367" s="290" t="s">
        <v>396</v>
      </c>
      <c r="G367" s="289">
        <v>3.532466405E9</v>
      </c>
      <c r="H367" s="291" t="s">
        <v>2031</v>
      </c>
      <c r="I367" s="292"/>
      <c r="J367" s="25" t="s">
        <v>2032</v>
      </c>
      <c r="K367" s="27" t="s">
        <v>2033</v>
      </c>
      <c r="L367" s="292"/>
      <c r="M367" s="292"/>
      <c r="N367" s="297" t="s">
        <v>419</v>
      </c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</row>
    <row r="368">
      <c r="A368" s="285" t="s">
        <v>219</v>
      </c>
      <c r="B368" s="286" t="s">
        <v>2034</v>
      </c>
      <c r="C368" s="287">
        <v>1.757</v>
      </c>
      <c r="D368" s="288" t="s">
        <v>2035</v>
      </c>
      <c r="E368" s="289" t="s">
        <v>96</v>
      </c>
      <c r="F368" s="290" t="s">
        <v>396</v>
      </c>
      <c r="G368" s="289">
        <v>3.571693256E9</v>
      </c>
      <c r="H368" s="286" t="s">
        <v>2036</v>
      </c>
      <c r="I368" s="289" t="s">
        <v>389</v>
      </c>
      <c r="J368" s="25" t="s">
        <v>2037</v>
      </c>
      <c r="K368" s="27">
        <v>3.571693256E9</v>
      </c>
      <c r="L368" s="292"/>
      <c r="M368" s="294"/>
      <c r="N368" s="290" t="s">
        <v>407</v>
      </c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</row>
    <row r="369">
      <c r="A369" s="285" t="s">
        <v>219</v>
      </c>
      <c r="B369" s="286" t="s">
        <v>2038</v>
      </c>
      <c r="C369" s="287">
        <v>1.565</v>
      </c>
      <c r="D369" s="288" t="s">
        <v>2039</v>
      </c>
      <c r="E369" s="289" t="s">
        <v>96</v>
      </c>
      <c r="F369" s="290" t="s">
        <v>396</v>
      </c>
      <c r="G369" s="289">
        <v>3.534179509E9</v>
      </c>
      <c r="H369" s="291" t="s">
        <v>2040</v>
      </c>
      <c r="I369" s="292"/>
      <c r="J369" s="25" t="s">
        <v>2041</v>
      </c>
      <c r="K369" s="27" t="s">
        <v>2042</v>
      </c>
      <c r="L369" s="292"/>
      <c r="M369" s="292"/>
      <c r="N369" s="297" t="s">
        <v>419</v>
      </c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</row>
    <row r="370">
      <c r="A370" s="285" t="s">
        <v>219</v>
      </c>
      <c r="B370" s="286" t="s">
        <v>2043</v>
      </c>
      <c r="C370" s="287">
        <v>313.0</v>
      </c>
      <c r="D370" s="288" t="s">
        <v>2044</v>
      </c>
      <c r="E370" s="289" t="s">
        <v>73</v>
      </c>
      <c r="F370" s="296" t="s">
        <v>415</v>
      </c>
      <c r="G370" s="289">
        <v>3.534062226E9</v>
      </c>
      <c r="H370" s="314" t="s">
        <v>2045</v>
      </c>
      <c r="I370" s="289" t="s">
        <v>389</v>
      </c>
      <c r="J370" s="25" t="s">
        <v>2046</v>
      </c>
      <c r="K370" s="27">
        <v>3.534062226E9</v>
      </c>
      <c r="L370" s="292"/>
      <c r="M370" s="292"/>
      <c r="N370" s="312" t="s">
        <v>1228</v>
      </c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</row>
    <row r="371">
      <c r="A371" s="285" t="s">
        <v>219</v>
      </c>
      <c r="B371" s="286" t="s">
        <v>2047</v>
      </c>
      <c r="C371" s="287">
        <v>10.284</v>
      </c>
      <c r="D371" s="288" t="s">
        <v>2048</v>
      </c>
      <c r="E371" s="289" t="s">
        <v>96</v>
      </c>
      <c r="F371" s="296" t="s">
        <v>415</v>
      </c>
      <c r="G371" s="289">
        <v>3.534017099E9</v>
      </c>
      <c r="H371" s="291" t="s">
        <v>2049</v>
      </c>
      <c r="I371" s="292"/>
      <c r="J371" s="25" t="s">
        <v>2050</v>
      </c>
      <c r="K371" s="27" t="s">
        <v>2051</v>
      </c>
      <c r="L371" s="292"/>
      <c r="M371" s="292"/>
      <c r="N371" s="297" t="s">
        <v>419</v>
      </c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</row>
    <row r="372">
      <c r="A372" s="285" t="s">
        <v>219</v>
      </c>
      <c r="B372" s="286" t="s">
        <v>2052</v>
      </c>
      <c r="C372" s="287">
        <v>5.25</v>
      </c>
      <c r="D372" s="288" t="s">
        <v>2053</v>
      </c>
      <c r="E372" s="289" t="s">
        <v>96</v>
      </c>
      <c r="F372" s="296" t="s">
        <v>595</v>
      </c>
      <c r="G372" s="289">
        <v>3.534127755E9</v>
      </c>
      <c r="H372" s="291" t="s">
        <v>2054</v>
      </c>
      <c r="I372" s="292"/>
      <c r="J372" s="25" t="s">
        <v>2055</v>
      </c>
      <c r="K372" s="332">
        <v>3.534097208E9</v>
      </c>
      <c r="L372" s="292"/>
      <c r="M372" s="292"/>
      <c r="N372" s="317" t="s">
        <v>860</v>
      </c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</row>
    <row r="373">
      <c r="A373" s="285" t="s">
        <v>219</v>
      </c>
      <c r="B373" s="286" t="s">
        <v>2056</v>
      </c>
      <c r="C373" s="287">
        <v>190.0</v>
      </c>
      <c r="D373" s="288" t="s">
        <v>2057</v>
      </c>
      <c r="E373" s="289" t="s">
        <v>73</v>
      </c>
      <c r="F373" s="290" t="s">
        <v>396</v>
      </c>
      <c r="G373" s="289">
        <v>3.534187833E9</v>
      </c>
      <c r="H373" s="286" t="s">
        <v>2058</v>
      </c>
      <c r="I373" s="27" t="s">
        <v>389</v>
      </c>
      <c r="J373" s="25" t="s">
        <v>2059</v>
      </c>
      <c r="K373" s="27">
        <v>3.534187833E9</v>
      </c>
      <c r="L373" s="292"/>
      <c r="M373" s="294"/>
      <c r="N373" s="290" t="s">
        <v>407</v>
      </c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</row>
    <row r="374">
      <c r="A374" s="285" t="s">
        <v>219</v>
      </c>
      <c r="B374" s="286" t="s">
        <v>2060</v>
      </c>
      <c r="C374" s="287">
        <v>5.144</v>
      </c>
      <c r="D374" s="288" t="s">
        <v>2061</v>
      </c>
      <c r="E374" s="289" t="s">
        <v>96</v>
      </c>
      <c r="F374" s="290" t="s">
        <v>396</v>
      </c>
      <c r="G374" s="289">
        <v>3.534234615E9</v>
      </c>
      <c r="H374" s="286" t="s">
        <v>2062</v>
      </c>
      <c r="I374" s="27" t="s">
        <v>389</v>
      </c>
      <c r="J374" s="25" t="s">
        <v>2063</v>
      </c>
      <c r="K374" s="27">
        <v>3.534234615E9</v>
      </c>
      <c r="L374" s="292"/>
      <c r="M374" s="294"/>
      <c r="N374" s="290" t="s">
        <v>407</v>
      </c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</row>
    <row r="375">
      <c r="A375" s="285" t="s">
        <v>219</v>
      </c>
      <c r="B375" s="286" t="s">
        <v>2064</v>
      </c>
      <c r="C375" s="287">
        <v>512.0</v>
      </c>
      <c r="D375" s="288" t="s">
        <v>2065</v>
      </c>
      <c r="E375" s="289" t="s">
        <v>96</v>
      </c>
      <c r="F375" s="296" t="s">
        <v>415</v>
      </c>
      <c r="G375" s="289">
        <v>3.534200403E9</v>
      </c>
      <c r="H375" s="291" t="s">
        <v>2066</v>
      </c>
      <c r="I375" s="292"/>
      <c r="J375" s="25" t="s">
        <v>2067</v>
      </c>
      <c r="K375" s="27">
        <v>3.534097208E9</v>
      </c>
      <c r="L375" s="316" t="s">
        <v>2068</v>
      </c>
      <c r="M375" s="294"/>
      <c r="N375" s="290" t="s">
        <v>407</v>
      </c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</row>
    <row r="376">
      <c r="A376" s="285" t="s">
        <v>219</v>
      </c>
      <c r="B376" s="286" t="s">
        <v>2069</v>
      </c>
      <c r="C376" s="287">
        <v>11.809</v>
      </c>
      <c r="D376" s="288" t="s">
        <v>2070</v>
      </c>
      <c r="E376" s="289" t="s">
        <v>96</v>
      </c>
      <c r="F376" s="296" t="s">
        <v>415</v>
      </c>
      <c r="G376" s="289">
        <v>3.515901201E9</v>
      </c>
      <c r="H376" s="286" t="s">
        <v>2071</v>
      </c>
      <c r="I376" s="27" t="s">
        <v>389</v>
      </c>
      <c r="J376" s="25" t="s">
        <v>2072</v>
      </c>
      <c r="K376" s="289">
        <v>3.515901201E9</v>
      </c>
      <c r="L376" s="291" t="s">
        <v>2071</v>
      </c>
      <c r="M376" s="292"/>
      <c r="N376" s="310" t="s">
        <v>2073</v>
      </c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</row>
    <row r="377">
      <c r="A377" s="285" t="s">
        <v>219</v>
      </c>
      <c r="B377" s="286" t="s">
        <v>2074</v>
      </c>
      <c r="C377" s="287">
        <v>95.0</v>
      </c>
      <c r="D377" s="288" t="s">
        <v>2075</v>
      </c>
      <c r="E377" s="289" t="s">
        <v>73</v>
      </c>
      <c r="F377" s="290" t="s">
        <v>396</v>
      </c>
      <c r="G377" s="289">
        <v>3.53422341E9</v>
      </c>
      <c r="H377" s="301"/>
      <c r="I377" s="292"/>
      <c r="J377" s="25" t="s">
        <v>2076</v>
      </c>
      <c r="K377" s="27">
        <v>3.53422341E9</v>
      </c>
      <c r="L377" s="292"/>
      <c r="M377" s="27" t="s">
        <v>401</v>
      </c>
      <c r="N377" s="290" t="s">
        <v>407</v>
      </c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</row>
    <row r="378">
      <c r="A378" s="285" t="s">
        <v>219</v>
      </c>
      <c r="B378" s="286" t="s">
        <v>2077</v>
      </c>
      <c r="C378" s="287">
        <v>1.212</v>
      </c>
      <c r="D378" s="288" t="s">
        <v>2078</v>
      </c>
      <c r="E378" s="289" t="s">
        <v>96</v>
      </c>
      <c r="F378" s="296" t="s">
        <v>595</v>
      </c>
      <c r="G378" s="289">
        <v>3.53246752E9</v>
      </c>
      <c r="H378" s="291" t="s">
        <v>2079</v>
      </c>
      <c r="I378" s="292"/>
      <c r="J378" s="25" t="s">
        <v>2080</v>
      </c>
      <c r="K378" s="27">
        <v>3.532402131E9</v>
      </c>
      <c r="L378" s="292"/>
      <c r="M378" s="292"/>
      <c r="N378" s="297" t="s">
        <v>419</v>
      </c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</row>
    <row r="379">
      <c r="A379" s="285" t="s">
        <v>219</v>
      </c>
      <c r="B379" s="286" t="s">
        <v>2081</v>
      </c>
      <c r="C379" s="287">
        <v>175.0</v>
      </c>
      <c r="D379" s="288" t="s">
        <v>2082</v>
      </c>
      <c r="E379" s="289" t="s">
        <v>73</v>
      </c>
      <c r="F379" s="290" t="s">
        <v>396</v>
      </c>
      <c r="G379" s="289">
        <v>3.534230744E9</v>
      </c>
      <c r="H379" s="291" t="s">
        <v>2083</v>
      </c>
      <c r="I379" s="292"/>
      <c r="J379" s="25" t="s">
        <v>2084</v>
      </c>
      <c r="K379" s="27">
        <v>3.534232764E9</v>
      </c>
      <c r="L379" s="292"/>
      <c r="M379" s="27" t="s">
        <v>401</v>
      </c>
      <c r="N379" s="290" t="s">
        <v>407</v>
      </c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</row>
    <row r="380">
      <c r="A380" s="285" t="s">
        <v>219</v>
      </c>
      <c r="B380" s="286" t="s">
        <v>2085</v>
      </c>
      <c r="C380" s="287">
        <v>46.8</v>
      </c>
      <c r="D380" s="288" t="s">
        <v>2086</v>
      </c>
      <c r="E380" s="289" t="s">
        <v>96</v>
      </c>
      <c r="F380" s="296" t="s">
        <v>415</v>
      </c>
      <c r="G380" s="289">
        <v>3.571561455E9</v>
      </c>
      <c r="H380" s="286" t="s">
        <v>2087</v>
      </c>
      <c r="I380" s="289" t="s">
        <v>389</v>
      </c>
      <c r="J380" s="344" t="s">
        <v>2088</v>
      </c>
      <c r="K380" s="27">
        <v>3.571561455E9</v>
      </c>
      <c r="L380" s="292"/>
      <c r="M380" s="345"/>
      <c r="N380" s="297" t="s">
        <v>419</v>
      </c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</row>
    <row r="381">
      <c r="A381" s="285" t="s">
        <v>219</v>
      </c>
      <c r="B381" s="286" t="s">
        <v>2089</v>
      </c>
      <c r="C381" s="287">
        <v>5.309</v>
      </c>
      <c r="D381" s="288" t="s">
        <v>2090</v>
      </c>
      <c r="E381" s="289" t="s">
        <v>96</v>
      </c>
      <c r="F381" s="290" t="s">
        <v>396</v>
      </c>
      <c r="G381" s="289">
        <v>3.571571329E9</v>
      </c>
      <c r="H381" s="291" t="s">
        <v>2091</v>
      </c>
      <c r="I381" s="292"/>
      <c r="J381" s="25" t="s">
        <v>2092</v>
      </c>
      <c r="K381" s="27" t="s">
        <v>2093</v>
      </c>
      <c r="L381" s="292"/>
      <c r="M381" s="292"/>
      <c r="N381" s="297" t="s">
        <v>419</v>
      </c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</row>
    <row r="382">
      <c r="A382" s="285" t="s">
        <v>219</v>
      </c>
      <c r="B382" s="286" t="s">
        <v>2094</v>
      </c>
      <c r="C382" s="287">
        <v>2.355</v>
      </c>
      <c r="D382" s="288" t="s">
        <v>2095</v>
      </c>
      <c r="E382" s="289" t="s">
        <v>96</v>
      </c>
      <c r="F382" s="290" t="s">
        <v>396</v>
      </c>
      <c r="G382" s="289" t="s">
        <v>2096</v>
      </c>
      <c r="H382" s="291" t="s">
        <v>2097</v>
      </c>
      <c r="I382" s="292"/>
      <c r="J382" s="25" t="s">
        <v>2098</v>
      </c>
      <c r="K382" s="27">
        <v>3.571559451E9</v>
      </c>
      <c r="L382" s="292"/>
      <c r="M382" s="27" t="s">
        <v>401</v>
      </c>
      <c r="N382" s="290" t="s">
        <v>407</v>
      </c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</row>
    <row r="383">
      <c r="A383" s="285" t="s">
        <v>2099</v>
      </c>
      <c r="B383" s="286" t="s">
        <v>2100</v>
      </c>
      <c r="C383" s="287">
        <v>125.0</v>
      </c>
      <c r="D383" s="288" t="s">
        <v>2101</v>
      </c>
      <c r="E383" s="289" t="s">
        <v>73</v>
      </c>
      <c r="F383" s="296" t="s">
        <v>415</v>
      </c>
      <c r="G383" s="289">
        <v>3.525453571E9</v>
      </c>
      <c r="H383" s="291" t="s">
        <v>2102</v>
      </c>
      <c r="I383" s="292"/>
      <c r="J383" s="25" t="s">
        <v>2103</v>
      </c>
      <c r="K383" s="27" t="s">
        <v>2104</v>
      </c>
      <c r="L383" s="292"/>
      <c r="M383" s="294"/>
      <c r="N383" s="290" t="s">
        <v>407</v>
      </c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</row>
    <row r="384">
      <c r="A384" s="285" t="s">
        <v>2099</v>
      </c>
      <c r="B384" s="286" t="s">
        <v>2105</v>
      </c>
      <c r="C384" s="287">
        <v>1.217</v>
      </c>
      <c r="D384" s="288" t="s">
        <v>2106</v>
      </c>
      <c r="E384" s="289" t="s">
        <v>96</v>
      </c>
      <c r="F384" s="296" t="s">
        <v>415</v>
      </c>
      <c r="G384" s="289">
        <v>3.525513428E9</v>
      </c>
      <c r="H384" s="291" t="s">
        <v>2107</v>
      </c>
      <c r="I384" s="292"/>
      <c r="J384" s="25" t="s">
        <v>2108</v>
      </c>
      <c r="K384" s="27" t="s">
        <v>2109</v>
      </c>
      <c r="L384" s="298" t="s">
        <v>2110</v>
      </c>
      <c r="M384" s="294"/>
      <c r="N384" s="290" t="s">
        <v>407</v>
      </c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</row>
    <row r="385">
      <c r="A385" s="285" t="s">
        <v>2099</v>
      </c>
      <c r="B385" s="286" t="s">
        <v>2111</v>
      </c>
      <c r="C385" s="287">
        <v>556.0</v>
      </c>
      <c r="D385" s="288" t="s">
        <v>2112</v>
      </c>
      <c r="E385" s="289" t="s">
        <v>73</v>
      </c>
      <c r="F385" s="296" t="s">
        <v>415</v>
      </c>
      <c r="G385" s="289">
        <v>3.525413834E9</v>
      </c>
      <c r="H385" s="286" t="s">
        <v>2113</v>
      </c>
      <c r="I385" s="289" t="s">
        <v>389</v>
      </c>
      <c r="J385" s="25" t="s">
        <v>2114</v>
      </c>
      <c r="K385" s="289">
        <v>3.525413834E9</v>
      </c>
      <c r="L385" s="291" t="s">
        <v>2113</v>
      </c>
      <c r="M385" s="292"/>
      <c r="N385" s="297" t="s">
        <v>419</v>
      </c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</row>
    <row r="386">
      <c r="A386" s="285" t="s">
        <v>2099</v>
      </c>
      <c r="B386" s="286" t="s">
        <v>2115</v>
      </c>
      <c r="C386" s="287">
        <v>952.0</v>
      </c>
      <c r="D386" s="288" t="s">
        <v>2116</v>
      </c>
      <c r="E386" s="289" t="s">
        <v>73</v>
      </c>
      <c r="F386" s="290" t="s">
        <v>396</v>
      </c>
      <c r="G386" s="289">
        <v>3.525413444E9</v>
      </c>
      <c r="H386" s="291" t="s">
        <v>2117</v>
      </c>
      <c r="I386" s="294"/>
      <c r="J386" s="326" t="s">
        <v>2118</v>
      </c>
      <c r="K386" s="27" t="s">
        <v>2119</v>
      </c>
      <c r="L386" s="292"/>
      <c r="M386" s="294"/>
      <c r="N386" s="290" t="s">
        <v>407</v>
      </c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</row>
    <row r="387">
      <c r="A387" s="285" t="s">
        <v>2099</v>
      </c>
      <c r="B387" s="286" t="s">
        <v>2120</v>
      </c>
      <c r="C387" s="287">
        <v>1.664</v>
      </c>
      <c r="D387" s="288" t="s">
        <v>2121</v>
      </c>
      <c r="E387" s="289" t="s">
        <v>96</v>
      </c>
      <c r="F387" s="290" t="s">
        <v>396</v>
      </c>
      <c r="G387" s="289">
        <v>3.524496715E9</v>
      </c>
      <c r="H387" s="291" t="s">
        <v>2122</v>
      </c>
      <c r="I387" s="292"/>
      <c r="J387" s="25" t="s">
        <v>2123</v>
      </c>
      <c r="K387" s="27">
        <v>3.524497103E9</v>
      </c>
      <c r="L387" s="292"/>
      <c r="M387" s="292"/>
      <c r="N387" s="297" t="s">
        <v>419</v>
      </c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</row>
    <row r="388">
      <c r="A388" s="285" t="s">
        <v>2099</v>
      </c>
      <c r="B388" s="286" t="s">
        <v>2124</v>
      </c>
      <c r="C388" s="287">
        <v>187.0</v>
      </c>
      <c r="D388" s="288" t="s">
        <v>2125</v>
      </c>
      <c r="E388" s="289" t="s">
        <v>73</v>
      </c>
      <c r="F388" s="290" t="s">
        <v>396</v>
      </c>
      <c r="G388" s="289">
        <v>3.524499152E9</v>
      </c>
      <c r="H388" s="291" t="s">
        <v>2126</v>
      </c>
      <c r="I388" s="292"/>
      <c r="J388" s="25" t="s">
        <v>2127</v>
      </c>
      <c r="K388" s="27">
        <v>3.525404306E9</v>
      </c>
      <c r="L388" s="292"/>
      <c r="M388" s="27" t="s">
        <v>401</v>
      </c>
      <c r="N388" s="290" t="s">
        <v>407</v>
      </c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</row>
    <row r="389">
      <c r="A389" s="285" t="s">
        <v>2099</v>
      </c>
      <c r="B389" s="286" t="s">
        <v>2128</v>
      </c>
      <c r="C389" s="287">
        <v>1.455</v>
      </c>
      <c r="D389" s="288" t="s">
        <v>2129</v>
      </c>
      <c r="E389" s="289" t="s">
        <v>96</v>
      </c>
      <c r="F389" s="296" t="s">
        <v>415</v>
      </c>
      <c r="G389" s="289">
        <v>3.525481333E9</v>
      </c>
      <c r="H389" s="286" t="s">
        <v>2130</v>
      </c>
      <c r="I389" s="289" t="s">
        <v>389</v>
      </c>
      <c r="J389" s="25" t="s">
        <v>2131</v>
      </c>
      <c r="K389" s="289">
        <v>3.525481333E9</v>
      </c>
      <c r="L389" s="291" t="s">
        <v>2130</v>
      </c>
      <c r="M389" s="292"/>
      <c r="N389" s="297" t="s">
        <v>419</v>
      </c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</row>
    <row r="390">
      <c r="A390" s="285" t="s">
        <v>2099</v>
      </c>
      <c r="B390" s="286" t="s">
        <v>2132</v>
      </c>
      <c r="C390" s="287">
        <v>350.0</v>
      </c>
      <c r="D390" s="288" t="s">
        <v>2133</v>
      </c>
      <c r="E390" s="289" t="s">
        <v>73</v>
      </c>
      <c r="F390" s="290" t="s">
        <v>396</v>
      </c>
      <c r="G390" s="289">
        <v>3.524403722E9</v>
      </c>
      <c r="H390" s="291" t="s">
        <v>2134</v>
      </c>
      <c r="I390" s="292"/>
      <c r="J390" s="25" t="s">
        <v>2135</v>
      </c>
      <c r="K390" s="27">
        <v>3.524405221E9</v>
      </c>
      <c r="L390" s="292"/>
      <c r="M390" s="27" t="s">
        <v>401</v>
      </c>
      <c r="N390" s="290" t="s">
        <v>407</v>
      </c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</row>
    <row r="391">
      <c r="A391" s="285" t="s">
        <v>2099</v>
      </c>
      <c r="B391" s="286" t="s">
        <v>2136</v>
      </c>
      <c r="C391" s="287">
        <v>1.344</v>
      </c>
      <c r="D391" s="288" t="s">
        <v>2137</v>
      </c>
      <c r="E391" s="289" t="s">
        <v>96</v>
      </c>
      <c r="F391" s="296" t="s">
        <v>415</v>
      </c>
      <c r="G391" s="289">
        <v>3.525447587E9</v>
      </c>
      <c r="H391" s="286" t="s">
        <v>2138</v>
      </c>
      <c r="I391" s="289" t="s">
        <v>389</v>
      </c>
      <c r="J391" s="25" t="s">
        <v>2139</v>
      </c>
      <c r="K391" s="289">
        <v>3.525447587E9</v>
      </c>
      <c r="L391" s="291" t="s">
        <v>2138</v>
      </c>
      <c r="M391" s="292"/>
      <c r="N391" s="297" t="s">
        <v>419</v>
      </c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</row>
    <row r="392">
      <c r="A392" s="285" t="s">
        <v>2099</v>
      </c>
      <c r="B392" s="286" t="s">
        <v>2140</v>
      </c>
      <c r="C392" s="287">
        <v>8.439</v>
      </c>
      <c r="D392" s="288" t="s">
        <v>2141</v>
      </c>
      <c r="E392" s="289" t="s">
        <v>96</v>
      </c>
      <c r="F392" s="290" t="s">
        <v>396</v>
      </c>
      <c r="G392" s="289">
        <v>3.524400403E9</v>
      </c>
      <c r="H392" s="291" t="s">
        <v>2142</v>
      </c>
      <c r="I392" s="292"/>
      <c r="J392" s="25" t="s">
        <v>2143</v>
      </c>
      <c r="K392" s="27">
        <v>3.524647528E9</v>
      </c>
      <c r="L392" s="292"/>
      <c r="M392" s="27" t="s">
        <v>401</v>
      </c>
      <c r="N392" s="297" t="s">
        <v>419</v>
      </c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</row>
    <row r="393">
      <c r="A393" s="285" t="s">
        <v>2144</v>
      </c>
      <c r="B393" s="286" t="s">
        <v>2145</v>
      </c>
      <c r="C393" s="287">
        <v>58.0</v>
      </c>
      <c r="D393" s="288" t="s">
        <v>2146</v>
      </c>
      <c r="E393" s="289" t="s">
        <v>73</v>
      </c>
      <c r="F393" s="290" t="s">
        <v>396</v>
      </c>
      <c r="G393" s="289">
        <v>3.521406125E9</v>
      </c>
      <c r="H393" s="291" t="s">
        <v>2147</v>
      </c>
      <c r="I393" s="292"/>
      <c r="J393" s="25" t="s">
        <v>2148</v>
      </c>
      <c r="K393" s="332">
        <v>3.521473789E9</v>
      </c>
      <c r="L393" s="292"/>
      <c r="M393" s="27" t="s">
        <v>401</v>
      </c>
      <c r="N393" s="290" t="s">
        <v>407</v>
      </c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</row>
    <row r="394">
      <c r="A394" s="285" t="s">
        <v>2144</v>
      </c>
      <c r="B394" s="286" t="s">
        <v>2149</v>
      </c>
      <c r="C394" s="287">
        <v>236.0</v>
      </c>
      <c r="D394" s="288" t="s">
        <v>2150</v>
      </c>
      <c r="E394" s="289" t="s">
        <v>73</v>
      </c>
      <c r="F394" s="290" t="s">
        <v>396</v>
      </c>
      <c r="G394" s="289">
        <v>3.513585586E9</v>
      </c>
      <c r="H394" s="291" t="s">
        <v>2151</v>
      </c>
      <c r="I394" s="292"/>
      <c r="J394" s="25" t="s">
        <v>2152</v>
      </c>
      <c r="K394" s="27" t="s">
        <v>2153</v>
      </c>
      <c r="L394" s="292"/>
      <c r="M394" s="292"/>
      <c r="N394" s="297" t="s">
        <v>419</v>
      </c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</row>
    <row r="395">
      <c r="A395" s="285" t="s">
        <v>2144</v>
      </c>
      <c r="B395" s="286" t="s">
        <v>2154</v>
      </c>
      <c r="C395" s="287">
        <v>1.179</v>
      </c>
      <c r="D395" s="288" t="s">
        <v>2155</v>
      </c>
      <c r="E395" s="289" t="s">
        <v>96</v>
      </c>
      <c r="F395" s="321" t="s">
        <v>1007</v>
      </c>
      <c r="G395" s="289">
        <v>3.516272471E9</v>
      </c>
      <c r="H395" s="286" t="s">
        <v>2156</v>
      </c>
      <c r="I395" s="27" t="s">
        <v>389</v>
      </c>
      <c r="J395" s="25" t="s">
        <v>2157</v>
      </c>
      <c r="K395" s="289">
        <v>3.516272471E9</v>
      </c>
      <c r="L395" s="291" t="s">
        <v>2156</v>
      </c>
      <c r="M395" s="294"/>
      <c r="N395" s="290" t="s">
        <v>407</v>
      </c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</row>
    <row r="396">
      <c r="A396" s="285" t="s">
        <v>2144</v>
      </c>
      <c r="B396" s="286" t="s">
        <v>2158</v>
      </c>
      <c r="C396" s="287">
        <v>881.0</v>
      </c>
      <c r="D396" s="288" t="s">
        <v>2159</v>
      </c>
      <c r="E396" s="289" t="s">
        <v>96</v>
      </c>
      <c r="F396" s="290" t="s">
        <v>396</v>
      </c>
      <c r="G396" s="289" t="s">
        <v>2160</v>
      </c>
      <c r="H396" s="291" t="s">
        <v>2161</v>
      </c>
      <c r="I396" s="292"/>
      <c r="J396" s="25" t="s">
        <v>2162</v>
      </c>
      <c r="K396" s="27" t="s">
        <v>2163</v>
      </c>
      <c r="L396" s="292"/>
      <c r="M396" s="27" t="s">
        <v>401</v>
      </c>
      <c r="N396" s="290" t="s">
        <v>407</v>
      </c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</row>
    <row r="397">
      <c r="A397" s="285" t="s">
        <v>2144</v>
      </c>
      <c r="B397" s="286" t="s">
        <v>2164</v>
      </c>
      <c r="C397" s="287">
        <v>178.0</v>
      </c>
      <c r="D397" s="288" t="s">
        <v>2165</v>
      </c>
      <c r="E397" s="289" t="s">
        <v>73</v>
      </c>
      <c r="F397" s="290" t="s">
        <v>396</v>
      </c>
      <c r="G397" s="345"/>
      <c r="H397" s="291" t="s">
        <v>2166</v>
      </c>
      <c r="I397" s="292"/>
      <c r="J397" s="25" t="s">
        <v>2167</v>
      </c>
      <c r="K397" s="27">
        <v>3.51682959E9</v>
      </c>
      <c r="L397" s="292"/>
      <c r="M397" s="27" t="s">
        <v>401</v>
      </c>
      <c r="N397" s="290" t="s">
        <v>407</v>
      </c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</row>
    <row r="398">
      <c r="A398" s="285" t="s">
        <v>2144</v>
      </c>
      <c r="B398" s="286" t="s">
        <v>2168</v>
      </c>
      <c r="C398" s="287">
        <v>4.51</v>
      </c>
      <c r="D398" s="288" t="s">
        <v>2169</v>
      </c>
      <c r="E398" s="289" t="s">
        <v>96</v>
      </c>
      <c r="F398" s="321" t="s">
        <v>1007</v>
      </c>
      <c r="G398" s="289">
        <v>3.521444888E9</v>
      </c>
      <c r="H398" s="286" t="s">
        <v>2170</v>
      </c>
      <c r="I398" s="289" t="s">
        <v>389</v>
      </c>
      <c r="J398" s="25" t="s">
        <v>2171</v>
      </c>
      <c r="K398" s="289">
        <v>3.521444888E9</v>
      </c>
      <c r="L398" s="291" t="s">
        <v>2170</v>
      </c>
      <c r="M398" s="292"/>
      <c r="N398" s="312" t="s">
        <v>1228</v>
      </c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</row>
    <row r="399">
      <c r="A399" s="285" t="s">
        <v>2144</v>
      </c>
      <c r="B399" s="286" t="s">
        <v>2172</v>
      </c>
      <c r="C399" s="287">
        <v>777.0</v>
      </c>
      <c r="D399" s="288" t="s">
        <v>2173</v>
      </c>
      <c r="E399" s="289" t="s">
        <v>96</v>
      </c>
      <c r="F399" s="290" t="s">
        <v>396</v>
      </c>
      <c r="G399" s="289">
        <v>3.521401241E9</v>
      </c>
      <c r="H399" s="286" t="s">
        <v>2174</v>
      </c>
      <c r="I399" s="27" t="s">
        <v>389</v>
      </c>
      <c r="J399" s="25" t="s">
        <v>2175</v>
      </c>
      <c r="K399" s="27">
        <v>3.521401241E9</v>
      </c>
      <c r="L399" s="292"/>
      <c r="M399" s="294"/>
      <c r="N399" s="290" t="s">
        <v>407</v>
      </c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</row>
    <row r="400">
      <c r="A400" s="285" t="s">
        <v>2144</v>
      </c>
      <c r="B400" s="286" t="s">
        <v>2176</v>
      </c>
      <c r="C400" s="287">
        <v>379.0</v>
      </c>
      <c r="D400" s="288" t="s">
        <v>2177</v>
      </c>
      <c r="E400" s="289" t="s">
        <v>96</v>
      </c>
      <c r="F400" s="321" t="s">
        <v>2178</v>
      </c>
      <c r="G400" s="289">
        <v>3.515104143E9</v>
      </c>
      <c r="H400" s="291" t="s">
        <v>2179</v>
      </c>
      <c r="I400" s="292"/>
      <c r="J400" s="25" t="s">
        <v>2180</v>
      </c>
      <c r="K400" s="332">
        <v>3.513889792E9</v>
      </c>
      <c r="L400" s="292"/>
      <c r="M400" s="294"/>
      <c r="N400" s="290" t="s">
        <v>407</v>
      </c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</row>
    <row r="401">
      <c r="A401" s="285" t="s">
        <v>2144</v>
      </c>
      <c r="B401" s="286" t="s">
        <v>2181</v>
      </c>
      <c r="C401" s="287">
        <v>1.597</v>
      </c>
      <c r="D401" s="288" t="s">
        <v>2182</v>
      </c>
      <c r="E401" s="289" t="s">
        <v>96</v>
      </c>
      <c r="F401" s="296" t="s">
        <v>415</v>
      </c>
      <c r="G401" s="289">
        <v>3.521526816E9</v>
      </c>
      <c r="H401" s="291" t="s">
        <v>2183</v>
      </c>
      <c r="I401" s="292"/>
      <c r="J401" s="25" t="s">
        <v>2184</v>
      </c>
      <c r="K401" s="27" t="s">
        <v>2185</v>
      </c>
      <c r="L401" s="292"/>
      <c r="M401" s="292"/>
      <c r="N401" s="297" t="s">
        <v>419</v>
      </c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</row>
    <row r="402">
      <c r="A402" s="285" t="s">
        <v>2186</v>
      </c>
      <c r="B402" s="286" t="s">
        <v>2187</v>
      </c>
      <c r="C402" s="287">
        <v>201.0</v>
      </c>
      <c r="D402" s="288" t="s">
        <v>2188</v>
      </c>
      <c r="E402" s="289" t="s">
        <v>73</v>
      </c>
      <c r="F402" s="290" t="s">
        <v>396</v>
      </c>
      <c r="G402" s="289">
        <v>3.46856323E9</v>
      </c>
      <c r="H402" s="291" t="s">
        <v>2189</v>
      </c>
      <c r="I402" s="292"/>
      <c r="J402" s="25" t="s">
        <v>2190</v>
      </c>
      <c r="K402" s="27">
        <v>3.463586616E9</v>
      </c>
      <c r="L402" s="292"/>
      <c r="M402" s="27" t="s">
        <v>401</v>
      </c>
      <c r="N402" s="290" t="s">
        <v>407</v>
      </c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</row>
    <row r="403">
      <c r="A403" s="285" t="s">
        <v>2186</v>
      </c>
      <c r="B403" s="286" t="s">
        <v>2191</v>
      </c>
      <c r="C403" s="287">
        <v>817.0</v>
      </c>
      <c r="D403" s="288" t="s">
        <v>2192</v>
      </c>
      <c r="E403" s="289" t="s">
        <v>96</v>
      </c>
      <c r="F403" s="290" t="s">
        <v>933</v>
      </c>
      <c r="G403" s="289">
        <v>3.53566612E9</v>
      </c>
      <c r="H403" s="291" t="s">
        <v>2193</v>
      </c>
      <c r="I403" s="292"/>
      <c r="J403" s="25" t="s">
        <v>2194</v>
      </c>
      <c r="K403" s="27">
        <v>3.535083918E9</v>
      </c>
      <c r="L403" s="292"/>
      <c r="M403" s="292"/>
      <c r="N403" s="297" t="s">
        <v>419</v>
      </c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</row>
    <row r="404">
      <c r="A404" s="285" t="s">
        <v>2186</v>
      </c>
      <c r="B404" s="286" t="s">
        <v>2195</v>
      </c>
      <c r="C404" s="287">
        <v>98.0</v>
      </c>
      <c r="D404" s="288" t="s">
        <v>2196</v>
      </c>
      <c r="E404" s="289" t="s">
        <v>73</v>
      </c>
      <c r="F404" s="290" t="s">
        <v>396</v>
      </c>
      <c r="G404" s="289">
        <v>3.534849503E9</v>
      </c>
      <c r="H404" s="309" t="s">
        <v>2197</v>
      </c>
      <c r="I404" s="292"/>
      <c r="J404" s="25" t="s">
        <v>2198</v>
      </c>
      <c r="K404" s="27" t="s">
        <v>2199</v>
      </c>
      <c r="L404" s="298" t="s">
        <v>2200</v>
      </c>
      <c r="M404" s="27" t="s">
        <v>401</v>
      </c>
      <c r="N404" s="297" t="s">
        <v>419</v>
      </c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</row>
    <row r="405">
      <c r="A405" s="285" t="s">
        <v>2186</v>
      </c>
      <c r="B405" s="286" t="s">
        <v>2201</v>
      </c>
      <c r="C405" s="287">
        <v>3.928</v>
      </c>
      <c r="D405" s="288" t="s">
        <v>2202</v>
      </c>
      <c r="E405" s="289" t="s">
        <v>96</v>
      </c>
      <c r="F405" s="296" t="s">
        <v>595</v>
      </c>
      <c r="G405" s="289">
        <v>3.534115166E9</v>
      </c>
      <c r="H405" s="291" t="s">
        <v>2203</v>
      </c>
      <c r="I405" s="292"/>
      <c r="J405" s="25" t="s">
        <v>2204</v>
      </c>
      <c r="K405" s="27">
        <v>3.534206976E9</v>
      </c>
      <c r="L405" s="292"/>
      <c r="M405" s="27" t="s">
        <v>401</v>
      </c>
      <c r="N405" s="290" t="s">
        <v>407</v>
      </c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</row>
    <row r="406">
      <c r="A406" s="285" t="s">
        <v>2186</v>
      </c>
      <c r="B406" s="286" t="s">
        <v>2205</v>
      </c>
      <c r="C406" s="287">
        <v>538.0</v>
      </c>
      <c r="D406" s="288" t="s">
        <v>2206</v>
      </c>
      <c r="E406" s="289" t="s">
        <v>96</v>
      </c>
      <c r="F406" s="296" t="s">
        <v>595</v>
      </c>
      <c r="G406" s="289">
        <v>3.534172133E9</v>
      </c>
      <c r="H406" s="291" t="s">
        <v>2207</v>
      </c>
      <c r="I406" s="292"/>
      <c r="J406" s="25" t="s">
        <v>2208</v>
      </c>
      <c r="K406" s="27">
        <v>3.534227128E9</v>
      </c>
      <c r="L406" s="292"/>
      <c r="M406" s="27" t="s">
        <v>401</v>
      </c>
      <c r="N406" s="290" t="s">
        <v>407</v>
      </c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</row>
    <row r="407">
      <c r="A407" s="285" t="s">
        <v>2186</v>
      </c>
      <c r="B407" s="286" t="s">
        <v>2209</v>
      </c>
      <c r="C407" s="287">
        <v>34.439</v>
      </c>
      <c r="D407" s="288" t="s">
        <v>2210</v>
      </c>
      <c r="E407" s="289" t="s">
        <v>96</v>
      </c>
      <c r="F407" s="296" t="s">
        <v>415</v>
      </c>
      <c r="G407" s="289">
        <v>3.5373049E9</v>
      </c>
      <c r="H407" s="291" t="s">
        <v>2211</v>
      </c>
      <c r="I407" s="292"/>
      <c r="J407" s="25" t="s">
        <v>2212</v>
      </c>
      <c r="K407" s="27">
        <v>3.515900008E9</v>
      </c>
      <c r="L407" s="292"/>
      <c r="M407" s="292"/>
      <c r="N407" s="346" t="s">
        <v>1228</v>
      </c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</row>
    <row r="408">
      <c r="A408" s="285" t="s">
        <v>2186</v>
      </c>
      <c r="B408" s="286" t="s">
        <v>2213</v>
      </c>
      <c r="C408" s="287">
        <v>704.0</v>
      </c>
      <c r="D408" s="288" t="s">
        <v>2214</v>
      </c>
      <c r="E408" s="289" t="s">
        <v>96</v>
      </c>
      <c r="F408" s="290" t="s">
        <v>396</v>
      </c>
      <c r="G408" s="289">
        <v>3.463450326E9</v>
      </c>
      <c r="H408" s="291" t="s">
        <v>2215</v>
      </c>
      <c r="I408" s="292"/>
      <c r="J408" s="25" t="s">
        <v>2216</v>
      </c>
      <c r="K408" s="27">
        <v>3.463400294E9</v>
      </c>
      <c r="L408" s="292"/>
      <c r="M408" s="294"/>
      <c r="N408" s="290" t="s">
        <v>407</v>
      </c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</row>
    <row r="409">
      <c r="A409" s="285" t="s">
        <v>2186</v>
      </c>
      <c r="B409" s="286" t="s">
        <v>2217</v>
      </c>
      <c r="C409" s="287">
        <v>8.676</v>
      </c>
      <c r="D409" s="288" t="s">
        <v>2218</v>
      </c>
      <c r="E409" s="289" t="s">
        <v>96</v>
      </c>
      <c r="F409" s="290" t="s">
        <v>396</v>
      </c>
      <c r="G409" s="289">
        <v>3.517338862E9</v>
      </c>
      <c r="H409" s="286" t="s">
        <v>2219</v>
      </c>
      <c r="I409" s="289" t="s">
        <v>389</v>
      </c>
      <c r="J409" s="25" t="s">
        <v>2220</v>
      </c>
      <c r="K409" s="27">
        <v>3.517338862E9</v>
      </c>
      <c r="L409" s="292"/>
      <c r="M409" s="294"/>
      <c r="N409" s="290" t="s">
        <v>2221</v>
      </c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</row>
    <row r="410">
      <c r="A410" s="285" t="s">
        <v>2186</v>
      </c>
      <c r="B410" s="286" t="s">
        <v>2222</v>
      </c>
      <c r="C410" s="287">
        <v>614.0</v>
      </c>
      <c r="D410" s="288" t="s">
        <v>2223</v>
      </c>
      <c r="E410" s="289" t="s">
        <v>96</v>
      </c>
      <c r="F410" s="290" t="s">
        <v>396</v>
      </c>
      <c r="G410" s="289">
        <v>3.537680846E9</v>
      </c>
      <c r="H410" s="291" t="s">
        <v>2224</v>
      </c>
      <c r="I410" s="294"/>
      <c r="J410" s="326" t="s">
        <v>2225</v>
      </c>
      <c r="K410" s="27" t="s">
        <v>2226</v>
      </c>
      <c r="L410" s="292"/>
      <c r="M410" s="294"/>
      <c r="N410" s="290" t="s">
        <v>2221</v>
      </c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</row>
    <row r="411">
      <c r="A411" s="285" t="s">
        <v>2186</v>
      </c>
      <c r="B411" s="286" t="s">
        <v>2227</v>
      </c>
      <c r="C411" s="287">
        <v>1.205</v>
      </c>
      <c r="D411" s="288" t="s">
        <v>2228</v>
      </c>
      <c r="E411" s="289" t="s">
        <v>96</v>
      </c>
      <c r="F411" s="290" t="s">
        <v>396</v>
      </c>
      <c r="G411" s="289">
        <v>3.537551349E9</v>
      </c>
      <c r="H411" s="286" t="s">
        <v>2229</v>
      </c>
      <c r="I411" s="289" t="s">
        <v>389</v>
      </c>
      <c r="J411" s="25" t="s">
        <v>2230</v>
      </c>
      <c r="K411" s="27">
        <v>3.537551349E9</v>
      </c>
      <c r="L411" s="292"/>
      <c r="M411" s="294"/>
      <c r="N411" s="290" t="s">
        <v>407</v>
      </c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</row>
    <row r="412">
      <c r="A412" s="285" t="s">
        <v>2186</v>
      </c>
      <c r="B412" s="286" t="s">
        <v>2231</v>
      </c>
      <c r="C412" s="287">
        <v>373.0</v>
      </c>
      <c r="D412" s="288" t="s">
        <v>2232</v>
      </c>
      <c r="E412" s="289" t="s">
        <v>96</v>
      </c>
      <c r="F412" s="290" t="s">
        <v>396</v>
      </c>
      <c r="G412" s="289">
        <v>3.46859686E9</v>
      </c>
      <c r="H412" s="291" t="s">
        <v>2233</v>
      </c>
      <c r="I412" s="292"/>
      <c r="J412" s="25" t="s">
        <v>2234</v>
      </c>
      <c r="K412" s="27">
        <v>3.468563849E9</v>
      </c>
      <c r="L412" s="292"/>
      <c r="M412" s="294"/>
      <c r="N412" s="290" t="s">
        <v>407</v>
      </c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</row>
    <row r="413">
      <c r="A413" s="347"/>
      <c r="B413" s="286" t="s">
        <v>2235</v>
      </c>
      <c r="C413" s="287">
        <v>117.0</v>
      </c>
      <c r="D413" s="288" t="s">
        <v>2236</v>
      </c>
      <c r="E413" s="289" t="s">
        <v>73</v>
      </c>
      <c r="F413" s="290" t="s">
        <v>396</v>
      </c>
      <c r="G413" s="289">
        <v>3.463402656E9</v>
      </c>
      <c r="H413" s="291" t="s">
        <v>2237</v>
      </c>
      <c r="I413" s="292"/>
      <c r="J413" s="25" t="s">
        <v>2238</v>
      </c>
      <c r="K413" s="330" t="s">
        <v>2239</v>
      </c>
      <c r="L413" s="292"/>
      <c r="M413" s="27" t="s">
        <v>401</v>
      </c>
      <c r="N413" s="290" t="s">
        <v>407</v>
      </c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</row>
    <row r="414">
      <c r="A414" s="285" t="s">
        <v>2186</v>
      </c>
      <c r="B414" s="286" t="s">
        <v>2240</v>
      </c>
      <c r="C414" s="287">
        <v>1.556</v>
      </c>
      <c r="D414" s="288" t="s">
        <v>2241</v>
      </c>
      <c r="E414" s="289" t="s">
        <v>96</v>
      </c>
      <c r="F414" s="290" t="s">
        <v>396</v>
      </c>
      <c r="G414" s="289">
        <v>3.537496001E9</v>
      </c>
      <c r="H414" s="314" t="s">
        <v>2242</v>
      </c>
      <c r="I414" s="289" t="s">
        <v>389</v>
      </c>
      <c r="J414" s="25" t="s">
        <v>2243</v>
      </c>
      <c r="K414" s="27">
        <v>3.537595304E9</v>
      </c>
      <c r="L414" s="292"/>
      <c r="M414" s="294"/>
      <c r="N414" s="290" t="s">
        <v>407</v>
      </c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</row>
    <row r="415">
      <c r="A415" s="285" t="s">
        <v>2186</v>
      </c>
      <c r="B415" s="286" t="s">
        <v>2244</v>
      </c>
      <c r="C415" s="287">
        <v>8.569</v>
      </c>
      <c r="D415" s="288" t="s">
        <v>2245</v>
      </c>
      <c r="E415" s="289" t="s">
        <v>96</v>
      </c>
      <c r="F415" s="296" t="s">
        <v>415</v>
      </c>
      <c r="G415" s="289">
        <v>3.537608457E9</v>
      </c>
      <c r="H415" s="291" t="s">
        <v>2246</v>
      </c>
      <c r="I415" s="292"/>
      <c r="J415" s="25" t="s">
        <v>2247</v>
      </c>
      <c r="K415" s="27" t="s">
        <v>2248</v>
      </c>
      <c r="L415" s="292"/>
      <c r="M415" s="292"/>
      <c r="N415" s="297" t="s">
        <v>419</v>
      </c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</row>
    <row r="416">
      <c r="A416" s="285" t="s">
        <v>2186</v>
      </c>
      <c r="B416" s="286" t="s">
        <v>2249</v>
      </c>
      <c r="C416" s="287">
        <v>5.957</v>
      </c>
      <c r="D416" s="288" t="s">
        <v>2250</v>
      </c>
      <c r="E416" s="289" t="s">
        <v>96</v>
      </c>
      <c r="F416" s="296" t="s">
        <v>415</v>
      </c>
      <c r="G416" s="289">
        <v>3.53751252E9</v>
      </c>
      <c r="H416" s="291" t="s">
        <v>2251</v>
      </c>
      <c r="I416" s="292"/>
      <c r="J416" s="25" t="s">
        <v>2252</v>
      </c>
      <c r="K416" s="27" t="s">
        <v>2253</v>
      </c>
      <c r="L416" s="292"/>
      <c r="M416" s="27" t="s">
        <v>401</v>
      </c>
      <c r="N416" s="297" t="s">
        <v>419</v>
      </c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</row>
    <row r="417">
      <c r="A417" s="285" t="s">
        <v>2186</v>
      </c>
      <c r="B417" s="286" t="s">
        <v>2254</v>
      </c>
      <c r="C417" s="287">
        <v>436.0</v>
      </c>
      <c r="D417" s="288" t="s">
        <v>2255</v>
      </c>
      <c r="E417" s="289" t="s">
        <v>96</v>
      </c>
      <c r="F417" s="296" t="s">
        <v>595</v>
      </c>
      <c r="G417" s="289" t="s">
        <v>2256</v>
      </c>
      <c r="H417" s="291" t="s">
        <v>2257</v>
      </c>
      <c r="I417" s="292"/>
      <c r="J417" s="25" t="s">
        <v>2258</v>
      </c>
      <c r="K417" s="27">
        <v>3.537597369E9</v>
      </c>
      <c r="L417" s="292"/>
      <c r="M417" s="292"/>
      <c r="N417" s="317" t="s">
        <v>2259</v>
      </c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</row>
    <row r="418">
      <c r="A418" s="285" t="s">
        <v>2186</v>
      </c>
      <c r="B418" s="286" t="s">
        <v>2260</v>
      </c>
      <c r="C418" s="287">
        <v>7.478</v>
      </c>
      <c r="D418" s="288" t="s">
        <v>2261</v>
      </c>
      <c r="E418" s="289" t="s">
        <v>96</v>
      </c>
      <c r="F418" s="290" t="s">
        <v>396</v>
      </c>
      <c r="G418" s="289" t="s">
        <v>2262</v>
      </c>
      <c r="H418" s="286" t="s">
        <v>2263</v>
      </c>
      <c r="I418" s="289" t="s">
        <v>389</v>
      </c>
      <c r="J418" s="25" t="s">
        <v>2264</v>
      </c>
      <c r="K418" s="289" t="s">
        <v>2262</v>
      </c>
      <c r="L418" s="291" t="s">
        <v>2263</v>
      </c>
      <c r="M418" s="294"/>
      <c r="N418" s="290" t="s">
        <v>407</v>
      </c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</row>
    <row r="419">
      <c r="A419" s="285" t="s">
        <v>2186</v>
      </c>
      <c r="B419" s="286" t="s">
        <v>2265</v>
      </c>
      <c r="C419" s="287">
        <v>3.397</v>
      </c>
      <c r="D419" s="288" t="s">
        <v>2266</v>
      </c>
      <c r="E419" s="289" t="s">
        <v>96</v>
      </c>
      <c r="F419" s="308" t="s">
        <v>557</v>
      </c>
      <c r="G419" s="289">
        <v>3.53755156E9</v>
      </c>
      <c r="H419" s="286" t="s">
        <v>2267</v>
      </c>
      <c r="I419" s="289" t="s">
        <v>389</v>
      </c>
      <c r="J419" s="25" t="s">
        <v>2268</v>
      </c>
      <c r="K419" s="289">
        <v>3.53755156E9</v>
      </c>
      <c r="L419" s="291" t="s">
        <v>2267</v>
      </c>
      <c r="M419" s="292"/>
      <c r="N419" s="317" t="s">
        <v>860</v>
      </c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</row>
    <row r="420">
      <c r="A420" s="285" t="s">
        <v>2186</v>
      </c>
      <c r="B420" s="286" t="s">
        <v>2269</v>
      </c>
      <c r="C420" s="287">
        <v>4.923</v>
      </c>
      <c r="D420" s="288" t="s">
        <v>2270</v>
      </c>
      <c r="E420" s="289" t="s">
        <v>96</v>
      </c>
      <c r="F420" s="290" t="s">
        <v>396</v>
      </c>
      <c r="G420" s="289">
        <v>3.472498555E9</v>
      </c>
      <c r="H420" s="301"/>
      <c r="I420" s="292"/>
      <c r="J420" s="25" t="s">
        <v>2271</v>
      </c>
      <c r="K420" s="289">
        <v>3.472498555E9</v>
      </c>
      <c r="L420" s="292"/>
      <c r="M420" s="294"/>
      <c r="N420" s="290" t="s">
        <v>407</v>
      </c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</row>
    <row r="421">
      <c r="A421" s="285" t="s">
        <v>2186</v>
      </c>
      <c r="B421" s="286" t="s">
        <v>2272</v>
      </c>
      <c r="C421" s="287">
        <v>2.613</v>
      </c>
      <c r="D421" s="288" t="s">
        <v>2273</v>
      </c>
      <c r="E421" s="289" t="s">
        <v>96</v>
      </c>
      <c r="F421" s="290" t="s">
        <v>396</v>
      </c>
      <c r="G421" s="289">
        <v>3.53759335E9</v>
      </c>
      <c r="H421" s="314" t="s">
        <v>2274</v>
      </c>
      <c r="I421" s="289" t="s">
        <v>389</v>
      </c>
      <c r="J421" s="25" t="s">
        <v>2275</v>
      </c>
      <c r="K421" s="289">
        <v>3.53759335E9</v>
      </c>
      <c r="L421" s="309" t="s">
        <v>2274</v>
      </c>
      <c r="M421" s="294"/>
      <c r="N421" s="290" t="s">
        <v>407</v>
      </c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</row>
    <row r="422">
      <c r="A422" s="285" t="s">
        <v>2186</v>
      </c>
      <c r="B422" s="286" t="s">
        <v>2276</v>
      </c>
      <c r="C422" s="287">
        <v>2.779</v>
      </c>
      <c r="D422" s="288" t="s">
        <v>2277</v>
      </c>
      <c r="E422" s="289" t="s">
        <v>96</v>
      </c>
      <c r="F422" s="290" t="s">
        <v>933</v>
      </c>
      <c r="G422" s="289">
        <v>3.534114076E9</v>
      </c>
      <c r="H422" s="291" t="s">
        <v>2278</v>
      </c>
      <c r="I422" s="292"/>
      <c r="J422" s="25" t="s">
        <v>2279</v>
      </c>
      <c r="K422" s="27">
        <v>3.534228178E9</v>
      </c>
      <c r="L422" s="292"/>
      <c r="M422" s="27" t="s">
        <v>401</v>
      </c>
      <c r="N422" s="297" t="s">
        <v>419</v>
      </c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</row>
    <row r="423">
      <c r="A423" s="285" t="s">
        <v>2186</v>
      </c>
      <c r="B423" s="286" t="s">
        <v>2280</v>
      </c>
      <c r="C423" s="287">
        <v>1.662</v>
      </c>
      <c r="D423" s="288" t="s">
        <v>2281</v>
      </c>
      <c r="E423" s="289" t="s">
        <v>96</v>
      </c>
      <c r="F423" s="290" t="s">
        <v>933</v>
      </c>
      <c r="G423" s="289">
        <v>3.463646453E9</v>
      </c>
      <c r="H423" s="291" t="s">
        <v>2282</v>
      </c>
      <c r="I423" s="292"/>
      <c r="J423" s="25" t="s">
        <v>2283</v>
      </c>
      <c r="K423" s="27" t="s">
        <v>2284</v>
      </c>
      <c r="L423" s="292"/>
      <c r="M423" s="292"/>
      <c r="N423" s="317" t="s">
        <v>860</v>
      </c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</row>
    <row r="424">
      <c r="A424" s="285" t="s">
        <v>2186</v>
      </c>
      <c r="B424" s="286" t="s">
        <v>2285</v>
      </c>
      <c r="C424" s="287">
        <v>1.314</v>
      </c>
      <c r="D424" s="288" t="s">
        <v>2286</v>
      </c>
      <c r="E424" s="289" t="s">
        <v>96</v>
      </c>
      <c r="F424" s="290" t="s">
        <v>396</v>
      </c>
      <c r="G424" s="289">
        <v>3.53730346E9</v>
      </c>
      <c r="H424" s="291" t="s">
        <v>2287</v>
      </c>
      <c r="I424" s="292"/>
      <c r="J424" s="25" t="s">
        <v>2288</v>
      </c>
      <c r="K424" s="27" t="s">
        <v>2289</v>
      </c>
      <c r="L424" s="292"/>
      <c r="M424" s="294"/>
      <c r="N424" s="290" t="s">
        <v>407</v>
      </c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</row>
    <row r="425">
      <c r="A425" s="285" t="s">
        <v>2186</v>
      </c>
      <c r="B425" s="286" t="s">
        <v>2290</v>
      </c>
      <c r="C425" s="287">
        <v>3.145</v>
      </c>
      <c r="D425" s="288" t="s">
        <v>2291</v>
      </c>
      <c r="E425" s="289" t="s">
        <v>96</v>
      </c>
      <c r="F425" s="290" t="s">
        <v>396</v>
      </c>
      <c r="G425" s="289" t="s">
        <v>2292</v>
      </c>
      <c r="H425" s="286" t="s">
        <v>2293</v>
      </c>
      <c r="I425" s="27" t="s">
        <v>389</v>
      </c>
      <c r="J425" s="25" t="s">
        <v>2294</v>
      </c>
      <c r="K425" s="289" t="s">
        <v>2292</v>
      </c>
      <c r="L425" s="291" t="s">
        <v>2293</v>
      </c>
      <c r="M425" s="27" t="s">
        <v>401</v>
      </c>
      <c r="N425" s="290" t="s">
        <v>407</v>
      </c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</row>
    <row r="426">
      <c r="A426" s="285" t="s">
        <v>2186</v>
      </c>
      <c r="B426" s="286" t="s">
        <v>2295</v>
      </c>
      <c r="C426" s="287">
        <v>1.594</v>
      </c>
      <c r="D426" s="288" t="s">
        <v>2296</v>
      </c>
      <c r="E426" s="289" t="s">
        <v>96</v>
      </c>
      <c r="F426" s="290" t="s">
        <v>396</v>
      </c>
      <c r="G426" s="289">
        <v>3.463408301E9</v>
      </c>
      <c r="H426" s="291" t="s">
        <v>2297</v>
      </c>
      <c r="I426" s="294"/>
      <c r="J426" s="326" t="s">
        <v>2298</v>
      </c>
      <c r="K426" s="27">
        <v>3.463645544E9</v>
      </c>
      <c r="L426" s="292"/>
      <c r="M426" s="292"/>
      <c r="N426" s="297" t="s">
        <v>419</v>
      </c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</row>
    <row r="427">
      <c r="A427" s="285" t="s">
        <v>2186</v>
      </c>
      <c r="B427" s="286" t="s">
        <v>2299</v>
      </c>
      <c r="C427" s="287">
        <v>26.0</v>
      </c>
      <c r="D427" s="288" t="s">
        <v>2300</v>
      </c>
      <c r="E427" s="289" t="s">
        <v>73</v>
      </c>
      <c r="F427" s="308" t="s">
        <v>557</v>
      </c>
      <c r="G427" s="289">
        <v>3.537444787E9</v>
      </c>
      <c r="H427" s="286" t="s">
        <v>2301</v>
      </c>
      <c r="I427" s="27" t="s">
        <v>389</v>
      </c>
      <c r="J427" s="326" t="s">
        <v>2302</v>
      </c>
      <c r="K427" s="289">
        <v>3.537606085E9</v>
      </c>
      <c r="L427" s="291" t="s">
        <v>2301</v>
      </c>
      <c r="M427" s="292"/>
      <c r="N427" s="317" t="s">
        <v>890</v>
      </c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</row>
    <row r="428">
      <c r="A428" s="285" t="s">
        <v>2186</v>
      </c>
      <c r="B428" s="286" t="s">
        <v>2303</v>
      </c>
      <c r="C428" s="287">
        <v>1.517</v>
      </c>
      <c r="D428" s="288" t="s">
        <v>2304</v>
      </c>
      <c r="E428" s="289" t="s">
        <v>96</v>
      </c>
      <c r="F428" s="290" t="s">
        <v>396</v>
      </c>
      <c r="G428" s="289">
        <v>3.537581801E9</v>
      </c>
      <c r="H428" s="286" t="s">
        <v>2305</v>
      </c>
      <c r="I428" s="27" t="s">
        <v>389</v>
      </c>
      <c r="J428" s="25" t="s">
        <v>2306</v>
      </c>
      <c r="K428" s="289">
        <v>3.537581801E9</v>
      </c>
      <c r="L428" s="291" t="s">
        <v>2305</v>
      </c>
      <c r="M428" s="294"/>
      <c r="N428" s="290" t="s">
        <v>407</v>
      </c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</row>
    <row r="429">
      <c r="A429" s="348"/>
      <c r="B429" s="284"/>
      <c r="C429" s="349"/>
      <c r="D429" s="349"/>
      <c r="E429" s="284"/>
      <c r="F429" s="284"/>
      <c r="G429" s="284"/>
      <c r="H429" s="284"/>
      <c r="I429" s="284"/>
      <c r="J429" s="348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</row>
    <row r="430">
      <c r="A430" s="348"/>
      <c r="B430" s="284"/>
      <c r="C430" s="349"/>
      <c r="D430" s="349"/>
      <c r="E430" s="284"/>
      <c r="F430" s="284"/>
      <c r="G430" s="284"/>
      <c r="H430" s="284"/>
      <c r="I430" s="284"/>
      <c r="J430" s="348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</row>
    <row r="431">
      <c r="A431" s="348"/>
      <c r="B431" s="284"/>
      <c r="C431" s="349"/>
      <c r="D431" s="349"/>
      <c r="E431" s="284"/>
      <c r="F431" s="284"/>
      <c r="G431" s="284"/>
      <c r="H431" s="284"/>
      <c r="I431" s="284"/>
      <c r="J431" s="348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</row>
    <row r="432">
      <c r="A432" s="348"/>
      <c r="B432" s="284"/>
      <c r="C432" s="349"/>
      <c r="D432" s="349"/>
      <c r="E432" s="284"/>
      <c r="F432" s="284"/>
      <c r="G432" s="284"/>
      <c r="H432" s="284"/>
      <c r="I432" s="284"/>
      <c r="J432" s="348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</row>
    <row r="433">
      <c r="A433" s="348"/>
      <c r="B433" s="284"/>
      <c r="C433" s="349"/>
      <c r="D433" s="349"/>
      <c r="E433" s="284"/>
      <c r="F433" s="284"/>
      <c r="G433" s="284"/>
      <c r="H433" s="284"/>
      <c r="I433" s="284"/>
      <c r="J433" s="348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</row>
    <row r="434">
      <c r="A434" s="348"/>
      <c r="B434" s="284"/>
      <c r="C434" s="349"/>
      <c r="D434" s="349"/>
      <c r="E434" s="284"/>
      <c r="F434" s="284"/>
      <c r="G434" s="284"/>
      <c r="H434" s="284"/>
      <c r="I434" s="284"/>
      <c r="J434" s="348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</row>
    <row r="435">
      <c r="A435" s="348"/>
      <c r="B435" s="284"/>
      <c r="C435" s="349"/>
      <c r="D435" s="349"/>
      <c r="E435" s="284"/>
      <c r="F435" s="284"/>
      <c r="G435" s="284"/>
      <c r="H435" s="284"/>
      <c r="I435" s="284"/>
      <c r="J435" s="348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</row>
    <row r="436">
      <c r="A436" s="348"/>
      <c r="B436" s="284"/>
      <c r="C436" s="349"/>
      <c r="D436" s="349"/>
      <c r="E436" s="284"/>
      <c r="F436" s="284"/>
      <c r="G436" s="284"/>
      <c r="H436" s="284"/>
      <c r="I436" s="284"/>
      <c r="J436" s="348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</row>
    <row r="437">
      <c r="A437" s="348"/>
      <c r="B437" s="284"/>
      <c r="C437" s="349"/>
      <c r="D437" s="349"/>
      <c r="E437" s="284"/>
      <c r="F437" s="284"/>
      <c r="G437" s="284"/>
      <c r="H437" s="284"/>
      <c r="I437" s="284"/>
      <c r="J437" s="348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</row>
    <row r="438">
      <c r="A438" s="348"/>
      <c r="B438" s="284"/>
      <c r="C438" s="349"/>
      <c r="D438" s="349"/>
      <c r="E438" s="284"/>
      <c r="F438" s="284"/>
      <c r="G438" s="284"/>
      <c r="H438" s="284"/>
      <c r="I438" s="284"/>
      <c r="J438" s="348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</row>
    <row r="439">
      <c r="A439" s="348"/>
      <c r="B439" s="284"/>
      <c r="C439" s="349"/>
      <c r="D439" s="349"/>
      <c r="E439" s="284"/>
      <c r="F439" s="284"/>
      <c r="G439" s="284"/>
      <c r="H439" s="284"/>
      <c r="I439" s="284"/>
      <c r="J439" s="348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</row>
    <row r="440">
      <c r="A440" s="348"/>
      <c r="B440" s="284"/>
      <c r="C440" s="349"/>
      <c r="D440" s="349"/>
      <c r="E440" s="284"/>
      <c r="F440" s="284"/>
      <c r="G440" s="284"/>
      <c r="H440" s="284"/>
      <c r="I440" s="284"/>
      <c r="J440" s="348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</row>
    <row r="441">
      <c r="A441" s="348"/>
      <c r="B441" s="284"/>
      <c r="C441" s="349"/>
      <c r="D441" s="349"/>
      <c r="E441" s="284"/>
      <c r="F441" s="284"/>
      <c r="G441" s="284"/>
      <c r="H441" s="284"/>
      <c r="I441" s="284"/>
      <c r="J441" s="348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</row>
    <row r="442">
      <c r="A442" s="348"/>
      <c r="B442" s="284"/>
      <c r="C442" s="349"/>
      <c r="D442" s="349"/>
      <c r="E442" s="284"/>
      <c r="F442" s="284"/>
      <c r="G442" s="284"/>
      <c r="H442" s="284"/>
      <c r="I442" s="284"/>
      <c r="J442" s="348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</row>
    <row r="443">
      <c r="A443" s="348"/>
      <c r="B443" s="284"/>
      <c r="C443" s="349"/>
      <c r="D443" s="349"/>
      <c r="E443" s="284"/>
      <c r="F443" s="284"/>
      <c r="G443" s="284"/>
      <c r="H443" s="284"/>
      <c r="I443" s="284"/>
      <c r="J443" s="348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</row>
    <row r="444">
      <c r="A444" s="348"/>
      <c r="B444" s="284"/>
      <c r="C444" s="349"/>
      <c r="D444" s="349"/>
      <c r="E444" s="284"/>
      <c r="F444" s="284"/>
      <c r="G444" s="284"/>
      <c r="H444" s="284"/>
      <c r="I444" s="284"/>
      <c r="J444" s="348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</row>
    <row r="445">
      <c r="A445" s="348"/>
      <c r="B445" s="284"/>
      <c r="C445" s="349"/>
      <c r="D445" s="349"/>
      <c r="E445" s="284"/>
      <c r="F445" s="284"/>
      <c r="G445" s="284"/>
      <c r="H445" s="284"/>
      <c r="I445" s="284"/>
      <c r="J445" s="348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</row>
    <row r="446">
      <c r="A446" s="348"/>
      <c r="B446" s="284"/>
      <c r="C446" s="349"/>
      <c r="D446" s="349"/>
      <c r="E446" s="284"/>
      <c r="F446" s="284"/>
      <c r="G446" s="284"/>
      <c r="H446" s="284"/>
      <c r="I446" s="284"/>
      <c r="J446" s="348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</row>
    <row r="447">
      <c r="A447" s="348"/>
      <c r="B447" s="284"/>
      <c r="C447" s="349"/>
      <c r="D447" s="349"/>
      <c r="E447" s="284"/>
      <c r="F447" s="284"/>
      <c r="G447" s="284"/>
      <c r="H447" s="284"/>
      <c r="I447" s="284"/>
      <c r="J447" s="348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</row>
    <row r="448">
      <c r="A448" s="348"/>
      <c r="B448" s="284"/>
      <c r="C448" s="349"/>
      <c r="D448" s="349"/>
      <c r="E448" s="284"/>
      <c r="F448" s="284"/>
      <c r="G448" s="284"/>
      <c r="H448" s="284"/>
      <c r="I448" s="284"/>
      <c r="J448" s="348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</row>
    <row r="449">
      <c r="A449" s="348"/>
      <c r="B449" s="284"/>
      <c r="C449" s="349"/>
      <c r="D449" s="349"/>
      <c r="E449" s="284"/>
      <c r="F449" s="284"/>
      <c r="G449" s="284"/>
      <c r="H449" s="284"/>
      <c r="I449" s="284"/>
      <c r="J449" s="348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</row>
    <row r="450">
      <c r="A450" s="348"/>
      <c r="B450" s="284"/>
      <c r="C450" s="349"/>
      <c r="D450" s="349"/>
      <c r="E450" s="284"/>
      <c r="F450" s="284"/>
      <c r="G450" s="284"/>
      <c r="H450" s="284"/>
      <c r="I450" s="284"/>
      <c r="J450" s="348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</row>
    <row r="451">
      <c r="A451" s="348"/>
      <c r="B451" s="284"/>
      <c r="C451" s="349"/>
      <c r="D451" s="349"/>
      <c r="E451" s="284"/>
      <c r="F451" s="284"/>
      <c r="G451" s="284"/>
      <c r="H451" s="284"/>
      <c r="I451" s="284"/>
      <c r="J451" s="348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</row>
    <row r="452">
      <c r="A452" s="348"/>
      <c r="B452" s="284"/>
      <c r="C452" s="349"/>
      <c r="D452" s="349"/>
      <c r="E452" s="284"/>
      <c r="F452" s="284"/>
      <c r="G452" s="284"/>
      <c r="H452" s="284"/>
      <c r="I452" s="284"/>
      <c r="J452" s="348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</row>
    <row r="453">
      <c r="A453" s="348"/>
      <c r="B453" s="284"/>
      <c r="C453" s="349"/>
      <c r="D453" s="349"/>
      <c r="E453" s="284"/>
      <c r="F453" s="284"/>
      <c r="G453" s="284"/>
      <c r="H453" s="284"/>
      <c r="I453" s="284"/>
      <c r="J453" s="348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</row>
    <row r="454">
      <c r="A454" s="348"/>
      <c r="B454" s="284"/>
      <c r="C454" s="349"/>
      <c r="D454" s="349"/>
      <c r="E454" s="284"/>
      <c r="F454" s="284"/>
      <c r="G454" s="284"/>
      <c r="H454" s="284"/>
      <c r="I454" s="284"/>
      <c r="J454" s="348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</row>
    <row r="455">
      <c r="A455" s="348"/>
      <c r="B455" s="284"/>
      <c r="C455" s="349"/>
      <c r="D455" s="349"/>
      <c r="E455" s="284"/>
      <c r="F455" s="284"/>
      <c r="G455" s="284"/>
      <c r="H455" s="284"/>
      <c r="I455" s="284"/>
      <c r="J455" s="348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</row>
    <row r="456">
      <c r="A456" s="348"/>
      <c r="B456" s="284"/>
      <c r="C456" s="349"/>
      <c r="D456" s="349"/>
      <c r="E456" s="284"/>
      <c r="F456" s="284"/>
      <c r="G456" s="284"/>
      <c r="H456" s="284"/>
      <c r="I456" s="284"/>
      <c r="J456" s="348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</row>
    <row r="457">
      <c r="A457" s="348"/>
      <c r="B457" s="284"/>
      <c r="C457" s="349"/>
      <c r="D457" s="349"/>
      <c r="E457" s="284"/>
      <c r="F457" s="284"/>
      <c r="G457" s="284"/>
      <c r="H457" s="284"/>
      <c r="I457" s="284"/>
      <c r="J457" s="348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</row>
    <row r="458">
      <c r="A458" s="348"/>
      <c r="B458" s="284"/>
      <c r="C458" s="349"/>
      <c r="D458" s="349"/>
      <c r="E458" s="284"/>
      <c r="F458" s="284"/>
      <c r="G458" s="284"/>
      <c r="H458" s="284"/>
      <c r="I458" s="284"/>
      <c r="J458" s="348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</row>
    <row r="459">
      <c r="A459" s="348"/>
      <c r="B459" s="284"/>
      <c r="C459" s="349"/>
      <c r="D459" s="349"/>
      <c r="E459" s="284"/>
      <c r="F459" s="284"/>
      <c r="G459" s="284"/>
      <c r="H459" s="284"/>
      <c r="I459" s="284"/>
      <c r="J459" s="348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</row>
    <row r="460">
      <c r="A460" s="348"/>
      <c r="B460" s="284"/>
      <c r="C460" s="349"/>
      <c r="D460" s="349"/>
      <c r="E460" s="284"/>
      <c r="F460" s="284"/>
      <c r="G460" s="284"/>
      <c r="H460" s="284"/>
      <c r="I460" s="284"/>
      <c r="J460" s="348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</row>
    <row r="461">
      <c r="A461" s="348"/>
      <c r="B461" s="284"/>
      <c r="C461" s="349"/>
      <c r="D461" s="349"/>
      <c r="E461" s="284"/>
      <c r="F461" s="284"/>
      <c r="G461" s="284"/>
      <c r="H461" s="284"/>
      <c r="I461" s="284"/>
      <c r="J461" s="348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</row>
    <row r="462">
      <c r="A462" s="348"/>
      <c r="B462" s="284"/>
      <c r="C462" s="349"/>
      <c r="D462" s="349"/>
      <c r="E462" s="284"/>
      <c r="F462" s="284"/>
      <c r="G462" s="284"/>
      <c r="H462" s="284"/>
      <c r="I462" s="284"/>
      <c r="J462" s="348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</row>
    <row r="463">
      <c r="A463" s="348"/>
      <c r="B463" s="284"/>
      <c r="C463" s="349"/>
      <c r="D463" s="349"/>
      <c r="E463" s="284"/>
      <c r="F463" s="284"/>
      <c r="G463" s="284"/>
      <c r="H463" s="284"/>
      <c r="I463" s="284"/>
      <c r="J463" s="348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</row>
    <row r="464">
      <c r="A464" s="348"/>
      <c r="B464" s="284"/>
      <c r="C464" s="349"/>
      <c r="D464" s="349"/>
      <c r="E464" s="284"/>
      <c r="F464" s="284"/>
      <c r="G464" s="284"/>
      <c r="H464" s="284"/>
      <c r="I464" s="284"/>
      <c r="J464" s="348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</row>
    <row r="465">
      <c r="A465" s="348"/>
      <c r="B465" s="284"/>
      <c r="C465" s="349"/>
      <c r="D465" s="349"/>
      <c r="E465" s="284"/>
      <c r="F465" s="284"/>
      <c r="G465" s="284"/>
      <c r="H465" s="284"/>
      <c r="I465" s="284"/>
      <c r="J465" s="348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</row>
    <row r="466">
      <c r="A466" s="348"/>
      <c r="B466" s="284"/>
      <c r="C466" s="349"/>
      <c r="D466" s="349"/>
      <c r="E466" s="284"/>
      <c r="F466" s="284"/>
      <c r="G466" s="284"/>
      <c r="H466" s="284"/>
      <c r="I466" s="284"/>
      <c r="J466" s="348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</row>
    <row r="467">
      <c r="A467" s="348"/>
      <c r="B467" s="284"/>
      <c r="C467" s="349"/>
      <c r="D467" s="349"/>
      <c r="E467" s="284"/>
      <c r="F467" s="284"/>
      <c r="G467" s="284"/>
      <c r="H467" s="284"/>
      <c r="I467" s="284"/>
      <c r="J467" s="348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</row>
    <row r="468">
      <c r="A468" s="348"/>
      <c r="B468" s="284"/>
      <c r="C468" s="349"/>
      <c r="D468" s="349"/>
      <c r="E468" s="284"/>
      <c r="F468" s="284"/>
      <c r="G468" s="284"/>
      <c r="H468" s="284"/>
      <c r="I468" s="284"/>
      <c r="J468" s="348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</row>
    <row r="469">
      <c r="A469" s="348"/>
      <c r="B469" s="284"/>
      <c r="C469" s="349"/>
      <c r="D469" s="349"/>
      <c r="E469" s="284"/>
      <c r="F469" s="284"/>
      <c r="G469" s="284"/>
      <c r="H469" s="284"/>
      <c r="I469" s="284"/>
      <c r="J469" s="348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</row>
    <row r="470">
      <c r="A470" s="348"/>
      <c r="B470" s="284"/>
      <c r="C470" s="349"/>
      <c r="D470" s="349"/>
      <c r="E470" s="284"/>
      <c r="F470" s="284"/>
      <c r="G470" s="284"/>
      <c r="H470" s="284"/>
      <c r="I470" s="284"/>
      <c r="J470" s="348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</row>
    <row r="471">
      <c r="A471" s="348"/>
      <c r="B471" s="284"/>
      <c r="C471" s="349"/>
      <c r="D471" s="349"/>
      <c r="E471" s="284"/>
      <c r="F471" s="284"/>
      <c r="G471" s="284"/>
      <c r="H471" s="284"/>
      <c r="I471" s="284"/>
      <c r="J471" s="348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</row>
    <row r="472">
      <c r="A472" s="348"/>
      <c r="B472" s="284"/>
      <c r="C472" s="349"/>
      <c r="D472" s="349"/>
      <c r="E472" s="284"/>
      <c r="F472" s="284"/>
      <c r="G472" s="284"/>
      <c r="H472" s="284"/>
      <c r="I472" s="284"/>
      <c r="J472" s="348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</row>
    <row r="473">
      <c r="A473" s="348"/>
      <c r="B473" s="284"/>
      <c r="C473" s="349"/>
      <c r="D473" s="349"/>
      <c r="E473" s="284"/>
      <c r="F473" s="284"/>
      <c r="G473" s="284"/>
      <c r="H473" s="284"/>
      <c r="I473" s="284"/>
      <c r="J473" s="348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</row>
    <row r="474">
      <c r="A474" s="348"/>
      <c r="B474" s="284"/>
      <c r="C474" s="349"/>
      <c r="D474" s="349"/>
      <c r="E474" s="284"/>
      <c r="F474" s="284"/>
      <c r="G474" s="284"/>
      <c r="H474" s="284"/>
      <c r="I474" s="284"/>
      <c r="J474" s="348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</row>
    <row r="475">
      <c r="A475" s="348"/>
      <c r="B475" s="284"/>
      <c r="C475" s="349"/>
      <c r="D475" s="349"/>
      <c r="E475" s="284"/>
      <c r="F475" s="284"/>
      <c r="G475" s="284"/>
      <c r="H475" s="284"/>
      <c r="I475" s="284"/>
      <c r="J475" s="348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</row>
    <row r="476">
      <c r="A476" s="348"/>
      <c r="B476" s="284"/>
      <c r="C476" s="349"/>
      <c r="D476" s="349"/>
      <c r="E476" s="284"/>
      <c r="F476" s="284"/>
      <c r="G476" s="284"/>
      <c r="H476" s="284"/>
      <c r="I476" s="284"/>
      <c r="J476" s="348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</row>
    <row r="477">
      <c r="A477" s="348"/>
      <c r="B477" s="284"/>
      <c r="C477" s="349"/>
      <c r="D477" s="349"/>
      <c r="E477" s="284"/>
      <c r="F477" s="284"/>
      <c r="G477" s="284"/>
      <c r="H477" s="284"/>
      <c r="I477" s="284"/>
      <c r="J477" s="348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</row>
    <row r="478">
      <c r="A478" s="348"/>
      <c r="B478" s="284"/>
      <c r="C478" s="349"/>
      <c r="D478" s="349"/>
      <c r="E478" s="284"/>
      <c r="F478" s="284"/>
      <c r="G478" s="284"/>
      <c r="H478" s="284"/>
      <c r="I478" s="284"/>
      <c r="J478" s="348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</row>
    <row r="479">
      <c r="A479" s="348"/>
      <c r="B479" s="284"/>
      <c r="C479" s="349"/>
      <c r="D479" s="349"/>
      <c r="E479" s="284"/>
      <c r="F479" s="284"/>
      <c r="G479" s="284"/>
      <c r="H479" s="284"/>
      <c r="I479" s="284"/>
      <c r="J479" s="348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</row>
    <row r="480">
      <c r="A480" s="348"/>
      <c r="B480" s="284"/>
      <c r="C480" s="349"/>
      <c r="D480" s="349"/>
      <c r="E480" s="284"/>
      <c r="F480" s="284"/>
      <c r="G480" s="284"/>
      <c r="H480" s="284"/>
      <c r="I480" s="284"/>
      <c r="J480" s="348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</row>
    <row r="481">
      <c r="A481" s="348"/>
      <c r="B481" s="284"/>
      <c r="C481" s="349"/>
      <c r="D481" s="349"/>
      <c r="E481" s="284"/>
      <c r="F481" s="284"/>
      <c r="G481" s="284"/>
      <c r="H481" s="284"/>
      <c r="I481" s="284"/>
      <c r="J481" s="348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</row>
    <row r="482">
      <c r="A482" s="348"/>
      <c r="B482" s="284"/>
      <c r="C482" s="349"/>
      <c r="D482" s="349"/>
      <c r="E482" s="284"/>
      <c r="F482" s="284"/>
      <c r="G482" s="284"/>
      <c r="H482" s="284"/>
      <c r="I482" s="284"/>
      <c r="J482" s="348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</row>
    <row r="483">
      <c r="A483" s="348"/>
      <c r="B483" s="284"/>
      <c r="C483" s="349"/>
      <c r="D483" s="349"/>
      <c r="E483" s="284"/>
      <c r="F483" s="284"/>
      <c r="G483" s="284"/>
      <c r="H483" s="284"/>
      <c r="I483" s="284"/>
      <c r="J483" s="348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</row>
    <row r="484">
      <c r="A484" s="348"/>
      <c r="B484" s="284"/>
      <c r="C484" s="349"/>
      <c r="D484" s="349"/>
      <c r="E484" s="284"/>
      <c r="F484" s="284"/>
      <c r="G484" s="284"/>
      <c r="H484" s="284"/>
      <c r="I484" s="284"/>
      <c r="J484" s="348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</row>
    <row r="485">
      <c r="A485" s="348"/>
      <c r="B485" s="284"/>
      <c r="C485" s="349"/>
      <c r="D485" s="349"/>
      <c r="E485" s="284"/>
      <c r="F485" s="284"/>
      <c r="G485" s="284"/>
      <c r="H485" s="284"/>
      <c r="I485" s="284"/>
      <c r="J485" s="348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</row>
    <row r="486">
      <c r="A486" s="348"/>
      <c r="B486" s="284"/>
      <c r="C486" s="349"/>
      <c r="D486" s="349"/>
      <c r="E486" s="284"/>
      <c r="F486" s="284"/>
      <c r="G486" s="284"/>
      <c r="H486" s="284"/>
      <c r="I486" s="284"/>
      <c r="J486" s="348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</row>
    <row r="487">
      <c r="A487" s="348"/>
      <c r="B487" s="284"/>
      <c r="C487" s="349"/>
      <c r="D487" s="349"/>
      <c r="E487" s="284"/>
      <c r="F487" s="284"/>
      <c r="G487" s="284"/>
      <c r="H487" s="284"/>
      <c r="I487" s="284"/>
      <c r="J487" s="348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</row>
    <row r="488">
      <c r="A488" s="348"/>
      <c r="B488" s="284"/>
      <c r="C488" s="349"/>
      <c r="D488" s="349"/>
      <c r="E488" s="284"/>
      <c r="F488" s="284"/>
      <c r="G488" s="284"/>
      <c r="H488" s="284"/>
      <c r="I488" s="284"/>
      <c r="J488" s="348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</row>
    <row r="489">
      <c r="A489" s="348"/>
      <c r="B489" s="284"/>
      <c r="C489" s="349"/>
      <c r="D489" s="349"/>
      <c r="E489" s="284"/>
      <c r="F489" s="284"/>
      <c r="G489" s="284"/>
      <c r="H489" s="284"/>
      <c r="I489" s="284"/>
      <c r="J489" s="348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</row>
    <row r="490">
      <c r="A490" s="348"/>
      <c r="B490" s="284"/>
      <c r="C490" s="349"/>
      <c r="D490" s="349"/>
      <c r="E490" s="284"/>
      <c r="F490" s="284"/>
      <c r="G490" s="284"/>
      <c r="H490" s="284"/>
      <c r="I490" s="284"/>
      <c r="J490" s="348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</row>
    <row r="491">
      <c r="A491" s="348"/>
      <c r="B491" s="284"/>
      <c r="C491" s="349"/>
      <c r="D491" s="349"/>
      <c r="E491" s="284"/>
      <c r="F491" s="284"/>
      <c r="G491" s="284"/>
      <c r="H491" s="284"/>
      <c r="I491" s="284"/>
      <c r="J491" s="348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</row>
    <row r="492">
      <c r="A492" s="348"/>
      <c r="B492" s="284"/>
      <c r="C492" s="349"/>
      <c r="D492" s="349"/>
      <c r="E492" s="284"/>
      <c r="F492" s="284"/>
      <c r="G492" s="284"/>
      <c r="H492" s="284"/>
      <c r="I492" s="284"/>
      <c r="J492" s="348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</row>
    <row r="493">
      <c r="A493" s="348"/>
      <c r="B493" s="284"/>
      <c r="C493" s="349"/>
      <c r="D493" s="349"/>
      <c r="E493" s="284"/>
      <c r="F493" s="284"/>
      <c r="G493" s="284"/>
      <c r="H493" s="284"/>
      <c r="I493" s="284"/>
      <c r="J493" s="348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</row>
    <row r="494">
      <c r="A494" s="348"/>
      <c r="B494" s="284"/>
      <c r="C494" s="349"/>
      <c r="D494" s="349"/>
      <c r="E494" s="284"/>
      <c r="F494" s="284"/>
      <c r="G494" s="284"/>
      <c r="H494" s="284"/>
      <c r="I494" s="284"/>
      <c r="J494" s="348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</row>
    <row r="495">
      <c r="A495" s="348"/>
      <c r="B495" s="284"/>
      <c r="C495" s="349"/>
      <c r="D495" s="349"/>
      <c r="E495" s="284"/>
      <c r="F495" s="284"/>
      <c r="G495" s="284"/>
      <c r="H495" s="284"/>
      <c r="I495" s="284"/>
      <c r="J495" s="348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</row>
    <row r="496">
      <c r="A496" s="348"/>
      <c r="B496" s="284"/>
      <c r="C496" s="349"/>
      <c r="D496" s="349"/>
      <c r="E496" s="284"/>
      <c r="F496" s="284"/>
      <c r="G496" s="284"/>
      <c r="H496" s="284"/>
      <c r="I496" s="284"/>
      <c r="J496" s="348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</row>
    <row r="497">
      <c r="A497" s="348"/>
      <c r="B497" s="284"/>
      <c r="C497" s="349"/>
      <c r="D497" s="349"/>
      <c r="E497" s="284"/>
      <c r="F497" s="284"/>
      <c r="G497" s="284"/>
      <c r="H497" s="284"/>
      <c r="I497" s="284"/>
      <c r="J497" s="348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</row>
    <row r="498">
      <c r="A498" s="348"/>
      <c r="B498" s="284"/>
      <c r="C498" s="349"/>
      <c r="D498" s="349"/>
      <c r="E498" s="284"/>
      <c r="F498" s="284"/>
      <c r="G498" s="284"/>
      <c r="H498" s="284"/>
      <c r="I498" s="284"/>
      <c r="J498" s="348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</row>
    <row r="499">
      <c r="A499" s="348"/>
      <c r="B499" s="284"/>
      <c r="C499" s="349"/>
      <c r="D499" s="349"/>
      <c r="E499" s="284"/>
      <c r="F499" s="284"/>
      <c r="G499" s="284"/>
      <c r="H499" s="284"/>
      <c r="I499" s="284"/>
      <c r="J499" s="348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</row>
    <row r="500">
      <c r="A500" s="348"/>
      <c r="B500" s="284"/>
      <c r="C500" s="349"/>
      <c r="D500" s="349"/>
      <c r="E500" s="284"/>
      <c r="F500" s="284"/>
      <c r="G500" s="284"/>
      <c r="H500" s="284"/>
      <c r="I500" s="284"/>
      <c r="J500" s="348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</row>
    <row r="501">
      <c r="A501" s="348"/>
      <c r="B501" s="284"/>
      <c r="C501" s="349"/>
      <c r="D501" s="349"/>
      <c r="E501" s="284"/>
      <c r="F501" s="284"/>
      <c r="G501" s="284"/>
      <c r="H501" s="284"/>
      <c r="I501" s="284"/>
      <c r="J501" s="348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</row>
    <row r="502">
      <c r="A502" s="348"/>
      <c r="B502" s="284"/>
      <c r="C502" s="349"/>
      <c r="D502" s="349"/>
      <c r="E502" s="284"/>
      <c r="F502" s="284"/>
      <c r="G502" s="284"/>
      <c r="H502" s="284"/>
      <c r="I502" s="284"/>
      <c r="J502" s="348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</row>
    <row r="503">
      <c r="A503" s="348"/>
      <c r="B503" s="284"/>
      <c r="C503" s="349"/>
      <c r="D503" s="349"/>
      <c r="E503" s="284"/>
      <c r="F503" s="284"/>
      <c r="G503" s="284"/>
      <c r="H503" s="284"/>
      <c r="I503" s="284"/>
      <c r="J503" s="348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</row>
    <row r="504">
      <c r="A504" s="348"/>
      <c r="B504" s="284"/>
      <c r="C504" s="349"/>
      <c r="D504" s="349"/>
      <c r="E504" s="284"/>
      <c r="F504" s="284"/>
      <c r="G504" s="284"/>
      <c r="H504" s="284"/>
      <c r="I504" s="284"/>
      <c r="J504" s="348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</row>
    <row r="505">
      <c r="A505" s="348"/>
      <c r="B505" s="284"/>
      <c r="C505" s="349"/>
      <c r="D505" s="349"/>
      <c r="E505" s="284"/>
      <c r="F505" s="284"/>
      <c r="G505" s="284"/>
      <c r="H505" s="284"/>
      <c r="I505" s="284"/>
      <c r="J505" s="348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</row>
    <row r="506">
      <c r="A506" s="348"/>
      <c r="B506" s="284"/>
      <c r="C506" s="349"/>
      <c r="D506" s="349"/>
      <c r="E506" s="284"/>
      <c r="F506" s="284"/>
      <c r="G506" s="284"/>
      <c r="H506" s="284"/>
      <c r="I506" s="284"/>
      <c r="J506" s="348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</row>
    <row r="507">
      <c r="A507" s="348"/>
      <c r="B507" s="284"/>
      <c r="C507" s="349"/>
      <c r="D507" s="349"/>
      <c r="E507" s="284"/>
      <c r="F507" s="284"/>
      <c r="G507" s="284"/>
      <c r="H507" s="284"/>
      <c r="I507" s="284"/>
      <c r="J507" s="348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</row>
    <row r="508">
      <c r="A508" s="348"/>
      <c r="B508" s="284"/>
      <c r="C508" s="349"/>
      <c r="D508" s="349"/>
      <c r="E508" s="284"/>
      <c r="F508" s="284"/>
      <c r="G508" s="284"/>
      <c r="H508" s="284"/>
      <c r="I508" s="284"/>
      <c r="J508" s="348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</row>
    <row r="509">
      <c r="A509" s="348"/>
      <c r="B509" s="284"/>
      <c r="C509" s="349"/>
      <c r="D509" s="349"/>
      <c r="E509" s="284"/>
      <c r="F509" s="284"/>
      <c r="G509" s="284"/>
      <c r="H509" s="284"/>
      <c r="I509" s="284"/>
      <c r="J509" s="348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</row>
    <row r="510">
      <c r="A510" s="348"/>
      <c r="B510" s="284"/>
      <c r="C510" s="349"/>
      <c r="D510" s="349"/>
      <c r="E510" s="284"/>
      <c r="F510" s="284"/>
      <c r="G510" s="284"/>
      <c r="H510" s="284"/>
      <c r="I510" s="284"/>
      <c r="J510" s="348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</row>
    <row r="511">
      <c r="A511" s="348"/>
      <c r="B511" s="284"/>
      <c r="C511" s="349"/>
      <c r="D511" s="349"/>
      <c r="E511" s="284"/>
      <c r="F511" s="284"/>
      <c r="G511" s="284"/>
      <c r="H511" s="284"/>
      <c r="I511" s="284"/>
      <c r="J511" s="348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</row>
    <row r="512">
      <c r="A512" s="348"/>
      <c r="B512" s="284"/>
      <c r="C512" s="349"/>
      <c r="D512" s="349"/>
      <c r="E512" s="284"/>
      <c r="F512" s="284"/>
      <c r="G512" s="284"/>
      <c r="H512" s="284"/>
      <c r="I512" s="284"/>
      <c r="J512" s="348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</row>
    <row r="513">
      <c r="A513" s="348"/>
      <c r="B513" s="284"/>
      <c r="C513" s="349"/>
      <c r="D513" s="349"/>
      <c r="E513" s="284"/>
      <c r="F513" s="284"/>
      <c r="G513" s="284"/>
      <c r="H513" s="284"/>
      <c r="I513" s="284"/>
      <c r="J513" s="348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</row>
    <row r="514">
      <c r="A514" s="348"/>
      <c r="B514" s="284"/>
      <c r="C514" s="349"/>
      <c r="D514" s="349"/>
      <c r="E514" s="284"/>
      <c r="F514" s="284"/>
      <c r="G514" s="284"/>
      <c r="H514" s="284"/>
      <c r="I514" s="284"/>
      <c r="J514" s="348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</row>
    <row r="515">
      <c r="A515" s="348"/>
      <c r="B515" s="284"/>
      <c r="C515" s="349"/>
      <c r="D515" s="349"/>
      <c r="E515" s="284"/>
      <c r="F515" s="284"/>
      <c r="G515" s="284"/>
      <c r="H515" s="284"/>
      <c r="I515" s="284"/>
      <c r="J515" s="348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</row>
    <row r="516">
      <c r="A516" s="348"/>
      <c r="B516" s="284"/>
      <c r="C516" s="349"/>
      <c r="D516" s="349"/>
      <c r="E516" s="284"/>
      <c r="F516" s="284"/>
      <c r="G516" s="284"/>
      <c r="H516" s="284"/>
      <c r="I516" s="284"/>
      <c r="J516" s="348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</row>
    <row r="517">
      <c r="A517" s="348"/>
      <c r="B517" s="284"/>
      <c r="C517" s="349"/>
      <c r="D517" s="349"/>
      <c r="E517" s="284"/>
      <c r="F517" s="284"/>
      <c r="G517" s="284"/>
      <c r="H517" s="284"/>
      <c r="I517" s="284"/>
      <c r="J517" s="348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  <c r="X517" s="284"/>
    </row>
    <row r="518">
      <c r="A518" s="348"/>
      <c r="B518" s="284"/>
      <c r="C518" s="349"/>
      <c r="D518" s="349"/>
      <c r="E518" s="284"/>
      <c r="F518" s="284"/>
      <c r="G518" s="284"/>
      <c r="H518" s="284"/>
      <c r="I518" s="284"/>
      <c r="J518" s="348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  <c r="X518" s="284"/>
    </row>
    <row r="519">
      <c r="A519" s="348"/>
      <c r="B519" s="284"/>
      <c r="C519" s="349"/>
      <c r="D519" s="349"/>
      <c r="E519" s="284"/>
      <c r="F519" s="284"/>
      <c r="G519" s="284"/>
      <c r="H519" s="284"/>
      <c r="I519" s="284"/>
      <c r="J519" s="348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  <c r="X519" s="284"/>
    </row>
    <row r="520">
      <c r="A520" s="348"/>
      <c r="B520" s="284"/>
      <c r="C520" s="349"/>
      <c r="D520" s="349"/>
      <c r="E520" s="284"/>
      <c r="F520" s="284"/>
      <c r="G520" s="284"/>
      <c r="H520" s="284"/>
      <c r="I520" s="284"/>
      <c r="J520" s="348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  <c r="X520" s="284"/>
    </row>
    <row r="521">
      <c r="A521" s="348"/>
      <c r="B521" s="284"/>
      <c r="C521" s="349"/>
      <c r="D521" s="349"/>
      <c r="E521" s="284"/>
      <c r="F521" s="284"/>
      <c r="G521" s="284"/>
      <c r="H521" s="284"/>
      <c r="I521" s="284"/>
      <c r="J521" s="348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  <c r="X521" s="284"/>
    </row>
    <row r="522">
      <c r="A522" s="348"/>
      <c r="B522" s="284"/>
      <c r="C522" s="349"/>
      <c r="D522" s="349"/>
      <c r="E522" s="284"/>
      <c r="F522" s="284"/>
      <c r="G522" s="284"/>
      <c r="H522" s="284"/>
      <c r="I522" s="284"/>
      <c r="J522" s="348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  <c r="X522" s="284"/>
    </row>
    <row r="523">
      <c r="A523" s="348"/>
      <c r="B523" s="284"/>
      <c r="C523" s="349"/>
      <c r="D523" s="349"/>
      <c r="E523" s="284"/>
      <c r="F523" s="284"/>
      <c r="G523" s="284"/>
      <c r="H523" s="284"/>
      <c r="I523" s="284"/>
      <c r="J523" s="348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  <c r="X523" s="284"/>
    </row>
    <row r="524">
      <c r="A524" s="348"/>
      <c r="B524" s="284"/>
      <c r="C524" s="349"/>
      <c r="D524" s="349"/>
      <c r="E524" s="284"/>
      <c r="F524" s="284"/>
      <c r="G524" s="284"/>
      <c r="H524" s="284"/>
      <c r="I524" s="284"/>
      <c r="J524" s="348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  <c r="V524" s="284"/>
      <c r="W524" s="284"/>
      <c r="X524" s="284"/>
    </row>
    <row r="525">
      <c r="A525" s="348"/>
      <c r="B525" s="284"/>
      <c r="C525" s="349"/>
      <c r="D525" s="349"/>
      <c r="E525" s="284"/>
      <c r="F525" s="284"/>
      <c r="G525" s="284"/>
      <c r="H525" s="284"/>
      <c r="I525" s="284"/>
      <c r="J525" s="348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  <c r="V525" s="284"/>
      <c r="W525" s="284"/>
      <c r="X525" s="284"/>
    </row>
    <row r="526">
      <c r="A526" s="348"/>
      <c r="B526" s="284"/>
      <c r="C526" s="349"/>
      <c r="D526" s="349"/>
      <c r="E526" s="284"/>
      <c r="F526" s="284"/>
      <c r="G526" s="284"/>
      <c r="H526" s="284"/>
      <c r="I526" s="284"/>
      <c r="J526" s="348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  <c r="V526" s="284"/>
      <c r="W526" s="284"/>
      <c r="X526" s="284"/>
    </row>
    <row r="527">
      <c r="A527" s="348"/>
      <c r="B527" s="284"/>
      <c r="C527" s="349"/>
      <c r="D527" s="349"/>
      <c r="E527" s="284"/>
      <c r="F527" s="284"/>
      <c r="G527" s="284"/>
      <c r="H527" s="284"/>
      <c r="I527" s="284"/>
      <c r="J527" s="348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  <c r="V527" s="284"/>
      <c r="W527" s="284"/>
      <c r="X527" s="284"/>
    </row>
    <row r="528">
      <c r="A528" s="348"/>
      <c r="B528" s="284"/>
      <c r="C528" s="349"/>
      <c r="D528" s="349"/>
      <c r="E528" s="284"/>
      <c r="F528" s="284"/>
      <c r="G528" s="284"/>
      <c r="H528" s="284"/>
      <c r="I528" s="284"/>
      <c r="J528" s="348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  <c r="V528" s="284"/>
      <c r="W528" s="284"/>
      <c r="X528" s="284"/>
    </row>
    <row r="529">
      <c r="A529" s="348"/>
      <c r="B529" s="284"/>
      <c r="C529" s="349"/>
      <c r="D529" s="349"/>
      <c r="E529" s="284"/>
      <c r="F529" s="284"/>
      <c r="G529" s="284"/>
      <c r="H529" s="284"/>
      <c r="I529" s="284"/>
      <c r="J529" s="348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  <c r="V529" s="284"/>
      <c r="W529" s="284"/>
      <c r="X529" s="284"/>
    </row>
    <row r="530">
      <c r="A530" s="348"/>
      <c r="B530" s="284"/>
      <c r="C530" s="349"/>
      <c r="D530" s="349"/>
      <c r="E530" s="284"/>
      <c r="F530" s="284"/>
      <c r="G530" s="284"/>
      <c r="H530" s="284"/>
      <c r="I530" s="284"/>
      <c r="J530" s="348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  <c r="V530" s="284"/>
      <c r="W530" s="284"/>
      <c r="X530" s="284"/>
    </row>
    <row r="531">
      <c r="A531" s="348"/>
      <c r="B531" s="284"/>
      <c r="C531" s="349"/>
      <c r="D531" s="349"/>
      <c r="E531" s="284"/>
      <c r="F531" s="284"/>
      <c r="G531" s="284"/>
      <c r="H531" s="284"/>
      <c r="I531" s="284"/>
      <c r="J531" s="348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  <c r="V531" s="284"/>
      <c r="W531" s="284"/>
      <c r="X531" s="284"/>
    </row>
    <row r="532">
      <c r="A532" s="348"/>
      <c r="B532" s="284"/>
      <c r="C532" s="349"/>
      <c r="D532" s="349"/>
      <c r="E532" s="284"/>
      <c r="F532" s="284"/>
      <c r="G532" s="284"/>
      <c r="H532" s="284"/>
      <c r="I532" s="284"/>
      <c r="J532" s="348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  <c r="V532" s="284"/>
      <c r="W532" s="284"/>
      <c r="X532" s="284"/>
    </row>
    <row r="533">
      <c r="A533" s="348"/>
      <c r="B533" s="284"/>
      <c r="C533" s="349"/>
      <c r="D533" s="349"/>
      <c r="E533" s="284"/>
      <c r="F533" s="284"/>
      <c r="G533" s="284"/>
      <c r="H533" s="284"/>
      <c r="I533" s="284"/>
      <c r="J533" s="348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  <c r="V533" s="284"/>
      <c r="W533" s="284"/>
      <c r="X533" s="284"/>
    </row>
    <row r="534">
      <c r="A534" s="348"/>
      <c r="B534" s="284"/>
      <c r="C534" s="349"/>
      <c r="D534" s="349"/>
      <c r="E534" s="284"/>
      <c r="F534" s="284"/>
      <c r="G534" s="284"/>
      <c r="H534" s="284"/>
      <c r="I534" s="284"/>
      <c r="J534" s="348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  <c r="V534" s="284"/>
      <c r="W534" s="284"/>
      <c r="X534" s="284"/>
    </row>
    <row r="535">
      <c r="A535" s="348"/>
      <c r="B535" s="284"/>
      <c r="C535" s="349"/>
      <c r="D535" s="349"/>
      <c r="E535" s="284"/>
      <c r="F535" s="284"/>
      <c r="G535" s="284"/>
      <c r="H535" s="284"/>
      <c r="I535" s="284"/>
      <c r="J535" s="348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  <c r="V535" s="284"/>
      <c r="W535" s="284"/>
      <c r="X535" s="284"/>
    </row>
    <row r="536">
      <c r="A536" s="348"/>
      <c r="B536" s="284"/>
      <c r="C536" s="349"/>
      <c r="D536" s="349"/>
      <c r="E536" s="284"/>
      <c r="F536" s="284"/>
      <c r="G536" s="284"/>
      <c r="H536" s="284"/>
      <c r="I536" s="284"/>
      <c r="J536" s="348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  <c r="V536" s="284"/>
      <c r="W536" s="284"/>
      <c r="X536" s="284"/>
    </row>
    <row r="537">
      <c r="A537" s="348"/>
      <c r="B537" s="284"/>
      <c r="C537" s="349"/>
      <c r="D537" s="349"/>
      <c r="E537" s="284"/>
      <c r="F537" s="284"/>
      <c r="G537" s="284"/>
      <c r="H537" s="284"/>
      <c r="I537" s="284"/>
      <c r="J537" s="348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  <c r="V537" s="284"/>
      <c r="W537" s="284"/>
      <c r="X537" s="284"/>
    </row>
    <row r="538">
      <c r="A538" s="348"/>
      <c r="B538" s="284"/>
      <c r="C538" s="349"/>
      <c r="D538" s="349"/>
      <c r="E538" s="284"/>
      <c r="F538" s="284"/>
      <c r="G538" s="284"/>
      <c r="H538" s="284"/>
      <c r="I538" s="284"/>
      <c r="J538" s="348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  <c r="V538" s="284"/>
      <c r="W538" s="284"/>
      <c r="X538" s="284"/>
    </row>
    <row r="539">
      <c r="A539" s="348"/>
      <c r="B539" s="284"/>
      <c r="C539" s="349"/>
      <c r="D539" s="349"/>
      <c r="E539" s="284"/>
      <c r="F539" s="284"/>
      <c r="G539" s="284"/>
      <c r="H539" s="284"/>
      <c r="I539" s="284"/>
      <c r="J539" s="348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  <c r="V539" s="284"/>
      <c r="W539" s="284"/>
      <c r="X539" s="284"/>
    </row>
    <row r="540">
      <c r="A540" s="348"/>
      <c r="B540" s="284"/>
      <c r="C540" s="349"/>
      <c r="D540" s="349"/>
      <c r="E540" s="284"/>
      <c r="F540" s="284"/>
      <c r="G540" s="284"/>
      <c r="H540" s="284"/>
      <c r="I540" s="284"/>
      <c r="J540" s="348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  <c r="V540" s="284"/>
      <c r="W540" s="284"/>
      <c r="X540" s="284"/>
    </row>
    <row r="541">
      <c r="A541" s="348"/>
      <c r="B541" s="284"/>
      <c r="C541" s="349"/>
      <c r="D541" s="349"/>
      <c r="E541" s="284"/>
      <c r="F541" s="284"/>
      <c r="G541" s="284"/>
      <c r="H541" s="284"/>
      <c r="I541" s="284"/>
      <c r="J541" s="348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  <c r="V541" s="284"/>
      <c r="W541" s="284"/>
      <c r="X541" s="284"/>
    </row>
    <row r="542">
      <c r="A542" s="348"/>
      <c r="B542" s="284"/>
      <c r="C542" s="349"/>
      <c r="D542" s="349"/>
      <c r="E542" s="284"/>
      <c r="F542" s="284"/>
      <c r="G542" s="284"/>
      <c r="H542" s="284"/>
      <c r="I542" s="284"/>
      <c r="J542" s="348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  <c r="V542" s="284"/>
      <c r="W542" s="284"/>
      <c r="X542" s="284"/>
    </row>
    <row r="543">
      <c r="A543" s="348"/>
      <c r="B543" s="284"/>
      <c r="C543" s="349"/>
      <c r="D543" s="349"/>
      <c r="E543" s="284"/>
      <c r="F543" s="284"/>
      <c r="G543" s="284"/>
      <c r="H543" s="284"/>
      <c r="I543" s="284"/>
      <c r="J543" s="348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  <c r="V543" s="284"/>
      <c r="W543" s="284"/>
      <c r="X543" s="284"/>
    </row>
    <row r="544">
      <c r="A544" s="348"/>
      <c r="B544" s="284"/>
      <c r="C544" s="349"/>
      <c r="D544" s="349"/>
      <c r="E544" s="284"/>
      <c r="F544" s="284"/>
      <c r="G544" s="284"/>
      <c r="H544" s="284"/>
      <c r="I544" s="284"/>
      <c r="J544" s="348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  <c r="V544" s="284"/>
      <c r="W544" s="284"/>
      <c r="X544" s="284"/>
    </row>
    <row r="545">
      <c r="A545" s="348"/>
      <c r="B545" s="284"/>
      <c r="C545" s="349"/>
      <c r="D545" s="349"/>
      <c r="E545" s="284"/>
      <c r="F545" s="284"/>
      <c r="G545" s="284"/>
      <c r="H545" s="284"/>
      <c r="I545" s="284"/>
      <c r="J545" s="348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</row>
    <row r="546">
      <c r="A546" s="348"/>
      <c r="B546" s="284"/>
      <c r="C546" s="349"/>
      <c r="D546" s="349"/>
      <c r="E546" s="284"/>
      <c r="F546" s="284"/>
      <c r="G546" s="284"/>
      <c r="H546" s="284"/>
      <c r="I546" s="284"/>
      <c r="J546" s="348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</row>
    <row r="547">
      <c r="A547" s="348"/>
      <c r="B547" s="284"/>
      <c r="C547" s="349"/>
      <c r="D547" s="349"/>
      <c r="E547" s="284"/>
      <c r="F547" s="284"/>
      <c r="G547" s="284"/>
      <c r="H547" s="284"/>
      <c r="I547" s="284"/>
      <c r="J547" s="348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  <c r="V547" s="284"/>
      <c r="W547" s="284"/>
      <c r="X547" s="284"/>
    </row>
    <row r="548">
      <c r="A548" s="348"/>
      <c r="B548" s="284"/>
      <c r="C548" s="349"/>
      <c r="D548" s="349"/>
      <c r="E548" s="284"/>
      <c r="F548" s="284"/>
      <c r="G548" s="284"/>
      <c r="H548" s="284"/>
      <c r="I548" s="284"/>
      <c r="J548" s="348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  <c r="V548" s="284"/>
      <c r="W548" s="284"/>
      <c r="X548" s="284"/>
    </row>
    <row r="549">
      <c r="A549" s="348"/>
      <c r="B549" s="284"/>
      <c r="C549" s="349"/>
      <c r="D549" s="349"/>
      <c r="E549" s="284"/>
      <c r="F549" s="284"/>
      <c r="G549" s="284"/>
      <c r="H549" s="284"/>
      <c r="I549" s="284"/>
      <c r="J549" s="348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  <c r="V549" s="284"/>
      <c r="W549" s="284"/>
      <c r="X549" s="284"/>
    </row>
    <row r="550">
      <c r="A550" s="348"/>
      <c r="B550" s="284"/>
      <c r="C550" s="349"/>
      <c r="D550" s="349"/>
      <c r="E550" s="284"/>
      <c r="F550" s="284"/>
      <c r="G550" s="284"/>
      <c r="H550" s="284"/>
      <c r="I550" s="284"/>
      <c r="J550" s="348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  <c r="V550" s="284"/>
      <c r="W550" s="284"/>
      <c r="X550" s="284"/>
    </row>
    <row r="551">
      <c r="A551" s="348"/>
      <c r="B551" s="284"/>
      <c r="C551" s="349"/>
      <c r="D551" s="349"/>
      <c r="E551" s="284"/>
      <c r="F551" s="284"/>
      <c r="G551" s="284"/>
      <c r="H551" s="284"/>
      <c r="I551" s="284"/>
      <c r="J551" s="348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  <c r="V551" s="284"/>
      <c r="W551" s="284"/>
      <c r="X551" s="284"/>
    </row>
    <row r="552">
      <c r="A552" s="348"/>
      <c r="B552" s="284"/>
      <c r="C552" s="349"/>
      <c r="D552" s="349"/>
      <c r="E552" s="284"/>
      <c r="F552" s="284"/>
      <c r="G552" s="284"/>
      <c r="H552" s="284"/>
      <c r="I552" s="284"/>
      <c r="J552" s="348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  <c r="V552" s="284"/>
      <c r="W552" s="284"/>
      <c r="X552" s="284"/>
    </row>
    <row r="553">
      <c r="A553" s="348"/>
      <c r="B553" s="284"/>
      <c r="C553" s="349"/>
      <c r="D553" s="349"/>
      <c r="E553" s="284"/>
      <c r="F553" s="284"/>
      <c r="G553" s="284"/>
      <c r="H553" s="284"/>
      <c r="I553" s="284"/>
      <c r="J553" s="348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  <c r="V553" s="284"/>
      <c r="W553" s="284"/>
      <c r="X553" s="284"/>
    </row>
    <row r="554">
      <c r="A554" s="348"/>
      <c r="B554" s="284"/>
      <c r="C554" s="349"/>
      <c r="D554" s="349"/>
      <c r="E554" s="284"/>
      <c r="F554" s="284"/>
      <c r="G554" s="284"/>
      <c r="H554" s="284"/>
      <c r="I554" s="284"/>
      <c r="J554" s="348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  <c r="V554" s="284"/>
      <c r="W554" s="284"/>
      <c r="X554" s="284"/>
    </row>
    <row r="555">
      <c r="A555" s="348"/>
      <c r="B555" s="284"/>
      <c r="C555" s="349"/>
      <c r="D555" s="349"/>
      <c r="E555" s="284"/>
      <c r="F555" s="284"/>
      <c r="G555" s="284"/>
      <c r="H555" s="284"/>
      <c r="I555" s="284"/>
      <c r="J555" s="348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  <c r="V555" s="284"/>
      <c r="W555" s="284"/>
      <c r="X555" s="284"/>
    </row>
    <row r="556">
      <c r="A556" s="348"/>
      <c r="B556" s="284"/>
      <c r="C556" s="349"/>
      <c r="D556" s="349"/>
      <c r="E556" s="284"/>
      <c r="F556" s="284"/>
      <c r="G556" s="284"/>
      <c r="H556" s="284"/>
      <c r="I556" s="284"/>
      <c r="J556" s="348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  <c r="V556" s="284"/>
      <c r="W556" s="284"/>
      <c r="X556" s="284"/>
    </row>
    <row r="557">
      <c r="A557" s="348"/>
      <c r="B557" s="284"/>
      <c r="C557" s="349"/>
      <c r="D557" s="349"/>
      <c r="E557" s="284"/>
      <c r="F557" s="284"/>
      <c r="G557" s="284"/>
      <c r="H557" s="284"/>
      <c r="I557" s="284"/>
      <c r="J557" s="348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  <c r="V557" s="284"/>
      <c r="W557" s="284"/>
      <c r="X557" s="284"/>
    </row>
    <row r="558">
      <c r="A558" s="348"/>
      <c r="B558" s="284"/>
      <c r="C558" s="349"/>
      <c r="D558" s="349"/>
      <c r="E558" s="284"/>
      <c r="F558" s="284"/>
      <c r="G558" s="284"/>
      <c r="H558" s="284"/>
      <c r="I558" s="284"/>
      <c r="J558" s="348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  <c r="V558" s="284"/>
      <c r="W558" s="284"/>
      <c r="X558" s="284"/>
    </row>
    <row r="559">
      <c r="A559" s="348"/>
      <c r="B559" s="284"/>
      <c r="C559" s="349"/>
      <c r="D559" s="349"/>
      <c r="E559" s="284"/>
      <c r="F559" s="284"/>
      <c r="G559" s="284"/>
      <c r="H559" s="284"/>
      <c r="I559" s="284"/>
      <c r="J559" s="348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  <c r="V559" s="284"/>
      <c r="W559" s="284"/>
      <c r="X559" s="284"/>
    </row>
    <row r="560">
      <c r="A560" s="348"/>
      <c r="B560" s="284"/>
      <c r="C560" s="349"/>
      <c r="D560" s="349"/>
      <c r="E560" s="284"/>
      <c r="F560" s="284"/>
      <c r="G560" s="284"/>
      <c r="H560" s="284"/>
      <c r="I560" s="284"/>
      <c r="J560" s="348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  <c r="V560" s="284"/>
      <c r="W560" s="284"/>
      <c r="X560" s="284"/>
    </row>
    <row r="561">
      <c r="A561" s="348"/>
      <c r="B561" s="284"/>
      <c r="C561" s="349"/>
      <c r="D561" s="349"/>
      <c r="E561" s="284"/>
      <c r="F561" s="284"/>
      <c r="G561" s="284"/>
      <c r="H561" s="284"/>
      <c r="I561" s="284"/>
      <c r="J561" s="348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  <c r="V561" s="284"/>
      <c r="W561" s="284"/>
      <c r="X561" s="284"/>
    </row>
    <row r="562">
      <c r="A562" s="348"/>
      <c r="B562" s="284"/>
      <c r="C562" s="349"/>
      <c r="D562" s="349"/>
      <c r="E562" s="284"/>
      <c r="F562" s="284"/>
      <c r="G562" s="284"/>
      <c r="H562" s="284"/>
      <c r="I562" s="284"/>
      <c r="J562" s="348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</row>
    <row r="563">
      <c r="A563" s="348"/>
      <c r="B563" s="284"/>
      <c r="C563" s="349"/>
      <c r="D563" s="349"/>
      <c r="E563" s="284"/>
      <c r="F563" s="284"/>
      <c r="G563" s="284"/>
      <c r="H563" s="284"/>
      <c r="I563" s="284"/>
      <c r="J563" s="348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  <c r="V563" s="284"/>
      <c r="W563" s="284"/>
      <c r="X563" s="284"/>
    </row>
    <row r="564">
      <c r="A564" s="348"/>
      <c r="B564" s="284"/>
      <c r="C564" s="349"/>
      <c r="D564" s="349"/>
      <c r="E564" s="284"/>
      <c r="F564" s="284"/>
      <c r="G564" s="284"/>
      <c r="H564" s="284"/>
      <c r="I564" s="284"/>
      <c r="J564" s="348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  <c r="V564" s="284"/>
      <c r="W564" s="284"/>
      <c r="X564" s="284"/>
    </row>
    <row r="565">
      <c r="A565" s="348"/>
      <c r="B565" s="284"/>
      <c r="C565" s="349"/>
      <c r="D565" s="349"/>
      <c r="E565" s="284"/>
      <c r="F565" s="284"/>
      <c r="G565" s="284"/>
      <c r="H565" s="284"/>
      <c r="I565" s="284"/>
      <c r="J565" s="348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  <c r="V565" s="284"/>
      <c r="W565" s="284"/>
      <c r="X565" s="284"/>
    </row>
    <row r="566">
      <c r="A566" s="348"/>
      <c r="B566" s="284"/>
      <c r="C566" s="349"/>
      <c r="D566" s="349"/>
      <c r="E566" s="284"/>
      <c r="F566" s="284"/>
      <c r="G566" s="284"/>
      <c r="H566" s="284"/>
      <c r="I566" s="284"/>
      <c r="J566" s="348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  <c r="V566" s="284"/>
      <c r="W566" s="284"/>
      <c r="X566" s="284"/>
    </row>
    <row r="567">
      <c r="A567" s="348"/>
      <c r="B567" s="284"/>
      <c r="C567" s="349"/>
      <c r="D567" s="349"/>
      <c r="E567" s="284"/>
      <c r="F567" s="284"/>
      <c r="G567" s="284"/>
      <c r="H567" s="284"/>
      <c r="I567" s="284"/>
      <c r="J567" s="348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  <c r="V567" s="284"/>
      <c r="W567" s="284"/>
      <c r="X567" s="284"/>
    </row>
    <row r="568">
      <c r="A568" s="348"/>
      <c r="B568" s="284"/>
      <c r="C568" s="349"/>
      <c r="D568" s="349"/>
      <c r="E568" s="284"/>
      <c r="F568" s="284"/>
      <c r="G568" s="284"/>
      <c r="H568" s="284"/>
      <c r="I568" s="284"/>
      <c r="J568" s="348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  <c r="V568" s="284"/>
      <c r="W568" s="284"/>
      <c r="X568" s="284"/>
    </row>
    <row r="569">
      <c r="A569" s="348"/>
      <c r="B569" s="284"/>
      <c r="C569" s="349"/>
      <c r="D569" s="349"/>
      <c r="E569" s="284"/>
      <c r="F569" s="284"/>
      <c r="G569" s="284"/>
      <c r="H569" s="284"/>
      <c r="I569" s="284"/>
      <c r="J569" s="348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  <c r="V569" s="284"/>
      <c r="W569" s="284"/>
      <c r="X569" s="284"/>
    </row>
    <row r="570">
      <c r="A570" s="348"/>
      <c r="B570" s="284"/>
      <c r="C570" s="349"/>
      <c r="D570" s="349"/>
      <c r="E570" s="284"/>
      <c r="F570" s="284"/>
      <c r="G570" s="284"/>
      <c r="H570" s="284"/>
      <c r="I570" s="284"/>
      <c r="J570" s="348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  <c r="V570" s="284"/>
      <c r="W570" s="284"/>
      <c r="X570" s="284"/>
    </row>
    <row r="571">
      <c r="A571" s="348"/>
      <c r="B571" s="284"/>
      <c r="C571" s="349"/>
      <c r="D571" s="349"/>
      <c r="E571" s="284"/>
      <c r="F571" s="284"/>
      <c r="G571" s="284"/>
      <c r="H571" s="284"/>
      <c r="I571" s="284"/>
      <c r="J571" s="348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  <c r="V571" s="284"/>
      <c r="W571" s="284"/>
      <c r="X571" s="284"/>
    </row>
    <row r="572">
      <c r="A572" s="348"/>
      <c r="B572" s="284"/>
      <c r="C572" s="349"/>
      <c r="D572" s="349"/>
      <c r="E572" s="284"/>
      <c r="F572" s="284"/>
      <c r="G572" s="284"/>
      <c r="H572" s="284"/>
      <c r="I572" s="284"/>
      <c r="J572" s="348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  <c r="V572" s="284"/>
      <c r="W572" s="284"/>
      <c r="X572" s="284"/>
    </row>
    <row r="573">
      <c r="A573" s="348"/>
      <c r="B573" s="284"/>
      <c r="C573" s="349"/>
      <c r="D573" s="349"/>
      <c r="E573" s="284"/>
      <c r="F573" s="284"/>
      <c r="G573" s="284"/>
      <c r="H573" s="284"/>
      <c r="I573" s="284"/>
      <c r="J573" s="348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  <c r="V573" s="284"/>
      <c r="W573" s="284"/>
      <c r="X573" s="284"/>
    </row>
    <row r="574">
      <c r="A574" s="348"/>
      <c r="B574" s="284"/>
      <c r="C574" s="349"/>
      <c r="D574" s="349"/>
      <c r="E574" s="284"/>
      <c r="F574" s="284"/>
      <c r="G574" s="284"/>
      <c r="H574" s="284"/>
      <c r="I574" s="284"/>
      <c r="J574" s="348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</row>
    <row r="575">
      <c r="A575" s="348"/>
      <c r="B575" s="284"/>
      <c r="C575" s="349"/>
      <c r="D575" s="349"/>
      <c r="E575" s="284"/>
      <c r="F575" s="284"/>
      <c r="G575" s="284"/>
      <c r="H575" s="284"/>
      <c r="I575" s="284"/>
      <c r="J575" s="348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</row>
    <row r="576">
      <c r="A576" s="348"/>
      <c r="B576" s="284"/>
      <c r="C576" s="349"/>
      <c r="D576" s="349"/>
      <c r="E576" s="284"/>
      <c r="F576" s="284"/>
      <c r="G576" s="284"/>
      <c r="H576" s="284"/>
      <c r="I576" s="284"/>
      <c r="J576" s="348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  <c r="V576" s="284"/>
      <c r="W576" s="284"/>
      <c r="X576" s="284"/>
    </row>
    <row r="577">
      <c r="A577" s="348"/>
      <c r="B577" s="284"/>
      <c r="C577" s="349"/>
      <c r="D577" s="349"/>
      <c r="E577" s="284"/>
      <c r="F577" s="284"/>
      <c r="G577" s="284"/>
      <c r="H577" s="284"/>
      <c r="I577" s="284"/>
      <c r="J577" s="348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  <c r="V577" s="284"/>
      <c r="W577" s="284"/>
      <c r="X577" s="284"/>
    </row>
    <row r="578">
      <c r="A578" s="348"/>
      <c r="B578" s="284"/>
      <c r="C578" s="349"/>
      <c r="D578" s="349"/>
      <c r="E578" s="284"/>
      <c r="F578" s="284"/>
      <c r="G578" s="284"/>
      <c r="H578" s="284"/>
      <c r="I578" s="284"/>
      <c r="J578" s="348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  <c r="V578" s="284"/>
      <c r="W578" s="284"/>
      <c r="X578" s="284"/>
    </row>
    <row r="579">
      <c r="A579" s="348"/>
      <c r="B579" s="284"/>
      <c r="C579" s="349"/>
      <c r="D579" s="349"/>
      <c r="E579" s="284"/>
      <c r="F579" s="284"/>
      <c r="G579" s="284"/>
      <c r="H579" s="284"/>
      <c r="I579" s="284"/>
      <c r="J579" s="348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  <c r="V579" s="284"/>
      <c r="W579" s="284"/>
      <c r="X579" s="284"/>
    </row>
    <row r="580">
      <c r="A580" s="348"/>
      <c r="B580" s="284"/>
      <c r="C580" s="349"/>
      <c r="D580" s="349"/>
      <c r="E580" s="284"/>
      <c r="F580" s="284"/>
      <c r="G580" s="284"/>
      <c r="H580" s="284"/>
      <c r="I580" s="284"/>
      <c r="J580" s="348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  <c r="V580" s="284"/>
      <c r="W580" s="284"/>
      <c r="X580" s="284"/>
    </row>
    <row r="581">
      <c r="A581" s="348"/>
      <c r="B581" s="284"/>
      <c r="C581" s="349"/>
      <c r="D581" s="349"/>
      <c r="E581" s="284"/>
      <c r="F581" s="284"/>
      <c r="G581" s="284"/>
      <c r="H581" s="284"/>
      <c r="I581" s="284"/>
      <c r="J581" s="348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  <c r="V581" s="284"/>
      <c r="W581" s="284"/>
      <c r="X581" s="284"/>
    </row>
    <row r="582">
      <c r="A582" s="348"/>
      <c r="B582" s="284"/>
      <c r="C582" s="349"/>
      <c r="D582" s="349"/>
      <c r="E582" s="284"/>
      <c r="F582" s="284"/>
      <c r="G582" s="284"/>
      <c r="H582" s="284"/>
      <c r="I582" s="284"/>
      <c r="J582" s="348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  <c r="V582" s="284"/>
      <c r="W582" s="284"/>
      <c r="X582" s="284"/>
    </row>
    <row r="583">
      <c r="A583" s="348"/>
      <c r="B583" s="284"/>
      <c r="C583" s="349"/>
      <c r="D583" s="349"/>
      <c r="E583" s="284"/>
      <c r="F583" s="284"/>
      <c r="G583" s="284"/>
      <c r="H583" s="284"/>
      <c r="I583" s="284"/>
      <c r="J583" s="348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  <c r="V583" s="284"/>
      <c r="W583" s="284"/>
      <c r="X583" s="284"/>
    </row>
    <row r="584">
      <c r="A584" s="348"/>
      <c r="B584" s="284"/>
      <c r="C584" s="349"/>
      <c r="D584" s="349"/>
      <c r="E584" s="284"/>
      <c r="F584" s="284"/>
      <c r="G584" s="284"/>
      <c r="H584" s="284"/>
      <c r="I584" s="284"/>
      <c r="J584" s="348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  <c r="V584" s="284"/>
      <c r="W584" s="284"/>
      <c r="X584" s="284"/>
    </row>
    <row r="585">
      <c r="A585" s="348"/>
      <c r="B585" s="284"/>
      <c r="C585" s="349"/>
      <c r="D585" s="349"/>
      <c r="E585" s="284"/>
      <c r="F585" s="284"/>
      <c r="G585" s="284"/>
      <c r="H585" s="284"/>
      <c r="I585" s="284"/>
      <c r="J585" s="348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  <c r="V585" s="284"/>
      <c r="W585" s="284"/>
      <c r="X585" s="284"/>
    </row>
    <row r="586">
      <c r="A586" s="348"/>
      <c r="B586" s="284"/>
      <c r="C586" s="349"/>
      <c r="D586" s="349"/>
      <c r="E586" s="284"/>
      <c r="F586" s="284"/>
      <c r="G586" s="284"/>
      <c r="H586" s="284"/>
      <c r="I586" s="284"/>
      <c r="J586" s="348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  <c r="V586" s="284"/>
      <c r="W586" s="284"/>
      <c r="X586" s="284"/>
    </row>
    <row r="587">
      <c r="A587" s="348"/>
      <c r="B587" s="284"/>
      <c r="C587" s="349"/>
      <c r="D587" s="349"/>
      <c r="E587" s="284"/>
      <c r="F587" s="284"/>
      <c r="G587" s="284"/>
      <c r="H587" s="284"/>
      <c r="I587" s="284"/>
      <c r="J587" s="348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  <c r="V587" s="284"/>
      <c r="W587" s="284"/>
      <c r="X587" s="284"/>
    </row>
    <row r="588">
      <c r="A588" s="348"/>
      <c r="B588" s="284"/>
      <c r="C588" s="349"/>
      <c r="D588" s="349"/>
      <c r="E588" s="284"/>
      <c r="F588" s="284"/>
      <c r="G588" s="284"/>
      <c r="H588" s="284"/>
      <c r="I588" s="284"/>
      <c r="J588" s="348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  <c r="V588" s="284"/>
      <c r="W588" s="284"/>
      <c r="X588" s="284"/>
    </row>
    <row r="589">
      <c r="A589" s="348"/>
      <c r="B589" s="284"/>
      <c r="C589" s="349"/>
      <c r="D589" s="349"/>
      <c r="E589" s="284"/>
      <c r="F589" s="284"/>
      <c r="G589" s="284"/>
      <c r="H589" s="284"/>
      <c r="I589" s="284"/>
      <c r="J589" s="348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  <c r="V589" s="284"/>
      <c r="W589" s="284"/>
      <c r="X589" s="284"/>
    </row>
    <row r="590">
      <c r="A590" s="348"/>
      <c r="B590" s="284"/>
      <c r="C590" s="349"/>
      <c r="D590" s="349"/>
      <c r="E590" s="284"/>
      <c r="F590" s="284"/>
      <c r="G590" s="284"/>
      <c r="H590" s="284"/>
      <c r="I590" s="284"/>
      <c r="J590" s="348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  <c r="V590" s="284"/>
      <c r="W590" s="284"/>
      <c r="X590" s="284"/>
    </row>
    <row r="591">
      <c r="A591" s="348"/>
      <c r="B591" s="284"/>
      <c r="C591" s="349"/>
      <c r="D591" s="349"/>
      <c r="E591" s="284"/>
      <c r="F591" s="284"/>
      <c r="G591" s="284"/>
      <c r="H591" s="284"/>
      <c r="I591" s="284"/>
      <c r="J591" s="348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  <c r="V591" s="284"/>
      <c r="W591" s="284"/>
      <c r="X591" s="284"/>
    </row>
    <row r="592">
      <c r="A592" s="348"/>
      <c r="B592" s="284"/>
      <c r="C592" s="349"/>
      <c r="D592" s="349"/>
      <c r="E592" s="284"/>
      <c r="F592" s="284"/>
      <c r="G592" s="284"/>
      <c r="H592" s="284"/>
      <c r="I592" s="284"/>
      <c r="J592" s="348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  <c r="V592" s="284"/>
      <c r="W592" s="284"/>
      <c r="X592" s="284"/>
    </row>
    <row r="593">
      <c r="A593" s="348"/>
      <c r="B593" s="284"/>
      <c r="C593" s="349"/>
      <c r="D593" s="349"/>
      <c r="E593" s="284"/>
      <c r="F593" s="284"/>
      <c r="G593" s="284"/>
      <c r="H593" s="284"/>
      <c r="I593" s="284"/>
      <c r="J593" s="348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  <c r="V593" s="284"/>
      <c r="W593" s="284"/>
      <c r="X593" s="284"/>
    </row>
    <row r="594">
      <c r="A594" s="348"/>
      <c r="B594" s="284"/>
      <c r="C594" s="349"/>
      <c r="D594" s="349"/>
      <c r="E594" s="284"/>
      <c r="F594" s="284"/>
      <c r="G594" s="284"/>
      <c r="H594" s="284"/>
      <c r="I594" s="284"/>
      <c r="J594" s="348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  <c r="V594" s="284"/>
      <c r="W594" s="284"/>
      <c r="X594" s="284"/>
    </row>
    <row r="595">
      <c r="A595" s="348"/>
      <c r="B595" s="284"/>
      <c r="C595" s="349"/>
      <c r="D595" s="349"/>
      <c r="E595" s="284"/>
      <c r="F595" s="284"/>
      <c r="G595" s="284"/>
      <c r="H595" s="284"/>
      <c r="I595" s="284"/>
      <c r="J595" s="348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  <c r="V595" s="284"/>
      <c r="W595" s="284"/>
      <c r="X595" s="284"/>
    </row>
    <row r="596">
      <c r="A596" s="348"/>
      <c r="B596" s="284"/>
      <c r="C596" s="349"/>
      <c r="D596" s="349"/>
      <c r="E596" s="284"/>
      <c r="F596" s="284"/>
      <c r="G596" s="284"/>
      <c r="H596" s="284"/>
      <c r="I596" s="284"/>
      <c r="J596" s="348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  <c r="V596" s="284"/>
      <c r="W596" s="284"/>
      <c r="X596" s="284"/>
    </row>
    <row r="597">
      <c r="A597" s="348"/>
      <c r="B597" s="284"/>
      <c r="C597" s="349"/>
      <c r="D597" s="349"/>
      <c r="E597" s="284"/>
      <c r="F597" s="284"/>
      <c r="G597" s="284"/>
      <c r="H597" s="284"/>
      <c r="I597" s="284"/>
      <c r="J597" s="348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  <c r="V597" s="284"/>
      <c r="W597" s="284"/>
      <c r="X597" s="284"/>
    </row>
    <row r="598">
      <c r="A598" s="348"/>
      <c r="B598" s="284"/>
      <c r="C598" s="349"/>
      <c r="D598" s="349"/>
      <c r="E598" s="284"/>
      <c r="F598" s="284"/>
      <c r="G598" s="284"/>
      <c r="H598" s="284"/>
      <c r="I598" s="284"/>
      <c r="J598" s="348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  <c r="V598" s="284"/>
      <c r="W598" s="284"/>
      <c r="X598" s="284"/>
    </row>
    <row r="599">
      <c r="A599" s="348"/>
      <c r="B599" s="284"/>
      <c r="C599" s="349"/>
      <c r="D599" s="349"/>
      <c r="E599" s="284"/>
      <c r="F599" s="284"/>
      <c r="G599" s="284"/>
      <c r="H599" s="284"/>
      <c r="I599" s="284"/>
      <c r="J599" s="348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  <c r="V599" s="284"/>
      <c r="W599" s="284"/>
      <c r="X599" s="284"/>
    </row>
    <row r="600">
      <c r="A600" s="348"/>
      <c r="B600" s="284"/>
      <c r="C600" s="349"/>
      <c r="D600" s="349"/>
      <c r="E600" s="284"/>
      <c r="F600" s="284"/>
      <c r="G600" s="284"/>
      <c r="H600" s="284"/>
      <c r="I600" s="284"/>
      <c r="J600" s="348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  <c r="V600" s="284"/>
      <c r="W600" s="284"/>
      <c r="X600" s="284"/>
    </row>
    <row r="601">
      <c r="A601" s="348"/>
      <c r="B601" s="284"/>
      <c r="C601" s="349"/>
      <c r="D601" s="349"/>
      <c r="E601" s="284"/>
      <c r="F601" s="284"/>
      <c r="G601" s="284"/>
      <c r="H601" s="284"/>
      <c r="I601" s="284"/>
      <c r="J601" s="348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  <c r="V601" s="284"/>
      <c r="W601" s="284"/>
      <c r="X601" s="284"/>
    </row>
    <row r="602">
      <c r="A602" s="348"/>
      <c r="B602" s="284"/>
      <c r="C602" s="349"/>
      <c r="D602" s="349"/>
      <c r="E602" s="284"/>
      <c r="F602" s="284"/>
      <c r="G602" s="284"/>
      <c r="H602" s="284"/>
      <c r="I602" s="284"/>
      <c r="J602" s="348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  <c r="V602" s="284"/>
      <c r="W602" s="284"/>
      <c r="X602" s="284"/>
    </row>
    <row r="603">
      <c r="A603" s="348"/>
      <c r="B603" s="284"/>
      <c r="C603" s="349"/>
      <c r="D603" s="349"/>
      <c r="E603" s="284"/>
      <c r="F603" s="284"/>
      <c r="G603" s="284"/>
      <c r="H603" s="284"/>
      <c r="I603" s="284"/>
      <c r="J603" s="348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  <c r="V603" s="284"/>
      <c r="W603" s="284"/>
      <c r="X603" s="284"/>
    </row>
    <row r="604">
      <c r="A604" s="348"/>
      <c r="B604" s="284"/>
      <c r="C604" s="349"/>
      <c r="D604" s="349"/>
      <c r="E604" s="284"/>
      <c r="F604" s="284"/>
      <c r="G604" s="284"/>
      <c r="H604" s="284"/>
      <c r="I604" s="284"/>
      <c r="J604" s="348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  <c r="V604" s="284"/>
      <c r="W604" s="284"/>
      <c r="X604" s="284"/>
    </row>
    <row r="605">
      <c r="A605" s="348"/>
      <c r="B605" s="284"/>
      <c r="C605" s="349"/>
      <c r="D605" s="349"/>
      <c r="E605" s="284"/>
      <c r="F605" s="284"/>
      <c r="G605" s="284"/>
      <c r="H605" s="284"/>
      <c r="I605" s="284"/>
      <c r="J605" s="348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</row>
    <row r="606">
      <c r="A606" s="348"/>
      <c r="B606" s="284"/>
      <c r="C606" s="349"/>
      <c r="D606" s="349"/>
      <c r="E606" s="284"/>
      <c r="F606" s="284"/>
      <c r="G606" s="284"/>
      <c r="H606" s="284"/>
      <c r="I606" s="284"/>
      <c r="J606" s="348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  <c r="V606" s="284"/>
      <c r="W606" s="284"/>
      <c r="X606" s="284"/>
    </row>
    <row r="607">
      <c r="A607" s="348"/>
      <c r="B607" s="284"/>
      <c r="C607" s="349"/>
      <c r="D607" s="349"/>
      <c r="E607" s="284"/>
      <c r="F607" s="284"/>
      <c r="G607" s="284"/>
      <c r="H607" s="284"/>
      <c r="I607" s="284"/>
      <c r="J607" s="348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  <c r="V607" s="284"/>
      <c r="W607" s="284"/>
      <c r="X607" s="284"/>
    </row>
    <row r="608">
      <c r="A608" s="348"/>
      <c r="B608" s="284"/>
      <c r="C608" s="349"/>
      <c r="D608" s="349"/>
      <c r="E608" s="284"/>
      <c r="F608" s="284"/>
      <c r="G608" s="284"/>
      <c r="H608" s="284"/>
      <c r="I608" s="284"/>
      <c r="J608" s="348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  <c r="V608" s="284"/>
      <c r="W608" s="284"/>
      <c r="X608" s="284"/>
    </row>
    <row r="609">
      <c r="A609" s="348"/>
      <c r="B609" s="284"/>
      <c r="C609" s="349"/>
      <c r="D609" s="349"/>
      <c r="E609" s="284"/>
      <c r="F609" s="284"/>
      <c r="G609" s="284"/>
      <c r="H609" s="284"/>
      <c r="I609" s="284"/>
      <c r="J609" s="348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  <c r="V609" s="284"/>
      <c r="W609" s="284"/>
      <c r="X609" s="284"/>
    </row>
    <row r="610">
      <c r="A610" s="348"/>
      <c r="B610" s="284"/>
      <c r="C610" s="349"/>
      <c r="D610" s="349"/>
      <c r="E610" s="284"/>
      <c r="F610" s="284"/>
      <c r="G610" s="284"/>
      <c r="H610" s="284"/>
      <c r="I610" s="284"/>
      <c r="J610" s="348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  <c r="V610" s="284"/>
      <c r="W610" s="284"/>
      <c r="X610" s="284"/>
    </row>
    <row r="611">
      <c r="A611" s="348"/>
      <c r="B611" s="284"/>
      <c r="C611" s="349"/>
      <c r="D611" s="349"/>
      <c r="E611" s="284"/>
      <c r="F611" s="284"/>
      <c r="G611" s="284"/>
      <c r="H611" s="284"/>
      <c r="I611" s="284"/>
      <c r="J611" s="348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  <c r="V611" s="284"/>
      <c r="W611" s="284"/>
      <c r="X611" s="284"/>
    </row>
    <row r="612">
      <c r="A612" s="348"/>
      <c r="B612" s="284"/>
      <c r="C612" s="349"/>
      <c r="D612" s="349"/>
      <c r="E612" s="284"/>
      <c r="F612" s="284"/>
      <c r="G612" s="284"/>
      <c r="H612" s="284"/>
      <c r="I612" s="284"/>
      <c r="J612" s="348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  <c r="V612" s="284"/>
      <c r="W612" s="284"/>
      <c r="X612" s="284"/>
    </row>
    <row r="613">
      <c r="A613" s="348"/>
      <c r="B613" s="284"/>
      <c r="C613" s="349"/>
      <c r="D613" s="349"/>
      <c r="E613" s="284"/>
      <c r="F613" s="284"/>
      <c r="G613" s="284"/>
      <c r="H613" s="284"/>
      <c r="I613" s="284"/>
      <c r="J613" s="348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  <c r="V613" s="284"/>
      <c r="W613" s="284"/>
      <c r="X613" s="284"/>
    </row>
    <row r="614">
      <c r="A614" s="348"/>
      <c r="B614" s="284"/>
      <c r="C614" s="349"/>
      <c r="D614" s="349"/>
      <c r="E614" s="284"/>
      <c r="F614" s="284"/>
      <c r="G614" s="284"/>
      <c r="H614" s="284"/>
      <c r="I614" s="284"/>
      <c r="J614" s="348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  <c r="V614" s="284"/>
      <c r="W614" s="284"/>
      <c r="X614" s="284"/>
    </row>
    <row r="615">
      <c r="A615" s="348"/>
      <c r="B615" s="284"/>
      <c r="C615" s="349"/>
      <c r="D615" s="349"/>
      <c r="E615" s="284"/>
      <c r="F615" s="284"/>
      <c r="G615" s="284"/>
      <c r="H615" s="284"/>
      <c r="I615" s="284"/>
      <c r="J615" s="348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  <c r="V615" s="284"/>
      <c r="W615" s="284"/>
      <c r="X615" s="284"/>
    </row>
    <row r="616">
      <c r="A616" s="348"/>
      <c r="B616" s="284"/>
      <c r="C616" s="349"/>
      <c r="D616" s="349"/>
      <c r="E616" s="284"/>
      <c r="F616" s="284"/>
      <c r="G616" s="284"/>
      <c r="H616" s="284"/>
      <c r="I616" s="284"/>
      <c r="J616" s="348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  <c r="V616" s="284"/>
      <c r="W616" s="284"/>
      <c r="X616" s="284"/>
    </row>
    <row r="617">
      <c r="A617" s="348"/>
      <c r="B617" s="284"/>
      <c r="C617" s="349"/>
      <c r="D617" s="349"/>
      <c r="E617" s="284"/>
      <c r="F617" s="284"/>
      <c r="G617" s="284"/>
      <c r="H617" s="284"/>
      <c r="I617" s="284"/>
      <c r="J617" s="348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  <c r="V617" s="284"/>
      <c r="W617" s="284"/>
      <c r="X617" s="284"/>
    </row>
    <row r="618">
      <c r="A618" s="348"/>
      <c r="B618" s="284"/>
      <c r="C618" s="349"/>
      <c r="D618" s="349"/>
      <c r="E618" s="284"/>
      <c r="F618" s="284"/>
      <c r="G618" s="284"/>
      <c r="H618" s="284"/>
      <c r="I618" s="284"/>
      <c r="J618" s="348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  <c r="V618" s="284"/>
      <c r="W618" s="284"/>
      <c r="X618" s="284"/>
    </row>
    <row r="619">
      <c r="A619" s="348"/>
      <c r="B619" s="284"/>
      <c r="C619" s="349"/>
      <c r="D619" s="349"/>
      <c r="E619" s="284"/>
      <c r="F619" s="284"/>
      <c r="G619" s="284"/>
      <c r="H619" s="284"/>
      <c r="I619" s="284"/>
      <c r="J619" s="348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  <c r="V619" s="284"/>
      <c r="W619" s="284"/>
      <c r="X619" s="284"/>
    </row>
    <row r="620">
      <c r="A620" s="348"/>
      <c r="B620" s="284"/>
      <c r="C620" s="349"/>
      <c r="D620" s="349"/>
      <c r="E620" s="284"/>
      <c r="F620" s="284"/>
      <c r="G620" s="284"/>
      <c r="H620" s="284"/>
      <c r="I620" s="284"/>
      <c r="J620" s="348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  <c r="V620" s="284"/>
      <c r="W620" s="284"/>
      <c r="X620" s="284"/>
    </row>
    <row r="621">
      <c r="A621" s="348"/>
      <c r="B621" s="284"/>
      <c r="C621" s="349"/>
      <c r="D621" s="349"/>
      <c r="E621" s="284"/>
      <c r="F621" s="284"/>
      <c r="G621" s="284"/>
      <c r="H621" s="284"/>
      <c r="I621" s="284"/>
      <c r="J621" s="348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  <c r="V621" s="284"/>
      <c r="W621" s="284"/>
      <c r="X621" s="284"/>
    </row>
    <row r="622">
      <c r="A622" s="348"/>
      <c r="B622" s="284"/>
      <c r="C622" s="349"/>
      <c r="D622" s="349"/>
      <c r="E622" s="284"/>
      <c r="F622" s="284"/>
      <c r="G622" s="284"/>
      <c r="H622" s="284"/>
      <c r="I622" s="284"/>
      <c r="J622" s="348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  <c r="V622" s="284"/>
      <c r="W622" s="284"/>
      <c r="X622" s="284"/>
    </row>
    <row r="623">
      <c r="A623" s="348"/>
      <c r="B623" s="284"/>
      <c r="C623" s="349"/>
      <c r="D623" s="349"/>
      <c r="E623" s="284"/>
      <c r="F623" s="284"/>
      <c r="G623" s="284"/>
      <c r="H623" s="284"/>
      <c r="I623" s="284"/>
      <c r="J623" s="348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  <c r="V623" s="284"/>
      <c r="W623" s="284"/>
      <c r="X623" s="284"/>
    </row>
    <row r="624">
      <c r="A624" s="348"/>
      <c r="B624" s="284"/>
      <c r="C624" s="349"/>
      <c r="D624" s="349"/>
      <c r="E624" s="284"/>
      <c r="F624" s="284"/>
      <c r="G624" s="284"/>
      <c r="H624" s="284"/>
      <c r="I624" s="284"/>
      <c r="J624" s="348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  <c r="V624" s="284"/>
      <c r="W624" s="284"/>
      <c r="X624" s="284"/>
    </row>
    <row r="625">
      <c r="A625" s="348"/>
      <c r="B625" s="284"/>
      <c r="C625" s="349"/>
      <c r="D625" s="349"/>
      <c r="E625" s="284"/>
      <c r="F625" s="284"/>
      <c r="G625" s="284"/>
      <c r="H625" s="284"/>
      <c r="I625" s="284"/>
      <c r="J625" s="348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  <c r="V625" s="284"/>
      <c r="W625" s="284"/>
      <c r="X625" s="284"/>
    </row>
    <row r="626">
      <c r="A626" s="348"/>
      <c r="B626" s="284"/>
      <c r="C626" s="349"/>
      <c r="D626" s="349"/>
      <c r="E626" s="284"/>
      <c r="F626" s="284"/>
      <c r="G626" s="284"/>
      <c r="H626" s="284"/>
      <c r="I626" s="284"/>
      <c r="J626" s="348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  <c r="V626" s="284"/>
      <c r="W626" s="284"/>
      <c r="X626" s="284"/>
    </row>
    <row r="627">
      <c r="A627" s="348"/>
      <c r="B627" s="284"/>
      <c r="C627" s="349"/>
      <c r="D627" s="349"/>
      <c r="E627" s="284"/>
      <c r="F627" s="284"/>
      <c r="G627" s="284"/>
      <c r="H627" s="284"/>
      <c r="I627" s="284"/>
      <c r="J627" s="348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  <c r="V627" s="284"/>
      <c r="W627" s="284"/>
      <c r="X627" s="284"/>
    </row>
    <row r="628">
      <c r="A628" s="348"/>
      <c r="B628" s="284"/>
      <c r="C628" s="349"/>
      <c r="D628" s="349"/>
      <c r="E628" s="284"/>
      <c r="F628" s="284"/>
      <c r="G628" s="284"/>
      <c r="H628" s="284"/>
      <c r="I628" s="284"/>
      <c r="J628" s="348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</row>
    <row r="629">
      <c r="A629" s="348"/>
      <c r="B629" s="284"/>
      <c r="C629" s="349"/>
      <c r="D629" s="349"/>
      <c r="E629" s="284"/>
      <c r="F629" s="284"/>
      <c r="G629" s="284"/>
      <c r="H629" s="284"/>
      <c r="I629" s="284"/>
      <c r="J629" s="348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  <c r="V629" s="284"/>
      <c r="W629" s="284"/>
      <c r="X629" s="284"/>
    </row>
    <row r="630">
      <c r="A630" s="348"/>
      <c r="B630" s="284"/>
      <c r="C630" s="349"/>
      <c r="D630" s="349"/>
      <c r="E630" s="284"/>
      <c r="F630" s="284"/>
      <c r="G630" s="284"/>
      <c r="H630" s="284"/>
      <c r="I630" s="284"/>
      <c r="J630" s="348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  <c r="V630" s="284"/>
      <c r="W630" s="284"/>
      <c r="X630" s="284"/>
    </row>
    <row r="631">
      <c r="A631" s="348"/>
      <c r="B631" s="284"/>
      <c r="C631" s="349"/>
      <c r="D631" s="349"/>
      <c r="E631" s="284"/>
      <c r="F631" s="284"/>
      <c r="G631" s="284"/>
      <c r="H631" s="284"/>
      <c r="I631" s="284"/>
      <c r="J631" s="348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  <c r="V631" s="284"/>
      <c r="W631" s="284"/>
      <c r="X631" s="284"/>
    </row>
    <row r="632">
      <c r="A632" s="348"/>
      <c r="B632" s="284"/>
      <c r="C632" s="349"/>
      <c r="D632" s="349"/>
      <c r="E632" s="284"/>
      <c r="F632" s="284"/>
      <c r="G632" s="284"/>
      <c r="H632" s="284"/>
      <c r="I632" s="284"/>
      <c r="J632" s="348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  <c r="V632" s="284"/>
      <c r="W632" s="284"/>
      <c r="X632" s="284"/>
    </row>
    <row r="633">
      <c r="A633" s="348"/>
      <c r="B633" s="284"/>
      <c r="C633" s="349"/>
      <c r="D633" s="349"/>
      <c r="E633" s="284"/>
      <c r="F633" s="284"/>
      <c r="G633" s="284"/>
      <c r="H633" s="284"/>
      <c r="I633" s="284"/>
      <c r="J633" s="348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  <c r="V633" s="284"/>
      <c r="W633" s="284"/>
      <c r="X633" s="284"/>
    </row>
    <row r="634">
      <c r="A634" s="348"/>
      <c r="B634" s="284"/>
      <c r="C634" s="349"/>
      <c r="D634" s="349"/>
      <c r="E634" s="284"/>
      <c r="F634" s="284"/>
      <c r="G634" s="284"/>
      <c r="H634" s="284"/>
      <c r="I634" s="284"/>
      <c r="J634" s="348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  <c r="V634" s="284"/>
      <c r="W634" s="284"/>
      <c r="X634" s="284"/>
    </row>
    <row r="635">
      <c r="A635" s="348"/>
      <c r="B635" s="284"/>
      <c r="C635" s="349"/>
      <c r="D635" s="349"/>
      <c r="E635" s="284"/>
      <c r="F635" s="284"/>
      <c r="G635" s="284"/>
      <c r="H635" s="284"/>
      <c r="I635" s="284"/>
      <c r="J635" s="348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  <c r="V635" s="284"/>
      <c r="W635" s="284"/>
      <c r="X635" s="284"/>
    </row>
    <row r="636">
      <c r="A636" s="348"/>
      <c r="B636" s="284"/>
      <c r="C636" s="349"/>
      <c r="D636" s="349"/>
      <c r="E636" s="284"/>
      <c r="F636" s="284"/>
      <c r="G636" s="284"/>
      <c r="H636" s="284"/>
      <c r="I636" s="284"/>
      <c r="J636" s="348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  <c r="V636" s="284"/>
      <c r="W636" s="284"/>
      <c r="X636" s="284"/>
    </row>
    <row r="637">
      <c r="A637" s="348"/>
      <c r="B637" s="284"/>
      <c r="C637" s="349"/>
      <c r="D637" s="349"/>
      <c r="E637" s="284"/>
      <c r="F637" s="284"/>
      <c r="G637" s="284"/>
      <c r="H637" s="284"/>
      <c r="I637" s="284"/>
      <c r="J637" s="348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  <c r="V637" s="284"/>
      <c r="W637" s="284"/>
      <c r="X637" s="284"/>
    </row>
    <row r="638">
      <c r="A638" s="348"/>
      <c r="B638" s="284"/>
      <c r="C638" s="349"/>
      <c r="D638" s="349"/>
      <c r="E638" s="284"/>
      <c r="F638" s="284"/>
      <c r="G638" s="284"/>
      <c r="H638" s="284"/>
      <c r="I638" s="284"/>
      <c r="J638" s="348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  <c r="V638" s="284"/>
      <c r="W638" s="284"/>
      <c r="X638" s="284"/>
    </row>
    <row r="639">
      <c r="A639" s="348"/>
      <c r="B639" s="284"/>
      <c r="C639" s="349"/>
      <c r="D639" s="349"/>
      <c r="E639" s="284"/>
      <c r="F639" s="284"/>
      <c r="G639" s="284"/>
      <c r="H639" s="284"/>
      <c r="I639" s="284"/>
      <c r="J639" s="348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  <c r="V639" s="284"/>
      <c r="W639" s="284"/>
      <c r="X639" s="284"/>
    </row>
    <row r="640">
      <c r="A640" s="348"/>
      <c r="B640" s="284"/>
      <c r="C640" s="349"/>
      <c r="D640" s="349"/>
      <c r="E640" s="284"/>
      <c r="F640" s="284"/>
      <c r="G640" s="284"/>
      <c r="H640" s="284"/>
      <c r="I640" s="284"/>
      <c r="J640" s="348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  <c r="V640" s="284"/>
      <c r="W640" s="284"/>
      <c r="X640" s="284"/>
    </row>
    <row r="641">
      <c r="A641" s="348"/>
      <c r="B641" s="284"/>
      <c r="C641" s="349"/>
      <c r="D641" s="349"/>
      <c r="E641" s="284"/>
      <c r="F641" s="284"/>
      <c r="G641" s="284"/>
      <c r="H641" s="284"/>
      <c r="I641" s="284"/>
      <c r="J641" s="348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  <c r="V641" s="284"/>
      <c r="W641" s="284"/>
      <c r="X641" s="284"/>
    </row>
    <row r="642">
      <c r="A642" s="348"/>
      <c r="B642" s="284"/>
      <c r="C642" s="349"/>
      <c r="D642" s="349"/>
      <c r="E642" s="284"/>
      <c r="F642" s="284"/>
      <c r="G642" s="284"/>
      <c r="H642" s="284"/>
      <c r="I642" s="284"/>
      <c r="J642" s="348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  <c r="V642" s="284"/>
      <c r="W642" s="284"/>
      <c r="X642" s="284"/>
    </row>
    <row r="643">
      <c r="A643" s="348"/>
      <c r="B643" s="284"/>
      <c r="C643" s="349"/>
      <c r="D643" s="349"/>
      <c r="E643" s="284"/>
      <c r="F643" s="284"/>
      <c r="G643" s="284"/>
      <c r="H643" s="284"/>
      <c r="I643" s="284"/>
      <c r="J643" s="348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  <c r="V643" s="284"/>
      <c r="W643" s="284"/>
      <c r="X643" s="284"/>
    </row>
    <row r="644">
      <c r="A644" s="348"/>
      <c r="B644" s="284"/>
      <c r="C644" s="349"/>
      <c r="D644" s="349"/>
      <c r="E644" s="284"/>
      <c r="F644" s="284"/>
      <c r="G644" s="284"/>
      <c r="H644" s="284"/>
      <c r="I644" s="284"/>
      <c r="J644" s="348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  <c r="V644" s="284"/>
      <c r="W644" s="284"/>
      <c r="X644" s="284"/>
    </row>
    <row r="645">
      <c r="A645" s="348"/>
      <c r="B645" s="284"/>
      <c r="C645" s="349"/>
      <c r="D645" s="349"/>
      <c r="E645" s="284"/>
      <c r="F645" s="284"/>
      <c r="G645" s="284"/>
      <c r="H645" s="284"/>
      <c r="I645" s="284"/>
      <c r="J645" s="348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  <c r="V645" s="284"/>
      <c r="W645" s="284"/>
      <c r="X645" s="284"/>
    </row>
    <row r="646">
      <c r="A646" s="348"/>
      <c r="B646" s="284"/>
      <c r="C646" s="349"/>
      <c r="D646" s="349"/>
      <c r="E646" s="284"/>
      <c r="F646" s="284"/>
      <c r="G646" s="284"/>
      <c r="H646" s="284"/>
      <c r="I646" s="284"/>
      <c r="J646" s="348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  <c r="V646" s="284"/>
      <c r="W646" s="284"/>
      <c r="X646" s="284"/>
    </row>
    <row r="647">
      <c r="A647" s="348"/>
      <c r="B647" s="284"/>
      <c r="C647" s="349"/>
      <c r="D647" s="349"/>
      <c r="E647" s="284"/>
      <c r="F647" s="284"/>
      <c r="G647" s="284"/>
      <c r="H647" s="284"/>
      <c r="I647" s="284"/>
      <c r="J647" s="348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  <c r="V647" s="284"/>
      <c r="W647" s="284"/>
      <c r="X647" s="284"/>
    </row>
    <row r="648">
      <c r="A648" s="348"/>
      <c r="B648" s="284"/>
      <c r="C648" s="349"/>
      <c r="D648" s="349"/>
      <c r="E648" s="284"/>
      <c r="F648" s="284"/>
      <c r="G648" s="284"/>
      <c r="H648" s="284"/>
      <c r="I648" s="284"/>
      <c r="J648" s="348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  <c r="V648" s="284"/>
      <c r="W648" s="284"/>
      <c r="X648" s="284"/>
    </row>
    <row r="649">
      <c r="A649" s="348"/>
      <c r="B649" s="284"/>
      <c r="C649" s="349"/>
      <c r="D649" s="349"/>
      <c r="E649" s="284"/>
      <c r="F649" s="284"/>
      <c r="G649" s="284"/>
      <c r="H649" s="284"/>
      <c r="I649" s="284"/>
      <c r="J649" s="348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  <c r="V649" s="284"/>
      <c r="W649" s="284"/>
      <c r="X649" s="284"/>
    </row>
    <row r="650">
      <c r="A650" s="348"/>
      <c r="B650" s="284"/>
      <c r="C650" s="349"/>
      <c r="D650" s="349"/>
      <c r="E650" s="284"/>
      <c r="F650" s="284"/>
      <c r="G650" s="284"/>
      <c r="H650" s="284"/>
      <c r="I650" s="284"/>
      <c r="J650" s="348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  <c r="V650" s="284"/>
      <c r="W650" s="284"/>
      <c r="X650" s="284"/>
    </row>
    <row r="651">
      <c r="A651" s="348"/>
      <c r="B651" s="284"/>
      <c r="C651" s="349"/>
      <c r="D651" s="349"/>
      <c r="E651" s="284"/>
      <c r="F651" s="284"/>
      <c r="G651" s="284"/>
      <c r="H651" s="284"/>
      <c r="I651" s="284"/>
      <c r="J651" s="348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  <c r="V651" s="284"/>
      <c r="W651" s="284"/>
      <c r="X651" s="284"/>
    </row>
    <row r="652">
      <c r="A652" s="348"/>
      <c r="B652" s="284"/>
      <c r="C652" s="349"/>
      <c r="D652" s="349"/>
      <c r="E652" s="284"/>
      <c r="F652" s="284"/>
      <c r="G652" s="284"/>
      <c r="H652" s="284"/>
      <c r="I652" s="284"/>
      <c r="J652" s="348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  <c r="V652" s="284"/>
      <c r="W652" s="284"/>
      <c r="X652" s="284"/>
    </row>
    <row r="653">
      <c r="A653" s="348"/>
      <c r="B653" s="284"/>
      <c r="C653" s="349"/>
      <c r="D653" s="349"/>
      <c r="E653" s="284"/>
      <c r="F653" s="284"/>
      <c r="G653" s="284"/>
      <c r="H653" s="284"/>
      <c r="I653" s="284"/>
      <c r="J653" s="348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  <c r="V653" s="284"/>
      <c r="W653" s="284"/>
      <c r="X653" s="284"/>
    </row>
    <row r="654">
      <c r="A654" s="348"/>
      <c r="B654" s="284"/>
      <c r="C654" s="349"/>
      <c r="D654" s="349"/>
      <c r="E654" s="284"/>
      <c r="F654" s="284"/>
      <c r="G654" s="284"/>
      <c r="H654" s="284"/>
      <c r="I654" s="284"/>
      <c r="J654" s="348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  <c r="V654" s="284"/>
      <c r="W654" s="284"/>
      <c r="X654" s="284"/>
    </row>
    <row r="655">
      <c r="A655" s="348"/>
      <c r="B655" s="284"/>
      <c r="C655" s="349"/>
      <c r="D655" s="349"/>
      <c r="E655" s="284"/>
      <c r="F655" s="284"/>
      <c r="G655" s="284"/>
      <c r="H655" s="284"/>
      <c r="I655" s="284"/>
      <c r="J655" s="348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  <c r="V655" s="284"/>
      <c r="W655" s="284"/>
      <c r="X655" s="284"/>
    </row>
    <row r="656">
      <c r="A656" s="348"/>
      <c r="B656" s="284"/>
      <c r="C656" s="349"/>
      <c r="D656" s="349"/>
      <c r="E656" s="284"/>
      <c r="F656" s="284"/>
      <c r="G656" s="284"/>
      <c r="H656" s="284"/>
      <c r="I656" s="284"/>
      <c r="J656" s="348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  <c r="V656" s="284"/>
      <c r="W656" s="284"/>
      <c r="X656" s="284"/>
    </row>
    <row r="657">
      <c r="A657" s="348"/>
      <c r="B657" s="284"/>
      <c r="C657" s="349"/>
      <c r="D657" s="349"/>
      <c r="E657" s="284"/>
      <c r="F657" s="284"/>
      <c r="G657" s="284"/>
      <c r="H657" s="284"/>
      <c r="I657" s="284"/>
      <c r="J657" s="348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  <c r="V657" s="284"/>
      <c r="W657" s="284"/>
      <c r="X657" s="284"/>
    </row>
    <row r="658">
      <c r="A658" s="348"/>
      <c r="B658" s="284"/>
      <c r="C658" s="349"/>
      <c r="D658" s="349"/>
      <c r="E658" s="284"/>
      <c r="F658" s="284"/>
      <c r="G658" s="284"/>
      <c r="H658" s="284"/>
      <c r="I658" s="284"/>
      <c r="J658" s="348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  <c r="V658" s="284"/>
      <c r="W658" s="284"/>
      <c r="X658" s="284"/>
    </row>
    <row r="659">
      <c r="A659" s="348"/>
      <c r="B659" s="284"/>
      <c r="C659" s="349"/>
      <c r="D659" s="349"/>
      <c r="E659" s="284"/>
      <c r="F659" s="284"/>
      <c r="G659" s="284"/>
      <c r="H659" s="284"/>
      <c r="I659" s="284"/>
      <c r="J659" s="348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  <c r="V659" s="284"/>
      <c r="W659" s="284"/>
      <c r="X659" s="284"/>
    </row>
    <row r="660">
      <c r="A660" s="348"/>
      <c r="B660" s="284"/>
      <c r="C660" s="349"/>
      <c r="D660" s="349"/>
      <c r="E660" s="284"/>
      <c r="F660" s="284"/>
      <c r="G660" s="284"/>
      <c r="H660" s="284"/>
      <c r="I660" s="284"/>
      <c r="J660" s="348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  <c r="V660" s="284"/>
      <c r="W660" s="284"/>
      <c r="X660" s="284"/>
    </row>
    <row r="661">
      <c r="A661" s="348"/>
      <c r="B661" s="284"/>
      <c r="C661" s="349"/>
      <c r="D661" s="349"/>
      <c r="E661" s="284"/>
      <c r="F661" s="284"/>
      <c r="G661" s="284"/>
      <c r="H661" s="284"/>
      <c r="I661" s="284"/>
      <c r="J661" s="348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  <c r="V661" s="284"/>
      <c r="W661" s="284"/>
      <c r="X661" s="284"/>
    </row>
    <row r="662">
      <c r="A662" s="348"/>
      <c r="B662" s="284"/>
      <c r="C662" s="349"/>
      <c r="D662" s="349"/>
      <c r="E662" s="284"/>
      <c r="F662" s="284"/>
      <c r="G662" s="284"/>
      <c r="H662" s="284"/>
      <c r="I662" s="284"/>
      <c r="J662" s="348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  <c r="V662" s="284"/>
      <c r="W662" s="284"/>
      <c r="X662" s="284"/>
    </row>
    <row r="663">
      <c r="A663" s="348"/>
      <c r="B663" s="284"/>
      <c r="C663" s="349"/>
      <c r="D663" s="349"/>
      <c r="E663" s="284"/>
      <c r="F663" s="284"/>
      <c r="G663" s="284"/>
      <c r="H663" s="284"/>
      <c r="I663" s="284"/>
      <c r="J663" s="348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  <c r="V663" s="284"/>
      <c r="W663" s="284"/>
      <c r="X663" s="284"/>
    </row>
    <row r="664">
      <c r="A664" s="348"/>
      <c r="B664" s="284"/>
      <c r="C664" s="349"/>
      <c r="D664" s="349"/>
      <c r="E664" s="284"/>
      <c r="F664" s="284"/>
      <c r="G664" s="284"/>
      <c r="H664" s="284"/>
      <c r="I664" s="284"/>
      <c r="J664" s="348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  <c r="V664" s="284"/>
      <c r="W664" s="284"/>
      <c r="X664" s="284"/>
    </row>
    <row r="665">
      <c r="A665" s="348"/>
      <c r="B665" s="284"/>
      <c r="C665" s="349"/>
      <c r="D665" s="349"/>
      <c r="E665" s="284"/>
      <c r="F665" s="284"/>
      <c r="G665" s="284"/>
      <c r="H665" s="284"/>
      <c r="I665" s="284"/>
      <c r="J665" s="348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  <c r="V665" s="284"/>
      <c r="W665" s="284"/>
      <c r="X665" s="284"/>
    </row>
    <row r="666">
      <c r="A666" s="348"/>
      <c r="B666" s="284"/>
      <c r="C666" s="349"/>
      <c r="D666" s="349"/>
      <c r="E666" s="284"/>
      <c r="F666" s="284"/>
      <c r="G666" s="284"/>
      <c r="H666" s="284"/>
      <c r="I666" s="284"/>
      <c r="J666" s="348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  <c r="V666" s="284"/>
      <c r="W666" s="284"/>
      <c r="X666" s="284"/>
    </row>
    <row r="667">
      <c r="A667" s="348"/>
      <c r="B667" s="284"/>
      <c r="C667" s="349"/>
      <c r="D667" s="349"/>
      <c r="E667" s="284"/>
      <c r="F667" s="284"/>
      <c r="G667" s="284"/>
      <c r="H667" s="284"/>
      <c r="I667" s="284"/>
      <c r="J667" s="348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  <c r="V667" s="284"/>
      <c r="W667" s="284"/>
      <c r="X667" s="284"/>
    </row>
    <row r="668">
      <c r="A668" s="348"/>
      <c r="B668" s="284"/>
      <c r="C668" s="349"/>
      <c r="D668" s="349"/>
      <c r="E668" s="284"/>
      <c r="F668" s="284"/>
      <c r="G668" s="284"/>
      <c r="H668" s="284"/>
      <c r="I668" s="284"/>
      <c r="J668" s="348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  <c r="V668" s="284"/>
      <c r="W668" s="284"/>
      <c r="X668" s="284"/>
    </row>
    <row r="669">
      <c r="A669" s="348"/>
      <c r="B669" s="284"/>
      <c r="C669" s="349"/>
      <c r="D669" s="349"/>
      <c r="E669" s="284"/>
      <c r="F669" s="284"/>
      <c r="G669" s="284"/>
      <c r="H669" s="284"/>
      <c r="I669" s="284"/>
      <c r="J669" s="348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  <c r="V669" s="284"/>
      <c r="W669" s="284"/>
      <c r="X669" s="284"/>
    </row>
    <row r="670">
      <c r="A670" s="348"/>
      <c r="B670" s="284"/>
      <c r="C670" s="349"/>
      <c r="D670" s="349"/>
      <c r="E670" s="284"/>
      <c r="F670" s="284"/>
      <c r="G670" s="284"/>
      <c r="H670" s="284"/>
      <c r="I670" s="284"/>
      <c r="J670" s="348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  <c r="V670" s="284"/>
      <c r="W670" s="284"/>
      <c r="X670" s="284"/>
    </row>
    <row r="671">
      <c r="A671" s="348"/>
      <c r="B671" s="284"/>
      <c r="C671" s="349"/>
      <c r="D671" s="349"/>
      <c r="E671" s="284"/>
      <c r="F671" s="284"/>
      <c r="G671" s="284"/>
      <c r="H671" s="284"/>
      <c r="I671" s="284"/>
      <c r="J671" s="348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  <c r="V671" s="284"/>
      <c r="W671" s="284"/>
      <c r="X671" s="284"/>
    </row>
    <row r="672">
      <c r="A672" s="348"/>
      <c r="B672" s="284"/>
      <c r="C672" s="349"/>
      <c r="D672" s="349"/>
      <c r="E672" s="284"/>
      <c r="F672" s="284"/>
      <c r="G672" s="284"/>
      <c r="H672" s="284"/>
      <c r="I672" s="284"/>
      <c r="J672" s="348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  <c r="V672" s="284"/>
      <c r="W672" s="284"/>
      <c r="X672" s="284"/>
    </row>
    <row r="673">
      <c r="A673" s="348"/>
      <c r="B673" s="284"/>
      <c r="C673" s="349"/>
      <c r="D673" s="349"/>
      <c r="E673" s="284"/>
      <c r="F673" s="284"/>
      <c r="G673" s="284"/>
      <c r="H673" s="284"/>
      <c r="I673" s="284"/>
      <c r="J673" s="348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  <c r="V673" s="284"/>
      <c r="W673" s="284"/>
      <c r="X673" s="284"/>
    </row>
    <row r="674">
      <c r="A674" s="348"/>
      <c r="B674" s="284"/>
      <c r="C674" s="349"/>
      <c r="D674" s="349"/>
      <c r="E674" s="284"/>
      <c r="F674" s="284"/>
      <c r="G674" s="284"/>
      <c r="H674" s="284"/>
      <c r="I674" s="284"/>
      <c r="J674" s="348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</row>
    <row r="675">
      <c r="A675" s="348"/>
      <c r="B675" s="284"/>
      <c r="C675" s="349"/>
      <c r="D675" s="349"/>
      <c r="E675" s="284"/>
      <c r="F675" s="284"/>
      <c r="G675" s="284"/>
      <c r="H675" s="284"/>
      <c r="I675" s="284"/>
      <c r="J675" s="348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  <c r="V675" s="284"/>
      <c r="W675" s="284"/>
      <c r="X675" s="284"/>
    </row>
    <row r="676">
      <c r="A676" s="348"/>
      <c r="B676" s="284"/>
      <c r="C676" s="349"/>
      <c r="D676" s="349"/>
      <c r="E676" s="284"/>
      <c r="F676" s="284"/>
      <c r="G676" s="284"/>
      <c r="H676" s="284"/>
      <c r="I676" s="284"/>
      <c r="J676" s="348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  <c r="V676" s="284"/>
      <c r="W676" s="284"/>
      <c r="X676" s="284"/>
    </row>
    <row r="677">
      <c r="A677" s="348"/>
      <c r="B677" s="284"/>
      <c r="C677" s="349"/>
      <c r="D677" s="349"/>
      <c r="E677" s="284"/>
      <c r="F677" s="284"/>
      <c r="G677" s="284"/>
      <c r="H677" s="284"/>
      <c r="I677" s="284"/>
      <c r="J677" s="348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  <c r="V677" s="284"/>
      <c r="W677" s="284"/>
      <c r="X677" s="284"/>
    </row>
    <row r="678">
      <c r="A678" s="348"/>
      <c r="B678" s="284"/>
      <c r="C678" s="349"/>
      <c r="D678" s="349"/>
      <c r="E678" s="284"/>
      <c r="F678" s="284"/>
      <c r="G678" s="284"/>
      <c r="H678" s="284"/>
      <c r="I678" s="284"/>
      <c r="J678" s="348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  <c r="V678" s="284"/>
      <c r="W678" s="284"/>
      <c r="X678" s="284"/>
    </row>
    <row r="679">
      <c r="A679" s="348"/>
      <c r="B679" s="284"/>
      <c r="C679" s="349"/>
      <c r="D679" s="349"/>
      <c r="E679" s="284"/>
      <c r="F679" s="284"/>
      <c r="G679" s="284"/>
      <c r="H679" s="284"/>
      <c r="I679" s="284"/>
      <c r="J679" s="348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  <c r="V679" s="284"/>
      <c r="W679" s="284"/>
      <c r="X679" s="284"/>
    </row>
    <row r="680">
      <c r="A680" s="348"/>
      <c r="B680" s="284"/>
      <c r="C680" s="349"/>
      <c r="D680" s="349"/>
      <c r="E680" s="284"/>
      <c r="F680" s="284"/>
      <c r="G680" s="284"/>
      <c r="H680" s="284"/>
      <c r="I680" s="284"/>
      <c r="J680" s="348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  <c r="V680" s="284"/>
      <c r="W680" s="284"/>
      <c r="X680" s="284"/>
    </row>
    <row r="681">
      <c r="A681" s="348"/>
      <c r="B681" s="284"/>
      <c r="C681" s="349"/>
      <c r="D681" s="349"/>
      <c r="E681" s="284"/>
      <c r="F681" s="284"/>
      <c r="G681" s="284"/>
      <c r="H681" s="284"/>
      <c r="I681" s="284"/>
      <c r="J681" s="348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  <c r="V681" s="284"/>
      <c r="W681" s="284"/>
      <c r="X681" s="284"/>
    </row>
    <row r="682">
      <c r="A682" s="348"/>
      <c r="B682" s="284"/>
      <c r="C682" s="349"/>
      <c r="D682" s="349"/>
      <c r="E682" s="284"/>
      <c r="F682" s="284"/>
      <c r="G682" s="284"/>
      <c r="H682" s="284"/>
      <c r="I682" s="284"/>
      <c r="J682" s="348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  <c r="V682" s="284"/>
      <c r="W682" s="284"/>
      <c r="X682" s="284"/>
    </row>
    <row r="683">
      <c r="A683" s="348"/>
      <c r="B683" s="284"/>
      <c r="C683" s="349"/>
      <c r="D683" s="349"/>
      <c r="E683" s="284"/>
      <c r="F683" s="284"/>
      <c r="G683" s="284"/>
      <c r="H683" s="284"/>
      <c r="I683" s="284"/>
      <c r="J683" s="348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  <c r="V683" s="284"/>
      <c r="W683" s="284"/>
      <c r="X683" s="284"/>
    </row>
    <row r="684">
      <c r="A684" s="348"/>
      <c r="B684" s="284"/>
      <c r="C684" s="349"/>
      <c r="D684" s="349"/>
      <c r="E684" s="284"/>
      <c r="F684" s="284"/>
      <c r="G684" s="284"/>
      <c r="H684" s="284"/>
      <c r="I684" s="284"/>
      <c r="J684" s="348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  <c r="V684" s="284"/>
      <c r="W684" s="284"/>
      <c r="X684" s="284"/>
    </row>
    <row r="685">
      <c r="A685" s="348"/>
      <c r="B685" s="284"/>
      <c r="C685" s="349"/>
      <c r="D685" s="349"/>
      <c r="E685" s="284"/>
      <c r="F685" s="284"/>
      <c r="G685" s="284"/>
      <c r="H685" s="284"/>
      <c r="I685" s="284"/>
      <c r="J685" s="348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  <c r="V685" s="284"/>
      <c r="W685" s="284"/>
      <c r="X685" s="284"/>
    </row>
    <row r="686">
      <c r="A686" s="348"/>
      <c r="B686" s="284"/>
      <c r="C686" s="349"/>
      <c r="D686" s="349"/>
      <c r="E686" s="284"/>
      <c r="F686" s="284"/>
      <c r="G686" s="284"/>
      <c r="H686" s="284"/>
      <c r="I686" s="284"/>
      <c r="J686" s="348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  <c r="V686" s="284"/>
      <c r="W686" s="284"/>
      <c r="X686" s="284"/>
    </row>
    <row r="687">
      <c r="A687" s="348"/>
      <c r="B687" s="284"/>
      <c r="C687" s="349"/>
      <c r="D687" s="349"/>
      <c r="E687" s="284"/>
      <c r="F687" s="284"/>
      <c r="G687" s="284"/>
      <c r="H687" s="284"/>
      <c r="I687" s="284"/>
      <c r="J687" s="348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  <c r="V687" s="284"/>
      <c r="W687" s="284"/>
      <c r="X687" s="284"/>
    </row>
    <row r="688">
      <c r="A688" s="348"/>
      <c r="B688" s="284"/>
      <c r="C688" s="349"/>
      <c r="D688" s="349"/>
      <c r="E688" s="284"/>
      <c r="F688" s="284"/>
      <c r="G688" s="284"/>
      <c r="H688" s="284"/>
      <c r="I688" s="284"/>
      <c r="J688" s="348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  <c r="V688" s="284"/>
      <c r="W688" s="284"/>
      <c r="X688" s="284"/>
    </row>
    <row r="689">
      <c r="A689" s="348"/>
      <c r="B689" s="284"/>
      <c r="C689" s="349"/>
      <c r="D689" s="349"/>
      <c r="E689" s="284"/>
      <c r="F689" s="284"/>
      <c r="G689" s="284"/>
      <c r="H689" s="284"/>
      <c r="I689" s="284"/>
      <c r="J689" s="348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  <c r="V689" s="284"/>
      <c r="W689" s="284"/>
      <c r="X689" s="284"/>
    </row>
    <row r="690">
      <c r="A690" s="348"/>
      <c r="B690" s="284"/>
      <c r="C690" s="349"/>
      <c r="D690" s="349"/>
      <c r="E690" s="284"/>
      <c r="F690" s="284"/>
      <c r="G690" s="284"/>
      <c r="H690" s="284"/>
      <c r="I690" s="284"/>
      <c r="J690" s="348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  <c r="V690" s="284"/>
      <c r="W690" s="284"/>
      <c r="X690" s="284"/>
    </row>
    <row r="691">
      <c r="A691" s="348"/>
      <c r="B691" s="284"/>
      <c r="C691" s="349"/>
      <c r="D691" s="349"/>
      <c r="E691" s="284"/>
      <c r="F691" s="284"/>
      <c r="G691" s="284"/>
      <c r="H691" s="284"/>
      <c r="I691" s="284"/>
      <c r="J691" s="348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  <c r="V691" s="284"/>
      <c r="W691" s="284"/>
      <c r="X691" s="284"/>
    </row>
    <row r="692">
      <c r="A692" s="348"/>
      <c r="B692" s="284"/>
      <c r="C692" s="349"/>
      <c r="D692" s="349"/>
      <c r="E692" s="284"/>
      <c r="F692" s="284"/>
      <c r="G692" s="284"/>
      <c r="H692" s="284"/>
      <c r="I692" s="284"/>
      <c r="J692" s="348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  <c r="V692" s="284"/>
      <c r="W692" s="284"/>
      <c r="X692" s="284"/>
    </row>
    <row r="693">
      <c r="A693" s="348"/>
      <c r="B693" s="284"/>
      <c r="C693" s="349"/>
      <c r="D693" s="349"/>
      <c r="E693" s="284"/>
      <c r="F693" s="284"/>
      <c r="G693" s="284"/>
      <c r="H693" s="284"/>
      <c r="I693" s="284"/>
      <c r="J693" s="348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  <c r="V693" s="284"/>
      <c r="W693" s="284"/>
      <c r="X693" s="284"/>
    </row>
    <row r="694">
      <c r="A694" s="348"/>
      <c r="B694" s="284"/>
      <c r="C694" s="349"/>
      <c r="D694" s="349"/>
      <c r="E694" s="284"/>
      <c r="F694" s="284"/>
      <c r="G694" s="284"/>
      <c r="H694" s="284"/>
      <c r="I694" s="284"/>
      <c r="J694" s="348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  <c r="V694" s="284"/>
      <c r="W694" s="284"/>
      <c r="X694" s="284"/>
    </row>
    <row r="695">
      <c r="A695" s="348"/>
      <c r="B695" s="284"/>
      <c r="C695" s="349"/>
      <c r="D695" s="349"/>
      <c r="E695" s="284"/>
      <c r="F695" s="284"/>
      <c r="G695" s="284"/>
      <c r="H695" s="284"/>
      <c r="I695" s="284"/>
      <c r="J695" s="348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  <c r="V695" s="284"/>
      <c r="W695" s="284"/>
      <c r="X695" s="284"/>
    </row>
    <row r="696">
      <c r="A696" s="348"/>
      <c r="B696" s="284"/>
      <c r="C696" s="349"/>
      <c r="D696" s="349"/>
      <c r="E696" s="284"/>
      <c r="F696" s="284"/>
      <c r="G696" s="284"/>
      <c r="H696" s="284"/>
      <c r="I696" s="284"/>
      <c r="J696" s="348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  <c r="V696" s="284"/>
      <c r="W696" s="284"/>
      <c r="X696" s="284"/>
    </row>
    <row r="697">
      <c r="A697" s="348"/>
      <c r="B697" s="284"/>
      <c r="C697" s="349"/>
      <c r="D697" s="349"/>
      <c r="E697" s="284"/>
      <c r="F697" s="284"/>
      <c r="G697" s="284"/>
      <c r="H697" s="284"/>
      <c r="I697" s="284"/>
      <c r="J697" s="348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</row>
    <row r="698">
      <c r="A698" s="348"/>
      <c r="B698" s="284"/>
      <c r="C698" s="349"/>
      <c r="D698" s="349"/>
      <c r="E698" s="284"/>
      <c r="F698" s="284"/>
      <c r="G698" s="284"/>
      <c r="H698" s="284"/>
      <c r="I698" s="284"/>
      <c r="J698" s="348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  <c r="V698" s="284"/>
      <c r="W698" s="284"/>
      <c r="X698" s="284"/>
    </row>
    <row r="699">
      <c r="A699" s="348"/>
      <c r="B699" s="284"/>
      <c r="C699" s="349"/>
      <c r="D699" s="349"/>
      <c r="E699" s="284"/>
      <c r="F699" s="284"/>
      <c r="G699" s="284"/>
      <c r="H699" s="284"/>
      <c r="I699" s="284"/>
      <c r="J699" s="348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  <c r="V699" s="284"/>
      <c r="W699" s="284"/>
      <c r="X699" s="284"/>
    </row>
    <row r="700">
      <c r="A700" s="348"/>
      <c r="B700" s="284"/>
      <c r="C700" s="349"/>
      <c r="D700" s="349"/>
      <c r="E700" s="284"/>
      <c r="F700" s="284"/>
      <c r="G700" s="284"/>
      <c r="H700" s="284"/>
      <c r="I700" s="284"/>
      <c r="J700" s="348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  <c r="V700" s="284"/>
      <c r="W700" s="284"/>
      <c r="X700" s="284"/>
    </row>
    <row r="701">
      <c r="A701" s="348"/>
      <c r="B701" s="284"/>
      <c r="C701" s="349"/>
      <c r="D701" s="349"/>
      <c r="E701" s="284"/>
      <c r="F701" s="284"/>
      <c r="G701" s="284"/>
      <c r="H701" s="284"/>
      <c r="I701" s="284"/>
      <c r="J701" s="348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  <c r="V701" s="284"/>
      <c r="W701" s="284"/>
      <c r="X701" s="284"/>
    </row>
    <row r="702">
      <c r="A702" s="348"/>
      <c r="B702" s="284"/>
      <c r="C702" s="349"/>
      <c r="D702" s="349"/>
      <c r="E702" s="284"/>
      <c r="F702" s="284"/>
      <c r="G702" s="284"/>
      <c r="H702" s="284"/>
      <c r="I702" s="284"/>
      <c r="J702" s="348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  <c r="V702" s="284"/>
      <c r="W702" s="284"/>
      <c r="X702" s="284"/>
    </row>
    <row r="703">
      <c r="A703" s="348"/>
      <c r="B703" s="284"/>
      <c r="C703" s="349"/>
      <c r="D703" s="349"/>
      <c r="E703" s="284"/>
      <c r="F703" s="284"/>
      <c r="G703" s="284"/>
      <c r="H703" s="284"/>
      <c r="I703" s="284"/>
      <c r="J703" s="348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  <c r="V703" s="284"/>
      <c r="W703" s="284"/>
      <c r="X703" s="284"/>
    </row>
    <row r="704">
      <c r="A704" s="348"/>
      <c r="B704" s="284"/>
      <c r="C704" s="349"/>
      <c r="D704" s="349"/>
      <c r="E704" s="284"/>
      <c r="F704" s="284"/>
      <c r="G704" s="284"/>
      <c r="H704" s="284"/>
      <c r="I704" s="284"/>
      <c r="J704" s="348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  <c r="V704" s="284"/>
      <c r="W704" s="284"/>
      <c r="X704" s="284"/>
    </row>
    <row r="705">
      <c r="A705" s="348"/>
      <c r="B705" s="284"/>
      <c r="C705" s="349"/>
      <c r="D705" s="349"/>
      <c r="E705" s="284"/>
      <c r="F705" s="284"/>
      <c r="G705" s="284"/>
      <c r="H705" s="284"/>
      <c r="I705" s="284"/>
      <c r="J705" s="348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  <c r="V705" s="284"/>
      <c r="W705" s="284"/>
      <c r="X705" s="284"/>
    </row>
    <row r="706">
      <c r="A706" s="348"/>
      <c r="B706" s="284"/>
      <c r="C706" s="349"/>
      <c r="D706" s="349"/>
      <c r="E706" s="284"/>
      <c r="F706" s="284"/>
      <c r="G706" s="284"/>
      <c r="H706" s="284"/>
      <c r="I706" s="284"/>
      <c r="J706" s="348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  <c r="V706" s="284"/>
      <c r="W706" s="284"/>
      <c r="X706" s="284"/>
    </row>
    <row r="707">
      <c r="A707" s="348"/>
      <c r="B707" s="284"/>
      <c r="C707" s="349"/>
      <c r="D707" s="349"/>
      <c r="E707" s="284"/>
      <c r="F707" s="284"/>
      <c r="G707" s="284"/>
      <c r="H707" s="284"/>
      <c r="I707" s="284"/>
      <c r="J707" s="348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  <c r="V707" s="284"/>
      <c r="W707" s="284"/>
      <c r="X707" s="284"/>
    </row>
    <row r="708">
      <c r="A708" s="348"/>
      <c r="B708" s="284"/>
      <c r="C708" s="349"/>
      <c r="D708" s="349"/>
      <c r="E708" s="284"/>
      <c r="F708" s="284"/>
      <c r="G708" s="284"/>
      <c r="H708" s="284"/>
      <c r="I708" s="284"/>
      <c r="J708" s="348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  <c r="V708" s="284"/>
      <c r="W708" s="284"/>
      <c r="X708" s="284"/>
    </row>
    <row r="709">
      <c r="A709" s="348"/>
      <c r="B709" s="284"/>
      <c r="C709" s="349"/>
      <c r="D709" s="349"/>
      <c r="E709" s="284"/>
      <c r="F709" s="284"/>
      <c r="G709" s="284"/>
      <c r="H709" s="284"/>
      <c r="I709" s="284"/>
      <c r="J709" s="348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  <c r="V709" s="284"/>
      <c r="W709" s="284"/>
      <c r="X709" s="284"/>
    </row>
    <row r="710">
      <c r="A710" s="348"/>
      <c r="B710" s="284"/>
      <c r="C710" s="349"/>
      <c r="D710" s="349"/>
      <c r="E710" s="284"/>
      <c r="F710" s="284"/>
      <c r="G710" s="284"/>
      <c r="H710" s="284"/>
      <c r="I710" s="284"/>
      <c r="J710" s="348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  <c r="V710" s="284"/>
      <c r="W710" s="284"/>
      <c r="X710" s="284"/>
    </row>
    <row r="711">
      <c r="A711" s="348"/>
      <c r="B711" s="284"/>
      <c r="C711" s="349"/>
      <c r="D711" s="349"/>
      <c r="E711" s="284"/>
      <c r="F711" s="284"/>
      <c r="G711" s="284"/>
      <c r="H711" s="284"/>
      <c r="I711" s="284"/>
      <c r="J711" s="348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  <c r="V711" s="284"/>
      <c r="W711" s="284"/>
      <c r="X711" s="284"/>
    </row>
    <row r="712">
      <c r="A712" s="348"/>
      <c r="B712" s="284"/>
      <c r="C712" s="349"/>
      <c r="D712" s="349"/>
      <c r="E712" s="284"/>
      <c r="F712" s="284"/>
      <c r="G712" s="284"/>
      <c r="H712" s="284"/>
      <c r="I712" s="284"/>
      <c r="J712" s="348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  <c r="V712" s="284"/>
      <c r="W712" s="284"/>
      <c r="X712" s="284"/>
    </row>
    <row r="713">
      <c r="A713" s="348"/>
      <c r="B713" s="284"/>
      <c r="C713" s="349"/>
      <c r="D713" s="349"/>
      <c r="E713" s="284"/>
      <c r="F713" s="284"/>
      <c r="G713" s="284"/>
      <c r="H713" s="284"/>
      <c r="I713" s="284"/>
      <c r="J713" s="348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  <c r="V713" s="284"/>
      <c r="W713" s="284"/>
      <c r="X713" s="284"/>
    </row>
    <row r="714">
      <c r="A714" s="348"/>
      <c r="B714" s="284"/>
      <c r="C714" s="349"/>
      <c r="D714" s="349"/>
      <c r="E714" s="284"/>
      <c r="F714" s="284"/>
      <c r="G714" s="284"/>
      <c r="H714" s="284"/>
      <c r="I714" s="284"/>
      <c r="J714" s="348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  <c r="V714" s="284"/>
      <c r="W714" s="284"/>
      <c r="X714" s="284"/>
    </row>
    <row r="715">
      <c r="A715" s="348"/>
      <c r="B715" s="284"/>
      <c r="C715" s="349"/>
      <c r="D715" s="349"/>
      <c r="E715" s="284"/>
      <c r="F715" s="284"/>
      <c r="G715" s="284"/>
      <c r="H715" s="284"/>
      <c r="I715" s="284"/>
      <c r="J715" s="348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  <c r="V715" s="284"/>
      <c r="W715" s="284"/>
      <c r="X715" s="284"/>
    </row>
    <row r="716">
      <c r="A716" s="348"/>
      <c r="B716" s="284"/>
      <c r="C716" s="349"/>
      <c r="D716" s="349"/>
      <c r="E716" s="284"/>
      <c r="F716" s="284"/>
      <c r="G716" s="284"/>
      <c r="H716" s="284"/>
      <c r="I716" s="284"/>
      <c r="J716" s="348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  <c r="V716" s="284"/>
      <c r="W716" s="284"/>
      <c r="X716" s="284"/>
    </row>
    <row r="717">
      <c r="A717" s="348"/>
      <c r="B717" s="284"/>
      <c r="C717" s="349"/>
      <c r="D717" s="349"/>
      <c r="E717" s="284"/>
      <c r="F717" s="284"/>
      <c r="G717" s="284"/>
      <c r="H717" s="284"/>
      <c r="I717" s="284"/>
      <c r="J717" s="348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  <c r="V717" s="284"/>
      <c r="W717" s="284"/>
      <c r="X717" s="284"/>
    </row>
    <row r="718">
      <c r="A718" s="348"/>
      <c r="B718" s="284"/>
      <c r="C718" s="349"/>
      <c r="D718" s="349"/>
      <c r="E718" s="284"/>
      <c r="F718" s="284"/>
      <c r="G718" s="284"/>
      <c r="H718" s="284"/>
      <c r="I718" s="284"/>
      <c r="J718" s="348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  <c r="V718" s="284"/>
      <c r="W718" s="284"/>
      <c r="X718" s="284"/>
    </row>
    <row r="719">
      <c r="A719" s="348"/>
      <c r="B719" s="284"/>
      <c r="C719" s="349"/>
      <c r="D719" s="349"/>
      <c r="E719" s="284"/>
      <c r="F719" s="284"/>
      <c r="G719" s="284"/>
      <c r="H719" s="284"/>
      <c r="I719" s="284"/>
      <c r="J719" s="348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  <c r="V719" s="284"/>
      <c r="W719" s="284"/>
      <c r="X719" s="284"/>
    </row>
    <row r="720">
      <c r="A720" s="348"/>
      <c r="B720" s="284"/>
      <c r="C720" s="349"/>
      <c r="D720" s="349"/>
      <c r="E720" s="284"/>
      <c r="F720" s="284"/>
      <c r="G720" s="284"/>
      <c r="H720" s="284"/>
      <c r="I720" s="284"/>
      <c r="J720" s="348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  <c r="V720" s="284"/>
      <c r="W720" s="284"/>
      <c r="X720" s="284"/>
    </row>
    <row r="721">
      <c r="A721" s="348"/>
      <c r="B721" s="284"/>
      <c r="C721" s="349"/>
      <c r="D721" s="349"/>
      <c r="E721" s="284"/>
      <c r="F721" s="284"/>
      <c r="G721" s="284"/>
      <c r="H721" s="284"/>
      <c r="I721" s="284"/>
      <c r="J721" s="348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  <c r="V721" s="284"/>
      <c r="W721" s="284"/>
      <c r="X721" s="284"/>
    </row>
    <row r="722">
      <c r="A722" s="348"/>
      <c r="B722" s="284"/>
      <c r="C722" s="349"/>
      <c r="D722" s="349"/>
      <c r="E722" s="284"/>
      <c r="F722" s="284"/>
      <c r="G722" s="284"/>
      <c r="H722" s="284"/>
      <c r="I722" s="284"/>
      <c r="J722" s="348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  <c r="V722" s="284"/>
      <c r="W722" s="284"/>
      <c r="X722" s="284"/>
    </row>
    <row r="723">
      <c r="A723" s="348"/>
      <c r="B723" s="284"/>
      <c r="C723" s="349"/>
      <c r="D723" s="349"/>
      <c r="E723" s="284"/>
      <c r="F723" s="284"/>
      <c r="G723" s="284"/>
      <c r="H723" s="284"/>
      <c r="I723" s="284"/>
      <c r="J723" s="348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  <c r="V723" s="284"/>
      <c r="W723" s="284"/>
      <c r="X723" s="284"/>
    </row>
    <row r="724">
      <c r="A724" s="348"/>
      <c r="B724" s="284"/>
      <c r="C724" s="349"/>
      <c r="D724" s="349"/>
      <c r="E724" s="284"/>
      <c r="F724" s="284"/>
      <c r="G724" s="284"/>
      <c r="H724" s="284"/>
      <c r="I724" s="284"/>
      <c r="J724" s="348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  <c r="V724" s="284"/>
      <c r="W724" s="284"/>
      <c r="X724" s="284"/>
    </row>
    <row r="725">
      <c r="A725" s="348"/>
      <c r="B725" s="284"/>
      <c r="C725" s="349"/>
      <c r="D725" s="349"/>
      <c r="E725" s="284"/>
      <c r="F725" s="284"/>
      <c r="G725" s="284"/>
      <c r="H725" s="284"/>
      <c r="I725" s="284"/>
      <c r="J725" s="348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  <c r="V725" s="284"/>
      <c r="W725" s="284"/>
      <c r="X725" s="284"/>
    </row>
    <row r="726">
      <c r="A726" s="348"/>
      <c r="B726" s="284"/>
      <c r="C726" s="349"/>
      <c r="D726" s="349"/>
      <c r="E726" s="284"/>
      <c r="F726" s="284"/>
      <c r="G726" s="284"/>
      <c r="H726" s="284"/>
      <c r="I726" s="284"/>
      <c r="J726" s="348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  <c r="V726" s="284"/>
      <c r="W726" s="284"/>
      <c r="X726" s="284"/>
    </row>
    <row r="727">
      <c r="A727" s="348"/>
      <c r="B727" s="284"/>
      <c r="C727" s="349"/>
      <c r="D727" s="349"/>
      <c r="E727" s="284"/>
      <c r="F727" s="284"/>
      <c r="G727" s="284"/>
      <c r="H727" s="284"/>
      <c r="I727" s="284"/>
      <c r="J727" s="348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  <c r="V727" s="284"/>
      <c r="W727" s="284"/>
      <c r="X727" s="284"/>
    </row>
    <row r="728">
      <c r="A728" s="348"/>
      <c r="B728" s="284"/>
      <c r="C728" s="349"/>
      <c r="D728" s="349"/>
      <c r="E728" s="284"/>
      <c r="F728" s="284"/>
      <c r="G728" s="284"/>
      <c r="H728" s="284"/>
      <c r="I728" s="284"/>
      <c r="J728" s="348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</row>
    <row r="729">
      <c r="A729" s="348"/>
      <c r="B729" s="284"/>
      <c r="C729" s="349"/>
      <c r="D729" s="349"/>
      <c r="E729" s="284"/>
      <c r="F729" s="284"/>
      <c r="G729" s="284"/>
      <c r="H729" s="284"/>
      <c r="I729" s="284"/>
      <c r="J729" s="348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  <c r="V729" s="284"/>
      <c r="W729" s="284"/>
      <c r="X729" s="284"/>
    </row>
    <row r="730">
      <c r="A730" s="348"/>
      <c r="B730" s="284"/>
      <c r="C730" s="349"/>
      <c r="D730" s="349"/>
      <c r="E730" s="284"/>
      <c r="F730" s="284"/>
      <c r="G730" s="284"/>
      <c r="H730" s="284"/>
      <c r="I730" s="284"/>
      <c r="J730" s="348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  <c r="V730" s="284"/>
      <c r="W730" s="284"/>
      <c r="X730" s="284"/>
    </row>
    <row r="731">
      <c r="A731" s="348"/>
      <c r="B731" s="284"/>
      <c r="C731" s="349"/>
      <c r="D731" s="349"/>
      <c r="E731" s="284"/>
      <c r="F731" s="284"/>
      <c r="G731" s="284"/>
      <c r="H731" s="284"/>
      <c r="I731" s="284"/>
      <c r="J731" s="348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  <c r="V731" s="284"/>
      <c r="W731" s="284"/>
      <c r="X731" s="284"/>
    </row>
    <row r="732">
      <c r="A732" s="348"/>
      <c r="B732" s="284"/>
      <c r="C732" s="349"/>
      <c r="D732" s="349"/>
      <c r="E732" s="284"/>
      <c r="F732" s="284"/>
      <c r="G732" s="284"/>
      <c r="H732" s="284"/>
      <c r="I732" s="284"/>
      <c r="J732" s="348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  <c r="V732" s="284"/>
      <c r="W732" s="284"/>
      <c r="X732" s="284"/>
    </row>
    <row r="733">
      <c r="A733" s="348"/>
      <c r="B733" s="284"/>
      <c r="C733" s="349"/>
      <c r="D733" s="349"/>
      <c r="E733" s="284"/>
      <c r="F733" s="284"/>
      <c r="G733" s="284"/>
      <c r="H733" s="284"/>
      <c r="I733" s="284"/>
      <c r="J733" s="348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  <c r="V733" s="284"/>
      <c r="W733" s="284"/>
      <c r="X733" s="284"/>
    </row>
    <row r="734">
      <c r="A734" s="348"/>
      <c r="B734" s="284"/>
      <c r="C734" s="349"/>
      <c r="D734" s="349"/>
      <c r="E734" s="284"/>
      <c r="F734" s="284"/>
      <c r="G734" s="284"/>
      <c r="H734" s="284"/>
      <c r="I734" s="284"/>
      <c r="J734" s="348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  <c r="V734" s="284"/>
      <c r="W734" s="284"/>
      <c r="X734" s="284"/>
    </row>
    <row r="735">
      <c r="A735" s="348"/>
      <c r="B735" s="284"/>
      <c r="C735" s="349"/>
      <c r="D735" s="349"/>
      <c r="E735" s="284"/>
      <c r="F735" s="284"/>
      <c r="G735" s="284"/>
      <c r="H735" s="284"/>
      <c r="I735" s="284"/>
      <c r="J735" s="348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  <c r="V735" s="284"/>
      <c r="W735" s="284"/>
      <c r="X735" s="284"/>
    </row>
    <row r="736">
      <c r="A736" s="348"/>
      <c r="B736" s="284"/>
      <c r="C736" s="349"/>
      <c r="D736" s="349"/>
      <c r="E736" s="284"/>
      <c r="F736" s="284"/>
      <c r="G736" s="284"/>
      <c r="H736" s="284"/>
      <c r="I736" s="284"/>
      <c r="J736" s="348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  <c r="V736" s="284"/>
      <c r="W736" s="284"/>
      <c r="X736" s="284"/>
    </row>
    <row r="737">
      <c r="A737" s="348"/>
      <c r="B737" s="284"/>
      <c r="C737" s="349"/>
      <c r="D737" s="349"/>
      <c r="E737" s="284"/>
      <c r="F737" s="284"/>
      <c r="G737" s="284"/>
      <c r="H737" s="284"/>
      <c r="I737" s="284"/>
      <c r="J737" s="348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  <c r="V737" s="284"/>
      <c r="W737" s="284"/>
      <c r="X737" s="284"/>
    </row>
    <row r="738">
      <c r="A738" s="348"/>
      <c r="B738" s="284"/>
      <c r="C738" s="349"/>
      <c r="D738" s="349"/>
      <c r="E738" s="284"/>
      <c r="F738" s="284"/>
      <c r="G738" s="284"/>
      <c r="H738" s="284"/>
      <c r="I738" s="284"/>
      <c r="J738" s="348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  <c r="V738" s="284"/>
      <c r="W738" s="284"/>
      <c r="X738" s="284"/>
    </row>
    <row r="739">
      <c r="A739" s="348"/>
      <c r="B739" s="284"/>
      <c r="C739" s="349"/>
      <c r="D739" s="349"/>
      <c r="E739" s="284"/>
      <c r="F739" s="284"/>
      <c r="G739" s="284"/>
      <c r="H739" s="284"/>
      <c r="I739" s="284"/>
      <c r="J739" s="348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  <c r="V739" s="284"/>
      <c r="W739" s="284"/>
      <c r="X739" s="284"/>
    </row>
    <row r="740">
      <c r="A740" s="348"/>
      <c r="B740" s="284"/>
      <c r="C740" s="349"/>
      <c r="D740" s="349"/>
      <c r="E740" s="284"/>
      <c r="F740" s="284"/>
      <c r="G740" s="284"/>
      <c r="H740" s="284"/>
      <c r="I740" s="284"/>
      <c r="J740" s="348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  <c r="V740" s="284"/>
      <c r="W740" s="284"/>
      <c r="X740" s="284"/>
    </row>
    <row r="741">
      <c r="A741" s="348"/>
      <c r="B741" s="284"/>
      <c r="C741" s="349"/>
      <c r="D741" s="349"/>
      <c r="E741" s="284"/>
      <c r="F741" s="284"/>
      <c r="G741" s="284"/>
      <c r="H741" s="284"/>
      <c r="I741" s="284"/>
      <c r="J741" s="348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</row>
    <row r="742">
      <c r="A742" s="348"/>
      <c r="B742" s="284"/>
      <c r="C742" s="349"/>
      <c r="D742" s="349"/>
      <c r="E742" s="284"/>
      <c r="F742" s="284"/>
      <c r="G742" s="284"/>
      <c r="H742" s="284"/>
      <c r="I742" s="284"/>
      <c r="J742" s="348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  <c r="V742" s="284"/>
      <c r="W742" s="284"/>
      <c r="X742" s="284"/>
    </row>
    <row r="743">
      <c r="A743" s="348"/>
      <c r="B743" s="284"/>
      <c r="C743" s="349"/>
      <c r="D743" s="349"/>
      <c r="E743" s="284"/>
      <c r="F743" s="284"/>
      <c r="G743" s="284"/>
      <c r="H743" s="284"/>
      <c r="I743" s="284"/>
      <c r="J743" s="348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  <c r="V743" s="284"/>
      <c r="W743" s="284"/>
      <c r="X743" s="284"/>
    </row>
    <row r="744">
      <c r="A744" s="348"/>
      <c r="B744" s="284"/>
      <c r="C744" s="349"/>
      <c r="D744" s="349"/>
      <c r="E744" s="284"/>
      <c r="F744" s="284"/>
      <c r="G744" s="284"/>
      <c r="H744" s="284"/>
      <c r="I744" s="284"/>
      <c r="J744" s="348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  <c r="V744" s="284"/>
      <c r="W744" s="284"/>
      <c r="X744" s="284"/>
    </row>
    <row r="745">
      <c r="A745" s="348"/>
      <c r="B745" s="284"/>
      <c r="C745" s="349"/>
      <c r="D745" s="349"/>
      <c r="E745" s="284"/>
      <c r="F745" s="284"/>
      <c r="G745" s="284"/>
      <c r="H745" s="284"/>
      <c r="I745" s="284"/>
      <c r="J745" s="348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  <c r="V745" s="284"/>
      <c r="W745" s="284"/>
      <c r="X745" s="284"/>
    </row>
    <row r="746">
      <c r="A746" s="348"/>
      <c r="B746" s="284"/>
      <c r="C746" s="349"/>
      <c r="D746" s="349"/>
      <c r="E746" s="284"/>
      <c r="F746" s="284"/>
      <c r="G746" s="284"/>
      <c r="H746" s="284"/>
      <c r="I746" s="284"/>
      <c r="J746" s="348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  <c r="V746" s="284"/>
      <c r="W746" s="284"/>
      <c r="X746" s="284"/>
    </row>
    <row r="747">
      <c r="A747" s="348"/>
      <c r="B747" s="284"/>
      <c r="C747" s="349"/>
      <c r="D747" s="349"/>
      <c r="E747" s="284"/>
      <c r="F747" s="284"/>
      <c r="G747" s="284"/>
      <c r="H747" s="284"/>
      <c r="I747" s="284"/>
      <c r="J747" s="348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  <c r="V747" s="284"/>
      <c r="W747" s="284"/>
      <c r="X747" s="284"/>
    </row>
    <row r="748">
      <c r="A748" s="348"/>
      <c r="B748" s="284"/>
      <c r="C748" s="349"/>
      <c r="D748" s="349"/>
      <c r="E748" s="284"/>
      <c r="F748" s="284"/>
      <c r="G748" s="284"/>
      <c r="H748" s="284"/>
      <c r="I748" s="284"/>
      <c r="J748" s="348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  <c r="V748" s="284"/>
      <c r="W748" s="284"/>
      <c r="X748" s="284"/>
    </row>
    <row r="749">
      <c r="A749" s="348"/>
      <c r="B749" s="284"/>
      <c r="C749" s="349"/>
      <c r="D749" s="349"/>
      <c r="E749" s="284"/>
      <c r="F749" s="284"/>
      <c r="G749" s="284"/>
      <c r="H749" s="284"/>
      <c r="I749" s="284"/>
      <c r="J749" s="348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  <c r="V749" s="284"/>
      <c r="W749" s="284"/>
      <c r="X749" s="284"/>
    </row>
    <row r="750">
      <c r="A750" s="348"/>
      <c r="B750" s="284"/>
      <c r="C750" s="349"/>
      <c r="D750" s="349"/>
      <c r="E750" s="284"/>
      <c r="F750" s="284"/>
      <c r="G750" s="284"/>
      <c r="H750" s="284"/>
      <c r="I750" s="284"/>
      <c r="J750" s="348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  <c r="V750" s="284"/>
      <c r="W750" s="284"/>
      <c r="X750" s="284"/>
    </row>
    <row r="751">
      <c r="A751" s="348"/>
      <c r="B751" s="284"/>
      <c r="C751" s="349"/>
      <c r="D751" s="349"/>
      <c r="E751" s="284"/>
      <c r="F751" s="284"/>
      <c r="G751" s="284"/>
      <c r="H751" s="284"/>
      <c r="I751" s="284"/>
      <c r="J751" s="348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  <c r="V751" s="284"/>
      <c r="W751" s="284"/>
      <c r="X751" s="284"/>
    </row>
    <row r="752">
      <c r="A752" s="348"/>
      <c r="B752" s="284"/>
      <c r="C752" s="349"/>
      <c r="D752" s="349"/>
      <c r="E752" s="284"/>
      <c r="F752" s="284"/>
      <c r="G752" s="284"/>
      <c r="H752" s="284"/>
      <c r="I752" s="284"/>
      <c r="J752" s="348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  <c r="V752" s="284"/>
      <c r="W752" s="284"/>
      <c r="X752" s="284"/>
    </row>
    <row r="753">
      <c r="A753" s="348"/>
      <c r="B753" s="284"/>
      <c r="C753" s="349"/>
      <c r="D753" s="349"/>
      <c r="E753" s="284"/>
      <c r="F753" s="284"/>
      <c r="G753" s="284"/>
      <c r="H753" s="284"/>
      <c r="I753" s="284"/>
      <c r="J753" s="348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  <c r="V753" s="284"/>
      <c r="W753" s="284"/>
      <c r="X753" s="284"/>
    </row>
    <row r="754">
      <c r="A754" s="348"/>
      <c r="B754" s="284"/>
      <c r="C754" s="349"/>
      <c r="D754" s="349"/>
      <c r="E754" s="284"/>
      <c r="F754" s="284"/>
      <c r="G754" s="284"/>
      <c r="H754" s="284"/>
      <c r="I754" s="284"/>
      <c r="J754" s="348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  <c r="V754" s="284"/>
      <c r="W754" s="284"/>
      <c r="X754" s="284"/>
    </row>
    <row r="755">
      <c r="A755" s="348"/>
      <c r="B755" s="284"/>
      <c r="C755" s="349"/>
      <c r="D755" s="349"/>
      <c r="E755" s="284"/>
      <c r="F755" s="284"/>
      <c r="G755" s="284"/>
      <c r="H755" s="284"/>
      <c r="I755" s="284"/>
      <c r="J755" s="348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  <c r="V755" s="284"/>
      <c r="W755" s="284"/>
      <c r="X755" s="284"/>
    </row>
    <row r="756">
      <c r="A756" s="348"/>
      <c r="B756" s="284"/>
      <c r="C756" s="349"/>
      <c r="D756" s="349"/>
      <c r="E756" s="284"/>
      <c r="F756" s="284"/>
      <c r="G756" s="284"/>
      <c r="H756" s="284"/>
      <c r="I756" s="284"/>
      <c r="J756" s="348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  <c r="V756" s="284"/>
      <c r="W756" s="284"/>
      <c r="X756" s="284"/>
    </row>
    <row r="757">
      <c r="A757" s="348"/>
      <c r="B757" s="284"/>
      <c r="C757" s="349"/>
      <c r="D757" s="349"/>
      <c r="E757" s="284"/>
      <c r="F757" s="284"/>
      <c r="G757" s="284"/>
      <c r="H757" s="284"/>
      <c r="I757" s="284"/>
      <c r="J757" s="348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  <c r="V757" s="284"/>
      <c r="W757" s="284"/>
      <c r="X757" s="284"/>
    </row>
    <row r="758">
      <c r="A758" s="348"/>
      <c r="B758" s="284"/>
      <c r="C758" s="349"/>
      <c r="D758" s="349"/>
      <c r="E758" s="284"/>
      <c r="F758" s="284"/>
      <c r="G758" s="284"/>
      <c r="H758" s="284"/>
      <c r="I758" s="284"/>
      <c r="J758" s="348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  <c r="V758" s="284"/>
      <c r="W758" s="284"/>
      <c r="X758" s="284"/>
    </row>
    <row r="759">
      <c r="A759" s="348"/>
      <c r="B759" s="284"/>
      <c r="C759" s="349"/>
      <c r="D759" s="349"/>
      <c r="E759" s="284"/>
      <c r="F759" s="284"/>
      <c r="G759" s="284"/>
      <c r="H759" s="284"/>
      <c r="I759" s="284"/>
      <c r="J759" s="348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  <c r="V759" s="284"/>
      <c r="W759" s="284"/>
      <c r="X759" s="284"/>
    </row>
    <row r="760">
      <c r="A760" s="348"/>
      <c r="B760" s="284"/>
      <c r="C760" s="349"/>
      <c r="D760" s="349"/>
      <c r="E760" s="284"/>
      <c r="F760" s="284"/>
      <c r="G760" s="284"/>
      <c r="H760" s="284"/>
      <c r="I760" s="284"/>
      <c r="J760" s="348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  <c r="V760" s="284"/>
      <c r="W760" s="284"/>
      <c r="X760" s="284"/>
    </row>
    <row r="761">
      <c r="A761" s="348"/>
      <c r="B761" s="284"/>
      <c r="C761" s="349"/>
      <c r="D761" s="349"/>
      <c r="E761" s="284"/>
      <c r="F761" s="284"/>
      <c r="G761" s="284"/>
      <c r="H761" s="284"/>
      <c r="I761" s="284"/>
      <c r="J761" s="348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  <c r="V761" s="284"/>
      <c r="W761" s="284"/>
      <c r="X761" s="284"/>
    </row>
    <row r="762">
      <c r="A762" s="348"/>
      <c r="B762" s="284"/>
      <c r="C762" s="349"/>
      <c r="D762" s="349"/>
      <c r="E762" s="284"/>
      <c r="F762" s="284"/>
      <c r="G762" s="284"/>
      <c r="H762" s="284"/>
      <c r="I762" s="284"/>
      <c r="J762" s="348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  <c r="V762" s="284"/>
      <c r="W762" s="284"/>
      <c r="X762" s="284"/>
    </row>
    <row r="763">
      <c r="A763" s="348"/>
      <c r="B763" s="284"/>
      <c r="C763" s="349"/>
      <c r="D763" s="349"/>
      <c r="E763" s="284"/>
      <c r="F763" s="284"/>
      <c r="G763" s="284"/>
      <c r="H763" s="284"/>
      <c r="I763" s="284"/>
      <c r="J763" s="348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  <c r="V763" s="284"/>
      <c r="W763" s="284"/>
      <c r="X763" s="284"/>
    </row>
    <row r="764">
      <c r="A764" s="348"/>
      <c r="B764" s="284"/>
      <c r="C764" s="349"/>
      <c r="D764" s="349"/>
      <c r="E764" s="284"/>
      <c r="F764" s="284"/>
      <c r="G764" s="284"/>
      <c r="H764" s="284"/>
      <c r="I764" s="284"/>
      <c r="J764" s="348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</row>
    <row r="765">
      <c r="A765" s="348"/>
      <c r="B765" s="284"/>
      <c r="C765" s="349"/>
      <c r="D765" s="349"/>
      <c r="E765" s="284"/>
      <c r="F765" s="284"/>
      <c r="G765" s="284"/>
      <c r="H765" s="284"/>
      <c r="I765" s="284"/>
      <c r="J765" s="348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  <c r="V765" s="284"/>
      <c r="W765" s="284"/>
      <c r="X765" s="284"/>
    </row>
    <row r="766">
      <c r="A766" s="348"/>
      <c r="B766" s="284"/>
      <c r="C766" s="349"/>
      <c r="D766" s="349"/>
      <c r="E766" s="284"/>
      <c r="F766" s="284"/>
      <c r="G766" s="284"/>
      <c r="H766" s="284"/>
      <c r="I766" s="284"/>
      <c r="J766" s="348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  <c r="V766" s="284"/>
      <c r="W766" s="284"/>
      <c r="X766" s="284"/>
    </row>
    <row r="767">
      <c r="A767" s="348"/>
      <c r="B767" s="284"/>
      <c r="C767" s="349"/>
      <c r="D767" s="349"/>
      <c r="E767" s="284"/>
      <c r="F767" s="284"/>
      <c r="G767" s="284"/>
      <c r="H767" s="284"/>
      <c r="I767" s="284"/>
      <c r="J767" s="348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  <c r="V767" s="284"/>
      <c r="W767" s="284"/>
      <c r="X767" s="284"/>
    </row>
    <row r="768">
      <c r="A768" s="348"/>
      <c r="B768" s="284"/>
      <c r="C768" s="349"/>
      <c r="D768" s="349"/>
      <c r="E768" s="284"/>
      <c r="F768" s="284"/>
      <c r="G768" s="284"/>
      <c r="H768" s="284"/>
      <c r="I768" s="284"/>
      <c r="J768" s="348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  <c r="V768" s="284"/>
      <c r="W768" s="284"/>
      <c r="X768" s="284"/>
    </row>
    <row r="769">
      <c r="A769" s="348"/>
      <c r="B769" s="284"/>
      <c r="C769" s="349"/>
      <c r="D769" s="349"/>
      <c r="E769" s="284"/>
      <c r="F769" s="284"/>
      <c r="G769" s="284"/>
      <c r="H769" s="284"/>
      <c r="I769" s="284"/>
      <c r="J769" s="348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  <c r="V769" s="284"/>
      <c r="W769" s="284"/>
      <c r="X769" s="284"/>
    </row>
    <row r="770">
      <c r="A770" s="348"/>
      <c r="B770" s="284"/>
      <c r="C770" s="349"/>
      <c r="D770" s="349"/>
      <c r="E770" s="284"/>
      <c r="F770" s="284"/>
      <c r="G770" s="284"/>
      <c r="H770" s="284"/>
      <c r="I770" s="284"/>
      <c r="J770" s="348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  <c r="V770" s="284"/>
      <c r="W770" s="284"/>
      <c r="X770" s="284"/>
    </row>
    <row r="771">
      <c r="A771" s="348"/>
      <c r="B771" s="284"/>
      <c r="C771" s="349"/>
      <c r="D771" s="349"/>
      <c r="E771" s="284"/>
      <c r="F771" s="284"/>
      <c r="G771" s="284"/>
      <c r="H771" s="284"/>
      <c r="I771" s="284"/>
      <c r="J771" s="348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  <c r="V771" s="284"/>
      <c r="W771" s="284"/>
      <c r="X771" s="284"/>
    </row>
    <row r="772">
      <c r="A772" s="348"/>
      <c r="B772" s="284"/>
      <c r="C772" s="349"/>
      <c r="D772" s="349"/>
      <c r="E772" s="284"/>
      <c r="F772" s="284"/>
      <c r="G772" s="284"/>
      <c r="H772" s="284"/>
      <c r="I772" s="284"/>
      <c r="J772" s="348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  <c r="V772" s="284"/>
      <c r="W772" s="284"/>
      <c r="X772" s="284"/>
    </row>
    <row r="773">
      <c r="A773" s="348"/>
      <c r="B773" s="284"/>
      <c r="C773" s="349"/>
      <c r="D773" s="349"/>
      <c r="E773" s="284"/>
      <c r="F773" s="284"/>
      <c r="G773" s="284"/>
      <c r="H773" s="284"/>
      <c r="I773" s="284"/>
      <c r="J773" s="348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  <c r="V773" s="284"/>
      <c r="W773" s="284"/>
      <c r="X773" s="284"/>
    </row>
    <row r="774">
      <c r="A774" s="348"/>
      <c r="B774" s="284"/>
      <c r="C774" s="349"/>
      <c r="D774" s="349"/>
      <c r="E774" s="284"/>
      <c r="F774" s="284"/>
      <c r="G774" s="284"/>
      <c r="H774" s="284"/>
      <c r="I774" s="284"/>
      <c r="J774" s="348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  <c r="V774" s="284"/>
      <c r="W774" s="284"/>
      <c r="X774" s="284"/>
    </row>
    <row r="775">
      <c r="A775" s="348"/>
      <c r="B775" s="284"/>
      <c r="C775" s="349"/>
      <c r="D775" s="349"/>
      <c r="E775" s="284"/>
      <c r="F775" s="284"/>
      <c r="G775" s="284"/>
      <c r="H775" s="284"/>
      <c r="I775" s="284"/>
      <c r="J775" s="348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  <c r="V775" s="284"/>
      <c r="W775" s="284"/>
      <c r="X775" s="284"/>
    </row>
    <row r="776">
      <c r="A776" s="348"/>
      <c r="B776" s="284"/>
      <c r="C776" s="349"/>
      <c r="D776" s="349"/>
      <c r="E776" s="284"/>
      <c r="F776" s="284"/>
      <c r="G776" s="284"/>
      <c r="H776" s="284"/>
      <c r="I776" s="284"/>
      <c r="J776" s="348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  <c r="V776" s="284"/>
      <c r="W776" s="284"/>
      <c r="X776" s="284"/>
    </row>
    <row r="777">
      <c r="A777" s="348"/>
      <c r="B777" s="284"/>
      <c r="C777" s="349"/>
      <c r="D777" s="349"/>
      <c r="E777" s="284"/>
      <c r="F777" s="284"/>
      <c r="G777" s="284"/>
      <c r="H777" s="284"/>
      <c r="I777" s="284"/>
      <c r="J777" s="348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  <c r="V777" s="284"/>
      <c r="W777" s="284"/>
      <c r="X777" s="284"/>
    </row>
    <row r="778">
      <c r="A778" s="348"/>
      <c r="B778" s="284"/>
      <c r="C778" s="349"/>
      <c r="D778" s="349"/>
      <c r="E778" s="284"/>
      <c r="F778" s="284"/>
      <c r="G778" s="284"/>
      <c r="H778" s="284"/>
      <c r="I778" s="284"/>
      <c r="J778" s="348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  <c r="V778" s="284"/>
      <c r="W778" s="284"/>
      <c r="X778" s="284"/>
    </row>
    <row r="779">
      <c r="A779" s="348"/>
      <c r="B779" s="284"/>
      <c r="C779" s="349"/>
      <c r="D779" s="349"/>
      <c r="E779" s="284"/>
      <c r="F779" s="284"/>
      <c r="G779" s="284"/>
      <c r="H779" s="284"/>
      <c r="I779" s="284"/>
      <c r="J779" s="348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  <c r="V779" s="284"/>
      <c r="W779" s="284"/>
      <c r="X779" s="284"/>
    </row>
    <row r="780">
      <c r="A780" s="348"/>
      <c r="B780" s="284"/>
      <c r="C780" s="349"/>
      <c r="D780" s="349"/>
      <c r="E780" s="284"/>
      <c r="F780" s="284"/>
      <c r="G780" s="284"/>
      <c r="H780" s="284"/>
      <c r="I780" s="284"/>
      <c r="J780" s="348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  <c r="V780" s="284"/>
      <c r="W780" s="284"/>
      <c r="X780" s="284"/>
    </row>
    <row r="781">
      <c r="A781" s="348"/>
      <c r="B781" s="284"/>
      <c r="C781" s="349"/>
      <c r="D781" s="349"/>
      <c r="E781" s="284"/>
      <c r="F781" s="284"/>
      <c r="G781" s="284"/>
      <c r="H781" s="284"/>
      <c r="I781" s="284"/>
      <c r="J781" s="348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  <c r="V781" s="284"/>
      <c r="W781" s="284"/>
      <c r="X781" s="284"/>
    </row>
    <row r="782">
      <c r="A782" s="348"/>
      <c r="B782" s="284"/>
      <c r="C782" s="349"/>
      <c r="D782" s="349"/>
      <c r="E782" s="284"/>
      <c r="F782" s="284"/>
      <c r="G782" s="284"/>
      <c r="H782" s="284"/>
      <c r="I782" s="284"/>
      <c r="J782" s="348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  <c r="V782" s="284"/>
      <c r="W782" s="284"/>
      <c r="X782" s="284"/>
    </row>
    <row r="783">
      <c r="A783" s="348"/>
      <c r="B783" s="284"/>
      <c r="C783" s="349"/>
      <c r="D783" s="349"/>
      <c r="E783" s="284"/>
      <c r="F783" s="284"/>
      <c r="G783" s="284"/>
      <c r="H783" s="284"/>
      <c r="I783" s="284"/>
      <c r="J783" s="348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  <c r="V783" s="284"/>
      <c r="W783" s="284"/>
      <c r="X783" s="284"/>
    </row>
    <row r="784">
      <c r="A784" s="348"/>
      <c r="B784" s="284"/>
      <c r="C784" s="349"/>
      <c r="D784" s="349"/>
      <c r="E784" s="284"/>
      <c r="F784" s="284"/>
      <c r="G784" s="284"/>
      <c r="H784" s="284"/>
      <c r="I784" s="284"/>
      <c r="J784" s="348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  <c r="V784" s="284"/>
      <c r="W784" s="284"/>
      <c r="X784" s="284"/>
    </row>
    <row r="785">
      <c r="A785" s="348"/>
      <c r="B785" s="284"/>
      <c r="C785" s="349"/>
      <c r="D785" s="349"/>
      <c r="E785" s="284"/>
      <c r="F785" s="284"/>
      <c r="G785" s="284"/>
      <c r="H785" s="284"/>
      <c r="I785" s="284"/>
      <c r="J785" s="348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  <c r="V785" s="284"/>
      <c r="W785" s="284"/>
      <c r="X785" s="284"/>
    </row>
    <row r="786">
      <c r="A786" s="348"/>
      <c r="B786" s="284"/>
      <c r="C786" s="349"/>
      <c r="D786" s="349"/>
      <c r="E786" s="284"/>
      <c r="F786" s="284"/>
      <c r="G786" s="284"/>
      <c r="H786" s="284"/>
      <c r="I786" s="284"/>
      <c r="J786" s="348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  <c r="V786" s="284"/>
      <c r="W786" s="284"/>
      <c r="X786" s="284"/>
    </row>
    <row r="787">
      <c r="A787" s="348"/>
      <c r="B787" s="284"/>
      <c r="C787" s="349"/>
      <c r="D787" s="349"/>
      <c r="E787" s="284"/>
      <c r="F787" s="284"/>
      <c r="G787" s="284"/>
      <c r="H787" s="284"/>
      <c r="I787" s="284"/>
      <c r="J787" s="348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  <c r="V787" s="284"/>
      <c r="W787" s="284"/>
      <c r="X787" s="284"/>
    </row>
    <row r="788">
      <c r="A788" s="348"/>
      <c r="B788" s="284"/>
      <c r="C788" s="349"/>
      <c r="D788" s="349"/>
      <c r="E788" s="284"/>
      <c r="F788" s="284"/>
      <c r="G788" s="284"/>
      <c r="H788" s="284"/>
      <c r="I788" s="284"/>
      <c r="J788" s="348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  <c r="V788" s="284"/>
      <c r="W788" s="284"/>
      <c r="X788" s="284"/>
    </row>
    <row r="789">
      <c r="A789" s="348"/>
      <c r="B789" s="284"/>
      <c r="C789" s="349"/>
      <c r="D789" s="349"/>
      <c r="E789" s="284"/>
      <c r="F789" s="284"/>
      <c r="G789" s="284"/>
      <c r="H789" s="284"/>
      <c r="I789" s="284"/>
      <c r="J789" s="348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  <c r="V789" s="284"/>
      <c r="W789" s="284"/>
      <c r="X789" s="284"/>
    </row>
    <row r="790">
      <c r="A790" s="348"/>
      <c r="B790" s="284"/>
      <c r="C790" s="349"/>
      <c r="D790" s="349"/>
      <c r="E790" s="284"/>
      <c r="F790" s="284"/>
      <c r="G790" s="284"/>
      <c r="H790" s="284"/>
      <c r="I790" s="284"/>
      <c r="J790" s="348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  <c r="V790" s="284"/>
      <c r="W790" s="284"/>
      <c r="X790" s="284"/>
    </row>
    <row r="791">
      <c r="A791" s="348"/>
      <c r="B791" s="284"/>
      <c r="C791" s="349"/>
      <c r="D791" s="349"/>
      <c r="E791" s="284"/>
      <c r="F791" s="284"/>
      <c r="G791" s="284"/>
      <c r="H791" s="284"/>
      <c r="I791" s="284"/>
      <c r="J791" s="348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  <c r="V791" s="284"/>
      <c r="W791" s="284"/>
      <c r="X791" s="284"/>
    </row>
    <row r="792">
      <c r="A792" s="348"/>
      <c r="B792" s="284"/>
      <c r="C792" s="349"/>
      <c r="D792" s="349"/>
      <c r="E792" s="284"/>
      <c r="F792" s="284"/>
      <c r="G792" s="284"/>
      <c r="H792" s="284"/>
      <c r="I792" s="284"/>
      <c r="J792" s="348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  <c r="V792" s="284"/>
      <c r="W792" s="284"/>
      <c r="X792" s="284"/>
    </row>
    <row r="793">
      <c r="A793" s="348"/>
      <c r="B793" s="284"/>
      <c r="C793" s="349"/>
      <c r="D793" s="349"/>
      <c r="E793" s="284"/>
      <c r="F793" s="284"/>
      <c r="G793" s="284"/>
      <c r="H793" s="284"/>
      <c r="I793" s="284"/>
      <c r="J793" s="348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  <c r="V793" s="284"/>
      <c r="W793" s="284"/>
      <c r="X793" s="284"/>
    </row>
    <row r="794">
      <c r="A794" s="348"/>
      <c r="B794" s="284"/>
      <c r="C794" s="349"/>
      <c r="D794" s="349"/>
      <c r="E794" s="284"/>
      <c r="F794" s="284"/>
      <c r="G794" s="284"/>
      <c r="H794" s="284"/>
      <c r="I794" s="284"/>
      <c r="J794" s="348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  <c r="V794" s="284"/>
      <c r="W794" s="284"/>
      <c r="X794" s="284"/>
    </row>
    <row r="795">
      <c r="A795" s="348"/>
      <c r="B795" s="284"/>
      <c r="C795" s="349"/>
      <c r="D795" s="349"/>
      <c r="E795" s="284"/>
      <c r="F795" s="284"/>
      <c r="G795" s="284"/>
      <c r="H795" s="284"/>
      <c r="I795" s="284"/>
      <c r="J795" s="348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  <c r="V795" s="284"/>
      <c r="W795" s="284"/>
      <c r="X795" s="284"/>
    </row>
    <row r="796">
      <c r="A796" s="348"/>
      <c r="B796" s="284"/>
      <c r="C796" s="349"/>
      <c r="D796" s="349"/>
      <c r="E796" s="284"/>
      <c r="F796" s="284"/>
      <c r="G796" s="284"/>
      <c r="H796" s="284"/>
      <c r="I796" s="284"/>
      <c r="J796" s="348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  <c r="V796" s="284"/>
      <c r="W796" s="284"/>
      <c r="X796" s="284"/>
    </row>
    <row r="797">
      <c r="A797" s="348"/>
      <c r="B797" s="284"/>
      <c r="C797" s="349"/>
      <c r="D797" s="349"/>
      <c r="E797" s="284"/>
      <c r="F797" s="284"/>
      <c r="G797" s="284"/>
      <c r="H797" s="284"/>
      <c r="I797" s="284"/>
      <c r="J797" s="348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  <c r="V797" s="284"/>
      <c r="W797" s="284"/>
      <c r="X797" s="284"/>
    </row>
    <row r="798">
      <c r="A798" s="348"/>
      <c r="B798" s="284"/>
      <c r="C798" s="349"/>
      <c r="D798" s="349"/>
      <c r="E798" s="284"/>
      <c r="F798" s="284"/>
      <c r="G798" s="284"/>
      <c r="H798" s="284"/>
      <c r="I798" s="284"/>
      <c r="J798" s="348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  <c r="V798" s="284"/>
      <c r="W798" s="284"/>
      <c r="X798" s="284"/>
    </row>
    <row r="799">
      <c r="A799" s="348"/>
      <c r="B799" s="284"/>
      <c r="C799" s="349"/>
      <c r="D799" s="349"/>
      <c r="E799" s="284"/>
      <c r="F799" s="284"/>
      <c r="G799" s="284"/>
      <c r="H799" s="284"/>
      <c r="I799" s="284"/>
      <c r="J799" s="348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  <c r="V799" s="284"/>
      <c r="W799" s="284"/>
      <c r="X799" s="284"/>
    </row>
    <row r="800">
      <c r="A800" s="348"/>
      <c r="B800" s="284"/>
      <c r="C800" s="349"/>
      <c r="D800" s="349"/>
      <c r="E800" s="284"/>
      <c r="F800" s="284"/>
      <c r="G800" s="284"/>
      <c r="H800" s="284"/>
      <c r="I800" s="284"/>
      <c r="J800" s="348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  <c r="V800" s="284"/>
      <c r="W800" s="284"/>
      <c r="X800" s="284"/>
    </row>
    <row r="801">
      <c r="A801" s="348"/>
      <c r="B801" s="284"/>
      <c r="C801" s="349"/>
      <c r="D801" s="349"/>
      <c r="E801" s="284"/>
      <c r="F801" s="284"/>
      <c r="G801" s="284"/>
      <c r="H801" s="284"/>
      <c r="I801" s="284"/>
      <c r="J801" s="348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  <c r="V801" s="284"/>
      <c r="W801" s="284"/>
      <c r="X801" s="284"/>
    </row>
    <row r="802">
      <c r="A802" s="348"/>
      <c r="B802" s="284"/>
      <c r="C802" s="349"/>
      <c r="D802" s="349"/>
      <c r="E802" s="284"/>
      <c r="F802" s="284"/>
      <c r="G802" s="284"/>
      <c r="H802" s="284"/>
      <c r="I802" s="284"/>
      <c r="J802" s="348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  <c r="V802" s="284"/>
      <c r="W802" s="284"/>
      <c r="X802" s="284"/>
    </row>
    <row r="803">
      <c r="A803" s="348"/>
      <c r="B803" s="284"/>
      <c r="C803" s="349"/>
      <c r="D803" s="349"/>
      <c r="E803" s="284"/>
      <c r="F803" s="284"/>
      <c r="G803" s="284"/>
      <c r="H803" s="284"/>
      <c r="I803" s="284"/>
      <c r="J803" s="348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  <c r="V803" s="284"/>
      <c r="W803" s="284"/>
      <c r="X803" s="284"/>
    </row>
    <row r="804">
      <c r="A804" s="348"/>
      <c r="B804" s="284"/>
      <c r="C804" s="349"/>
      <c r="D804" s="349"/>
      <c r="E804" s="284"/>
      <c r="F804" s="284"/>
      <c r="G804" s="284"/>
      <c r="H804" s="284"/>
      <c r="I804" s="284"/>
      <c r="J804" s="348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  <c r="V804" s="284"/>
      <c r="W804" s="284"/>
      <c r="X804" s="284"/>
    </row>
    <row r="805">
      <c r="A805" s="348"/>
      <c r="B805" s="284"/>
      <c r="C805" s="349"/>
      <c r="D805" s="349"/>
      <c r="E805" s="284"/>
      <c r="F805" s="284"/>
      <c r="G805" s="284"/>
      <c r="H805" s="284"/>
      <c r="I805" s="284"/>
      <c r="J805" s="348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  <c r="V805" s="284"/>
      <c r="W805" s="284"/>
      <c r="X805" s="284"/>
    </row>
    <row r="806">
      <c r="A806" s="348"/>
      <c r="B806" s="284"/>
      <c r="C806" s="349"/>
      <c r="D806" s="349"/>
      <c r="E806" s="284"/>
      <c r="F806" s="284"/>
      <c r="G806" s="284"/>
      <c r="H806" s="284"/>
      <c r="I806" s="284"/>
      <c r="J806" s="348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  <c r="V806" s="284"/>
      <c r="W806" s="284"/>
      <c r="X806" s="284"/>
    </row>
    <row r="807">
      <c r="A807" s="348"/>
      <c r="B807" s="284"/>
      <c r="C807" s="349"/>
      <c r="D807" s="349"/>
      <c r="E807" s="284"/>
      <c r="F807" s="284"/>
      <c r="G807" s="284"/>
      <c r="H807" s="284"/>
      <c r="I807" s="284"/>
      <c r="J807" s="348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  <c r="V807" s="284"/>
      <c r="W807" s="284"/>
      <c r="X807" s="284"/>
    </row>
    <row r="808">
      <c r="A808" s="348"/>
      <c r="B808" s="284"/>
      <c r="C808" s="349"/>
      <c r="D808" s="349"/>
      <c r="E808" s="284"/>
      <c r="F808" s="284"/>
      <c r="G808" s="284"/>
      <c r="H808" s="284"/>
      <c r="I808" s="284"/>
      <c r="J808" s="348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  <c r="V808" s="284"/>
      <c r="W808" s="284"/>
      <c r="X808" s="284"/>
    </row>
    <row r="809">
      <c r="A809" s="348"/>
      <c r="B809" s="284"/>
      <c r="C809" s="349"/>
      <c r="D809" s="349"/>
      <c r="E809" s="284"/>
      <c r="F809" s="284"/>
      <c r="G809" s="284"/>
      <c r="H809" s="284"/>
      <c r="I809" s="284"/>
      <c r="J809" s="348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  <c r="V809" s="284"/>
      <c r="W809" s="284"/>
      <c r="X809" s="284"/>
    </row>
    <row r="810">
      <c r="A810" s="348"/>
      <c r="B810" s="284"/>
      <c r="C810" s="349"/>
      <c r="D810" s="349"/>
      <c r="E810" s="284"/>
      <c r="F810" s="284"/>
      <c r="G810" s="284"/>
      <c r="H810" s="284"/>
      <c r="I810" s="284"/>
      <c r="J810" s="348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  <c r="V810" s="284"/>
      <c r="W810" s="284"/>
      <c r="X810" s="284"/>
    </row>
    <row r="811">
      <c r="A811" s="348"/>
      <c r="B811" s="284"/>
      <c r="C811" s="349"/>
      <c r="D811" s="349"/>
      <c r="E811" s="284"/>
      <c r="F811" s="284"/>
      <c r="G811" s="284"/>
      <c r="H811" s="284"/>
      <c r="I811" s="284"/>
      <c r="J811" s="348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  <c r="V811" s="284"/>
      <c r="W811" s="284"/>
      <c r="X811" s="284"/>
    </row>
    <row r="812">
      <c r="A812" s="348"/>
      <c r="B812" s="284"/>
      <c r="C812" s="349"/>
      <c r="D812" s="349"/>
      <c r="E812" s="284"/>
      <c r="F812" s="284"/>
      <c r="G812" s="284"/>
      <c r="H812" s="284"/>
      <c r="I812" s="284"/>
      <c r="J812" s="348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  <c r="V812" s="284"/>
      <c r="W812" s="284"/>
      <c r="X812" s="284"/>
    </row>
    <row r="813">
      <c r="A813" s="348"/>
      <c r="B813" s="284"/>
      <c r="C813" s="349"/>
      <c r="D813" s="349"/>
      <c r="E813" s="284"/>
      <c r="F813" s="284"/>
      <c r="G813" s="284"/>
      <c r="H813" s="284"/>
      <c r="I813" s="284"/>
      <c r="J813" s="348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  <c r="V813" s="284"/>
      <c r="W813" s="284"/>
      <c r="X813" s="284"/>
    </row>
    <row r="814">
      <c r="A814" s="348"/>
      <c r="B814" s="284"/>
      <c r="C814" s="349"/>
      <c r="D814" s="349"/>
      <c r="E814" s="284"/>
      <c r="F814" s="284"/>
      <c r="G814" s="284"/>
      <c r="H814" s="284"/>
      <c r="I814" s="284"/>
      <c r="J814" s="348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  <c r="V814" s="284"/>
      <c r="W814" s="284"/>
      <c r="X814" s="284"/>
    </row>
    <row r="815">
      <c r="A815" s="348"/>
      <c r="B815" s="284"/>
      <c r="C815" s="349"/>
      <c r="D815" s="349"/>
      <c r="E815" s="284"/>
      <c r="F815" s="284"/>
      <c r="G815" s="284"/>
      <c r="H815" s="284"/>
      <c r="I815" s="284"/>
      <c r="J815" s="348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  <c r="V815" s="284"/>
      <c r="W815" s="284"/>
      <c r="X815" s="284"/>
    </row>
    <row r="816">
      <c r="A816" s="348"/>
      <c r="B816" s="284"/>
      <c r="C816" s="349"/>
      <c r="D816" s="349"/>
      <c r="E816" s="284"/>
      <c r="F816" s="284"/>
      <c r="G816" s="284"/>
      <c r="H816" s="284"/>
      <c r="I816" s="284"/>
      <c r="J816" s="348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  <c r="V816" s="284"/>
      <c r="W816" s="284"/>
      <c r="X816" s="284"/>
    </row>
    <row r="817">
      <c r="A817" s="348"/>
      <c r="B817" s="284"/>
      <c r="C817" s="349"/>
      <c r="D817" s="349"/>
      <c r="E817" s="284"/>
      <c r="F817" s="284"/>
      <c r="G817" s="284"/>
      <c r="H817" s="284"/>
      <c r="I817" s="284"/>
      <c r="J817" s="348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  <c r="V817" s="284"/>
      <c r="W817" s="284"/>
      <c r="X817" s="284"/>
    </row>
    <row r="818">
      <c r="A818" s="348"/>
      <c r="B818" s="284"/>
      <c r="C818" s="349"/>
      <c r="D818" s="349"/>
      <c r="E818" s="284"/>
      <c r="F818" s="284"/>
      <c r="G818" s="284"/>
      <c r="H818" s="284"/>
      <c r="I818" s="284"/>
      <c r="J818" s="348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  <c r="V818" s="284"/>
      <c r="W818" s="284"/>
      <c r="X818" s="284"/>
    </row>
    <row r="819">
      <c r="A819" s="348"/>
      <c r="B819" s="284"/>
      <c r="C819" s="349"/>
      <c r="D819" s="349"/>
      <c r="E819" s="284"/>
      <c r="F819" s="284"/>
      <c r="G819" s="284"/>
      <c r="H819" s="284"/>
      <c r="I819" s="284"/>
      <c r="J819" s="348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  <c r="V819" s="284"/>
      <c r="W819" s="284"/>
      <c r="X819" s="284"/>
    </row>
    <row r="820">
      <c r="A820" s="348"/>
      <c r="B820" s="284"/>
      <c r="C820" s="349"/>
      <c r="D820" s="349"/>
      <c r="E820" s="284"/>
      <c r="F820" s="284"/>
      <c r="G820" s="284"/>
      <c r="H820" s="284"/>
      <c r="I820" s="284"/>
      <c r="J820" s="348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  <c r="V820" s="284"/>
      <c r="W820" s="284"/>
      <c r="X820" s="284"/>
    </row>
    <row r="821">
      <c r="A821" s="348"/>
      <c r="B821" s="284"/>
      <c r="C821" s="349"/>
      <c r="D821" s="349"/>
      <c r="E821" s="284"/>
      <c r="F821" s="284"/>
      <c r="G821" s="284"/>
      <c r="H821" s="284"/>
      <c r="I821" s="284"/>
      <c r="J821" s="348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  <c r="V821" s="284"/>
      <c r="W821" s="284"/>
      <c r="X821" s="284"/>
    </row>
    <row r="822">
      <c r="A822" s="348"/>
      <c r="B822" s="284"/>
      <c r="C822" s="349"/>
      <c r="D822" s="349"/>
      <c r="E822" s="284"/>
      <c r="F822" s="284"/>
      <c r="G822" s="284"/>
      <c r="H822" s="284"/>
      <c r="I822" s="284"/>
      <c r="J822" s="348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  <c r="V822" s="284"/>
      <c r="W822" s="284"/>
      <c r="X822" s="284"/>
    </row>
    <row r="823">
      <c r="A823" s="348"/>
      <c r="B823" s="284"/>
      <c r="C823" s="349"/>
      <c r="D823" s="349"/>
      <c r="E823" s="284"/>
      <c r="F823" s="284"/>
      <c r="G823" s="284"/>
      <c r="H823" s="284"/>
      <c r="I823" s="284"/>
      <c r="J823" s="348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  <c r="V823" s="284"/>
      <c r="W823" s="284"/>
      <c r="X823" s="284"/>
    </row>
    <row r="824">
      <c r="A824" s="348"/>
      <c r="B824" s="284"/>
      <c r="C824" s="349"/>
      <c r="D824" s="349"/>
      <c r="E824" s="284"/>
      <c r="F824" s="284"/>
      <c r="G824" s="284"/>
      <c r="H824" s="284"/>
      <c r="I824" s="284"/>
      <c r="J824" s="348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  <c r="V824" s="284"/>
      <c r="W824" s="284"/>
      <c r="X824" s="284"/>
    </row>
    <row r="825">
      <c r="A825" s="348"/>
      <c r="B825" s="284"/>
      <c r="C825" s="349"/>
      <c r="D825" s="349"/>
      <c r="E825" s="284"/>
      <c r="F825" s="284"/>
      <c r="G825" s="284"/>
      <c r="H825" s="284"/>
      <c r="I825" s="284"/>
      <c r="J825" s="348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  <c r="V825" s="284"/>
      <c r="W825" s="284"/>
      <c r="X825" s="284"/>
    </row>
    <row r="826">
      <c r="A826" s="348"/>
      <c r="B826" s="284"/>
      <c r="C826" s="349"/>
      <c r="D826" s="349"/>
      <c r="E826" s="284"/>
      <c r="F826" s="284"/>
      <c r="G826" s="284"/>
      <c r="H826" s="284"/>
      <c r="I826" s="284"/>
      <c r="J826" s="348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  <c r="V826" s="284"/>
      <c r="W826" s="284"/>
      <c r="X826" s="284"/>
    </row>
    <row r="827">
      <c r="A827" s="348"/>
      <c r="B827" s="284"/>
      <c r="C827" s="349"/>
      <c r="D827" s="349"/>
      <c r="E827" s="284"/>
      <c r="F827" s="284"/>
      <c r="G827" s="284"/>
      <c r="H827" s="284"/>
      <c r="I827" s="284"/>
      <c r="J827" s="348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  <c r="V827" s="284"/>
      <c r="W827" s="284"/>
      <c r="X827" s="284"/>
    </row>
    <row r="828">
      <c r="A828" s="348"/>
      <c r="B828" s="284"/>
      <c r="C828" s="349"/>
      <c r="D828" s="349"/>
      <c r="E828" s="284"/>
      <c r="F828" s="284"/>
      <c r="G828" s="284"/>
      <c r="H828" s="284"/>
      <c r="I828" s="284"/>
      <c r="J828" s="348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  <c r="V828" s="284"/>
      <c r="W828" s="284"/>
      <c r="X828" s="284"/>
    </row>
    <row r="829">
      <c r="A829" s="348"/>
      <c r="B829" s="284"/>
      <c r="C829" s="349"/>
      <c r="D829" s="349"/>
      <c r="E829" s="284"/>
      <c r="F829" s="284"/>
      <c r="G829" s="284"/>
      <c r="H829" s="284"/>
      <c r="I829" s="284"/>
      <c r="J829" s="348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  <c r="V829" s="284"/>
      <c r="W829" s="284"/>
      <c r="X829" s="284"/>
    </row>
    <row r="830">
      <c r="A830" s="348"/>
      <c r="B830" s="284"/>
      <c r="C830" s="349"/>
      <c r="D830" s="349"/>
      <c r="E830" s="284"/>
      <c r="F830" s="284"/>
      <c r="G830" s="284"/>
      <c r="H830" s="284"/>
      <c r="I830" s="284"/>
      <c r="J830" s="348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  <c r="V830" s="284"/>
      <c r="W830" s="284"/>
      <c r="X830" s="284"/>
    </row>
    <row r="831">
      <c r="A831" s="348"/>
      <c r="B831" s="284"/>
      <c r="C831" s="349"/>
      <c r="D831" s="349"/>
      <c r="E831" s="284"/>
      <c r="F831" s="284"/>
      <c r="G831" s="284"/>
      <c r="H831" s="284"/>
      <c r="I831" s="284"/>
      <c r="J831" s="348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  <c r="V831" s="284"/>
      <c r="W831" s="284"/>
      <c r="X831" s="284"/>
    </row>
    <row r="832">
      <c r="A832" s="348"/>
      <c r="B832" s="284"/>
      <c r="C832" s="349"/>
      <c r="D832" s="349"/>
      <c r="E832" s="284"/>
      <c r="F832" s="284"/>
      <c r="G832" s="284"/>
      <c r="H832" s="284"/>
      <c r="I832" s="284"/>
      <c r="J832" s="348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  <c r="V832" s="284"/>
      <c r="W832" s="284"/>
      <c r="X832" s="284"/>
    </row>
    <row r="833">
      <c r="A833" s="348"/>
      <c r="B833" s="284"/>
      <c r="C833" s="349"/>
      <c r="D833" s="349"/>
      <c r="E833" s="284"/>
      <c r="F833" s="284"/>
      <c r="G833" s="284"/>
      <c r="H833" s="284"/>
      <c r="I833" s="284"/>
      <c r="J833" s="348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  <c r="V833" s="284"/>
      <c r="W833" s="284"/>
      <c r="X833" s="284"/>
    </row>
    <row r="834">
      <c r="A834" s="348"/>
      <c r="B834" s="284"/>
      <c r="C834" s="349"/>
      <c r="D834" s="349"/>
      <c r="E834" s="284"/>
      <c r="F834" s="284"/>
      <c r="G834" s="284"/>
      <c r="H834" s="284"/>
      <c r="I834" s="284"/>
      <c r="J834" s="348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  <c r="V834" s="284"/>
      <c r="W834" s="284"/>
      <c r="X834" s="284"/>
    </row>
    <row r="835">
      <c r="A835" s="348"/>
      <c r="B835" s="284"/>
      <c r="C835" s="349"/>
      <c r="D835" s="349"/>
      <c r="E835" s="284"/>
      <c r="F835" s="284"/>
      <c r="G835" s="284"/>
      <c r="H835" s="284"/>
      <c r="I835" s="284"/>
      <c r="J835" s="348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  <c r="V835" s="284"/>
      <c r="W835" s="284"/>
      <c r="X835" s="284"/>
    </row>
    <row r="836">
      <c r="A836" s="348"/>
      <c r="B836" s="284"/>
      <c r="C836" s="349"/>
      <c r="D836" s="349"/>
      <c r="E836" s="284"/>
      <c r="F836" s="284"/>
      <c r="G836" s="284"/>
      <c r="H836" s="284"/>
      <c r="I836" s="284"/>
      <c r="J836" s="348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  <c r="V836" s="284"/>
      <c r="W836" s="284"/>
      <c r="X836" s="284"/>
    </row>
    <row r="837">
      <c r="A837" s="348"/>
      <c r="B837" s="284"/>
      <c r="C837" s="349"/>
      <c r="D837" s="349"/>
      <c r="E837" s="284"/>
      <c r="F837" s="284"/>
      <c r="G837" s="284"/>
      <c r="H837" s="284"/>
      <c r="I837" s="284"/>
      <c r="J837" s="348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  <c r="V837" s="284"/>
      <c r="W837" s="284"/>
      <c r="X837" s="284"/>
    </row>
    <row r="838">
      <c r="A838" s="348"/>
      <c r="B838" s="284"/>
      <c r="C838" s="349"/>
      <c r="D838" s="349"/>
      <c r="E838" s="284"/>
      <c r="F838" s="284"/>
      <c r="G838" s="284"/>
      <c r="H838" s="284"/>
      <c r="I838" s="284"/>
      <c r="J838" s="348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  <c r="V838" s="284"/>
      <c r="W838" s="284"/>
      <c r="X838" s="284"/>
    </row>
    <row r="839">
      <c r="A839" s="348"/>
      <c r="B839" s="284"/>
      <c r="C839" s="349"/>
      <c r="D839" s="349"/>
      <c r="E839" s="284"/>
      <c r="F839" s="284"/>
      <c r="G839" s="284"/>
      <c r="H839" s="284"/>
      <c r="I839" s="284"/>
      <c r="J839" s="348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  <c r="V839" s="284"/>
      <c r="W839" s="284"/>
      <c r="X839" s="284"/>
    </row>
    <row r="840">
      <c r="A840" s="348"/>
      <c r="B840" s="284"/>
      <c r="C840" s="349"/>
      <c r="D840" s="349"/>
      <c r="E840" s="284"/>
      <c r="F840" s="284"/>
      <c r="G840" s="284"/>
      <c r="H840" s="284"/>
      <c r="I840" s="284"/>
      <c r="J840" s="348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  <c r="V840" s="284"/>
      <c r="W840" s="284"/>
      <c r="X840" s="284"/>
    </row>
    <row r="841">
      <c r="A841" s="348"/>
      <c r="B841" s="284"/>
      <c r="C841" s="349"/>
      <c r="D841" s="349"/>
      <c r="E841" s="284"/>
      <c r="F841" s="284"/>
      <c r="G841" s="284"/>
      <c r="H841" s="284"/>
      <c r="I841" s="284"/>
      <c r="J841" s="348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  <c r="V841" s="284"/>
      <c r="W841" s="284"/>
      <c r="X841" s="284"/>
    </row>
    <row r="842">
      <c r="A842" s="348"/>
      <c r="B842" s="284"/>
      <c r="C842" s="349"/>
      <c r="D842" s="349"/>
      <c r="E842" s="284"/>
      <c r="F842" s="284"/>
      <c r="G842" s="284"/>
      <c r="H842" s="284"/>
      <c r="I842" s="284"/>
      <c r="J842" s="348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  <c r="V842" s="284"/>
      <c r="W842" s="284"/>
      <c r="X842" s="284"/>
    </row>
    <row r="843">
      <c r="A843" s="348"/>
      <c r="B843" s="284"/>
      <c r="C843" s="349"/>
      <c r="D843" s="349"/>
      <c r="E843" s="284"/>
      <c r="F843" s="284"/>
      <c r="G843" s="284"/>
      <c r="H843" s="284"/>
      <c r="I843" s="284"/>
      <c r="J843" s="348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  <c r="V843" s="284"/>
      <c r="W843" s="284"/>
      <c r="X843" s="284"/>
    </row>
    <row r="844">
      <c r="A844" s="348"/>
      <c r="B844" s="284"/>
      <c r="C844" s="349"/>
      <c r="D844" s="349"/>
      <c r="E844" s="284"/>
      <c r="F844" s="284"/>
      <c r="G844" s="284"/>
      <c r="H844" s="284"/>
      <c r="I844" s="284"/>
      <c r="J844" s="348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  <c r="V844" s="284"/>
      <c r="W844" s="284"/>
      <c r="X844" s="284"/>
    </row>
    <row r="845">
      <c r="A845" s="348"/>
      <c r="B845" s="284"/>
      <c r="C845" s="349"/>
      <c r="D845" s="349"/>
      <c r="E845" s="284"/>
      <c r="F845" s="284"/>
      <c r="G845" s="284"/>
      <c r="H845" s="284"/>
      <c r="I845" s="284"/>
      <c r="J845" s="348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  <c r="V845" s="284"/>
      <c r="W845" s="284"/>
      <c r="X845" s="284"/>
    </row>
    <row r="846">
      <c r="A846" s="348"/>
      <c r="B846" s="284"/>
      <c r="C846" s="349"/>
      <c r="D846" s="349"/>
      <c r="E846" s="284"/>
      <c r="F846" s="284"/>
      <c r="G846" s="284"/>
      <c r="H846" s="284"/>
      <c r="I846" s="284"/>
      <c r="J846" s="348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  <c r="V846" s="284"/>
      <c r="W846" s="284"/>
      <c r="X846" s="284"/>
    </row>
    <row r="847">
      <c r="A847" s="348"/>
      <c r="B847" s="284"/>
      <c r="C847" s="349"/>
      <c r="D847" s="349"/>
      <c r="E847" s="284"/>
      <c r="F847" s="284"/>
      <c r="G847" s="284"/>
      <c r="H847" s="284"/>
      <c r="I847" s="284"/>
      <c r="J847" s="348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  <c r="V847" s="284"/>
      <c r="W847" s="284"/>
      <c r="X847" s="284"/>
    </row>
    <row r="848">
      <c r="A848" s="348"/>
      <c r="B848" s="284"/>
      <c r="C848" s="349"/>
      <c r="D848" s="349"/>
      <c r="E848" s="284"/>
      <c r="F848" s="284"/>
      <c r="G848" s="284"/>
      <c r="H848" s="284"/>
      <c r="I848" s="284"/>
      <c r="J848" s="348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  <c r="V848" s="284"/>
      <c r="W848" s="284"/>
      <c r="X848" s="284"/>
    </row>
    <row r="849">
      <c r="A849" s="348"/>
      <c r="B849" s="284"/>
      <c r="C849" s="349"/>
      <c r="D849" s="349"/>
      <c r="E849" s="284"/>
      <c r="F849" s="284"/>
      <c r="G849" s="284"/>
      <c r="H849" s="284"/>
      <c r="I849" s="284"/>
      <c r="J849" s="348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  <c r="V849" s="284"/>
      <c r="W849" s="284"/>
      <c r="X849" s="284"/>
    </row>
    <row r="850">
      <c r="A850" s="348"/>
      <c r="B850" s="284"/>
      <c r="C850" s="349"/>
      <c r="D850" s="349"/>
      <c r="E850" s="284"/>
      <c r="F850" s="284"/>
      <c r="G850" s="284"/>
      <c r="H850" s="284"/>
      <c r="I850" s="284"/>
      <c r="J850" s="348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  <c r="V850" s="284"/>
      <c r="W850" s="284"/>
      <c r="X850" s="284"/>
    </row>
    <row r="851">
      <c r="A851" s="348"/>
      <c r="B851" s="284"/>
      <c r="C851" s="349"/>
      <c r="D851" s="349"/>
      <c r="E851" s="284"/>
      <c r="F851" s="284"/>
      <c r="G851" s="284"/>
      <c r="H851" s="284"/>
      <c r="I851" s="284"/>
      <c r="J851" s="348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  <c r="V851" s="284"/>
      <c r="W851" s="284"/>
      <c r="X851" s="284"/>
    </row>
    <row r="852">
      <c r="A852" s="348"/>
      <c r="B852" s="284"/>
      <c r="C852" s="349"/>
      <c r="D852" s="349"/>
      <c r="E852" s="284"/>
      <c r="F852" s="284"/>
      <c r="G852" s="284"/>
      <c r="H852" s="284"/>
      <c r="I852" s="284"/>
      <c r="J852" s="348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  <c r="V852" s="284"/>
      <c r="W852" s="284"/>
      <c r="X852" s="284"/>
    </row>
    <row r="853">
      <c r="A853" s="348"/>
      <c r="B853" s="284"/>
      <c r="C853" s="349"/>
      <c r="D853" s="349"/>
      <c r="E853" s="284"/>
      <c r="F853" s="284"/>
      <c r="G853" s="284"/>
      <c r="H853" s="284"/>
      <c r="I853" s="284"/>
      <c r="J853" s="348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  <c r="V853" s="284"/>
      <c r="W853" s="284"/>
      <c r="X853" s="284"/>
    </row>
    <row r="854">
      <c r="A854" s="348"/>
      <c r="B854" s="284"/>
      <c r="C854" s="349"/>
      <c r="D854" s="349"/>
      <c r="E854" s="284"/>
      <c r="F854" s="284"/>
      <c r="G854" s="284"/>
      <c r="H854" s="284"/>
      <c r="I854" s="284"/>
      <c r="J854" s="348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  <c r="V854" s="284"/>
      <c r="W854" s="284"/>
      <c r="X854" s="284"/>
    </row>
    <row r="855">
      <c r="A855" s="348"/>
      <c r="B855" s="284"/>
      <c r="C855" s="349"/>
      <c r="D855" s="349"/>
      <c r="E855" s="284"/>
      <c r="F855" s="284"/>
      <c r="G855" s="284"/>
      <c r="H855" s="284"/>
      <c r="I855" s="284"/>
      <c r="J855" s="348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  <c r="V855" s="284"/>
      <c r="W855" s="284"/>
      <c r="X855" s="284"/>
    </row>
    <row r="856">
      <c r="A856" s="348"/>
      <c r="B856" s="284"/>
      <c r="C856" s="349"/>
      <c r="D856" s="349"/>
      <c r="E856" s="284"/>
      <c r="F856" s="284"/>
      <c r="G856" s="284"/>
      <c r="H856" s="284"/>
      <c r="I856" s="284"/>
      <c r="J856" s="348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  <c r="V856" s="284"/>
      <c r="W856" s="284"/>
      <c r="X856" s="284"/>
    </row>
    <row r="857">
      <c r="A857" s="348"/>
      <c r="B857" s="284"/>
      <c r="C857" s="349"/>
      <c r="D857" s="349"/>
      <c r="E857" s="284"/>
      <c r="F857" s="284"/>
      <c r="G857" s="284"/>
      <c r="H857" s="284"/>
      <c r="I857" s="284"/>
      <c r="J857" s="348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  <c r="V857" s="284"/>
      <c r="W857" s="284"/>
      <c r="X857" s="284"/>
    </row>
    <row r="858">
      <c r="A858" s="348"/>
      <c r="B858" s="284"/>
      <c r="C858" s="349"/>
      <c r="D858" s="349"/>
      <c r="E858" s="284"/>
      <c r="F858" s="284"/>
      <c r="G858" s="284"/>
      <c r="H858" s="284"/>
      <c r="I858" s="284"/>
      <c r="J858" s="348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  <c r="V858" s="284"/>
      <c r="W858" s="284"/>
      <c r="X858" s="284"/>
    </row>
    <row r="859">
      <c r="A859" s="348"/>
      <c r="B859" s="284"/>
      <c r="C859" s="349"/>
      <c r="D859" s="349"/>
      <c r="E859" s="284"/>
      <c r="F859" s="284"/>
      <c r="G859" s="284"/>
      <c r="H859" s="284"/>
      <c r="I859" s="284"/>
      <c r="J859" s="348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  <c r="V859" s="284"/>
      <c r="W859" s="284"/>
      <c r="X859" s="284"/>
    </row>
    <row r="860">
      <c r="A860" s="348"/>
      <c r="B860" s="284"/>
      <c r="C860" s="349"/>
      <c r="D860" s="349"/>
      <c r="E860" s="284"/>
      <c r="F860" s="284"/>
      <c r="G860" s="284"/>
      <c r="H860" s="284"/>
      <c r="I860" s="284"/>
      <c r="J860" s="348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  <c r="V860" s="284"/>
      <c r="W860" s="284"/>
      <c r="X860" s="284"/>
    </row>
    <row r="861">
      <c r="A861" s="348"/>
      <c r="B861" s="284"/>
      <c r="C861" s="349"/>
      <c r="D861" s="349"/>
      <c r="E861" s="284"/>
      <c r="F861" s="284"/>
      <c r="G861" s="284"/>
      <c r="H861" s="284"/>
      <c r="I861" s="284"/>
      <c r="J861" s="348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  <c r="V861" s="284"/>
      <c r="W861" s="284"/>
      <c r="X861" s="284"/>
    </row>
    <row r="862">
      <c r="A862" s="348"/>
      <c r="B862" s="284"/>
      <c r="C862" s="349"/>
      <c r="D862" s="349"/>
      <c r="E862" s="284"/>
      <c r="F862" s="284"/>
      <c r="G862" s="284"/>
      <c r="H862" s="284"/>
      <c r="I862" s="284"/>
      <c r="J862" s="348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  <c r="V862" s="284"/>
      <c r="W862" s="284"/>
      <c r="X862" s="284"/>
    </row>
    <row r="863">
      <c r="A863" s="348"/>
      <c r="B863" s="284"/>
      <c r="C863" s="349"/>
      <c r="D863" s="349"/>
      <c r="E863" s="284"/>
      <c r="F863" s="284"/>
      <c r="G863" s="284"/>
      <c r="H863" s="284"/>
      <c r="I863" s="284"/>
      <c r="J863" s="348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  <c r="V863" s="284"/>
      <c r="W863" s="284"/>
      <c r="X863" s="284"/>
    </row>
    <row r="864">
      <c r="A864" s="348"/>
      <c r="B864" s="284"/>
      <c r="C864" s="349"/>
      <c r="D864" s="349"/>
      <c r="E864" s="284"/>
      <c r="F864" s="284"/>
      <c r="G864" s="284"/>
      <c r="H864" s="284"/>
      <c r="I864" s="284"/>
      <c r="J864" s="348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  <c r="V864" s="284"/>
      <c r="W864" s="284"/>
      <c r="X864" s="284"/>
    </row>
    <row r="865">
      <c r="A865" s="348"/>
      <c r="B865" s="284"/>
      <c r="C865" s="349"/>
      <c r="D865" s="349"/>
      <c r="E865" s="284"/>
      <c r="F865" s="284"/>
      <c r="G865" s="284"/>
      <c r="H865" s="284"/>
      <c r="I865" s="284"/>
      <c r="J865" s="348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  <c r="V865" s="284"/>
      <c r="W865" s="284"/>
      <c r="X865" s="284"/>
    </row>
    <row r="866">
      <c r="A866" s="348"/>
      <c r="B866" s="284"/>
      <c r="C866" s="349"/>
      <c r="D866" s="349"/>
      <c r="E866" s="284"/>
      <c r="F866" s="284"/>
      <c r="G866" s="284"/>
      <c r="H866" s="284"/>
      <c r="I866" s="284"/>
      <c r="J866" s="348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  <c r="V866" s="284"/>
      <c r="W866" s="284"/>
      <c r="X866" s="284"/>
    </row>
    <row r="867">
      <c r="A867" s="348"/>
      <c r="B867" s="284"/>
      <c r="C867" s="349"/>
      <c r="D867" s="349"/>
      <c r="E867" s="284"/>
      <c r="F867" s="284"/>
      <c r="G867" s="284"/>
      <c r="H867" s="284"/>
      <c r="I867" s="284"/>
      <c r="J867" s="348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  <c r="V867" s="284"/>
      <c r="W867" s="284"/>
      <c r="X867" s="284"/>
    </row>
    <row r="868">
      <c r="A868" s="348"/>
      <c r="B868" s="284"/>
      <c r="C868" s="349"/>
      <c r="D868" s="349"/>
      <c r="E868" s="284"/>
      <c r="F868" s="284"/>
      <c r="G868" s="284"/>
      <c r="H868" s="284"/>
      <c r="I868" s="284"/>
      <c r="J868" s="348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  <c r="V868" s="284"/>
      <c r="W868" s="284"/>
      <c r="X868" s="284"/>
    </row>
    <row r="869">
      <c r="A869" s="348"/>
      <c r="B869" s="284"/>
      <c r="C869" s="349"/>
      <c r="D869" s="349"/>
      <c r="E869" s="284"/>
      <c r="F869" s="284"/>
      <c r="G869" s="284"/>
      <c r="H869" s="284"/>
      <c r="I869" s="284"/>
      <c r="J869" s="348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  <c r="V869" s="284"/>
      <c r="W869" s="284"/>
      <c r="X869" s="284"/>
    </row>
    <row r="870">
      <c r="A870" s="348"/>
      <c r="B870" s="284"/>
      <c r="C870" s="349"/>
      <c r="D870" s="349"/>
      <c r="E870" s="284"/>
      <c r="F870" s="284"/>
      <c r="G870" s="284"/>
      <c r="H870" s="284"/>
      <c r="I870" s="284"/>
      <c r="J870" s="348"/>
      <c r="K870" s="284"/>
      <c r="L870" s="284"/>
      <c r="M870" s="284"/>
      <c r="N870" s="284"/>
      <c r="O870" s="284"/>
      <c r="P870" s="284"/>
      <c r="Q870" s="284"/>
      <c r="R870" s="284"/>
      <c r="S870" s="284"/>
      <c r="T870" s="284"/>
      <c r="U870" s="284"/>
      <c r="V870" s="284"/>
      <c r="W870" s="284"/>
      <c r="X870" s="284"/>
    </row>
    <row r="871">
      <c r="A871" s="348"/>
      <c r="B871" s="284"/>
      <c r="C871" s="349"/>
      <c r="D871" s="349"/>
      <c r="E871" s="284"/>
      <c r="F871" s="284"/>
      <c r="G871" s="284"/>
      <c r="H871" s="284"/>
      <c r="I871" s="284"/>
      <c r="J871" s="348"/>
      <c r="K871" s="284"/>
      <c r="L871" s="284"/>
      <c r="M871" s="284"/>
      <c r="N871" s="284"/>
      <c r="O871" s="284"/>
      <c r="P871" s="284"/>
      <c r="Q871" s="284"/>
      <c r="R871" s="284"/>
      <c r="S871" s="284"/>
      <c r="T871" s="284"/>
      <c r="U871" s="284"/>
      <c r="V871" s="284"/>
      <c r="W871" s="284"/>
      <c r="X871" s="284"/>
    </row>
    <row r="872">
      <c r="A872" s="348"/>
      <c r="B872" s="284"/>
      <c r="C872" s="349"/>
      <c r="D872" s="349"/>
      <c r="E872" s="284"/>
      <c r="F872" s="284"/>
      <c r="G872" s="284"/>
      <c r="H872" s="284"/>
      <c r="I872" s="284"/>
      <c r="J872" s="348"/>
      <c r="K872" s="284"/>
      <c r="L872" s="284"/>
      <c r="M872" s="284"/>
      <c r="N872" s="284"/>
      <c r="O872" s="284"/>
      <c r="P872" s="284"/>
      <c r="Q872" s="284"/>
      <c r="R872" s="284"/>
      <c r="S872" s="284"/>
      <c r="T872" s="284"/>
      <c r="U872" s="284"/>
      <c r="V872" s="284"/>
      <c r="W872" s="284"/>
      <c r="X872" s="284"/>
    </row>
    <row r="873">
      <c r="A873" s="348"/>
      <c r="B873" s="284"/>
      <c r="C873" s="349"/>
      <c r="D873" s="349"/>
      <c r="E873" s="284"/>
      <c r="F873" s="284"/>
      <c r="G873" s="284"/>
      <c r="H873" s="284"/>
      <c r="I873" s="284"/>
      <c r="J873" s="348"/>
      <c r="K873" s="284"/>
      <c r="L873" s="284"/>
      <c r="M873" s="284"/>
      <c r="N873" s="284"/>
      <c r="O873" s="284"/>
      <c r="P873" s="284"/>
      <c r="Q873" s="284"/>
      <c r="R873" s="284"/>
      <c r="S873" s="284"/>
      <c r="T873" s="284"/>
      <c r="U873" s="284"/>
      <c r="V873" s="284"/>
      <c r="W873" s="284"/>
      <c r="X873" s="284"/>
    </row>
    <row r="874">
      <c r="A874" s="348"/>
      <c r="B874" s="284"/>
      <c r="C874" s="349"/>
      <c r="D874" s="349"/>
      <c r="E874" s="284"/>
      <c r="F874" s="284"/>
      <c r="G874" s="284"/>
      <c r="H874" s="284"/>
      <c r="I874" s="284"/>
      <c r="J874" s="348"/>
      <c r="K874" s="284"/>
      <c r="L874" s="284"/>
      <c r="M874" s="284"/>
      <c r="N874" s="284"/>
      <c r="O874" s="284"/>
      <c r="P874" s="284"/>
      <c r="Q874" s="284"/>
      <c r="R874" s="284"/>
      <c r="S874" s="284"/>
      <c r="T874" s="284"/>
      <c r="U874" s="284"/>
      <c r="V874" s="284"/>
      <c r="W874" s="284"/>
      <c r="X874" s="284"/>
    </row>
    <row r="875">
      <c r="A875" s="348"/>
      <c r="B875" s="284"/>
      <c r="C875" s="349"/>
      <c r="D875" s="349"/>
      <c r="E875" s="284"/>
      <c r="F875" s="284"/>
      <c r="G875" s="284"/>
      <c r="H875" s="284"/>
      <c r="I875" s="284"/>
      <c r="J875" s="348"/>
      <c r="K875" s="284"/>
      <c r="L875" s="284"/>
      <c r="M875" s="284"/>
      <c r="N875" s="284"/>
      <c r="O875" s="284"/>
      <c r="P875" s="284"/>
      <c r="Q875" s="284"/>
      <c r="R875" s="284"/>
      <c r="S875" s="284"/>
      <c r="T875" s="284"/>
      <c r="U875" s="284"/>
      <c r="V875" s="284"/>
      <c r="W875" s="284"/>
      <c r="X875" s="284"/>
    </row>
    <row r="876">
      <c r="A876" s="348"/>
      <c r="B876" s="284"/>
      <c r="C876" s="349"/>
      <c r="D876" s="349"/>
      <c r="E876" s="284"/>
      <c r="F876" s="284"/>
      <c r="G876" s="284"/>
      <c r="H876" s="284"/>
      <c r="I876" s="284"/>
      <c r="J876" s="348"/>
      <c r="K876" s="284"/>
      <c r="L876" s="284"/>
      <c r="M876" s="284"/>
      <c r="N876" s="284"/>
      <c r="O876" s="284"/>
      <c r="P876" s="284"/>
      <c r="Q876" s="284"/>
      <c r="R876" s="284"/>
      <c r="S876" s="284"/>
      <c r="T876" s="284"/>
      <c r="U876" s="284"/>
      <c r="V876" s="284"/>
      <c r="W876" s="284"/>
      <c r="X876" s="284"/>
    </row>
    <row r="877">
      <c r="A877" s="348"/>
      <c r="B877" s="284"/>
      <c r="C877" s="349"/>
      <c r="D877" s="349"/>
      <c r="E877" s="284"/>
      <c r="F877" s="284"/>
      <c r="G877" s="284"/>
      <c r="H877" s="284"/>
      <c r="I877" s="284"/>
      <c r="J877" s="348"/>
      <c r="K877" s="284"/>
      <c r="L877" s="284"/>
      <c r="M877" s="284"/>
      <c r="N877" s="284"/>
      <c r="O877" s="284"/>
      <c r="P877" s="284"/>
      <c r="Q877" s="284"/>
      <c r="R877" s="284"/>
      <c r="S877" s="284"/>
      <c r="T877" s="284"/>
      <c r="U877" s="284"/>
      <c r="V877" s="284"/>
      <c r="W877" s="284"/>
      <c r="X877" s="284"/>
    </row>
    <row r="878">
      <c r="A878" s="348"/>
      <c r="B878" s="284"/>
      <c r="C878" s="349"/>
      <c r="D878" s="349"/>
      <c r="E878" s="284"/>
      <c r="F878" s="284"/>
      <c r="G878" s="284"/>
      <c r="H878" s="284"/>
      <c r="I878" s="284"/>
      <c r="J878" s="348"/>
      <c r="K878" s="284"/>
      <c r="L878" s="284"/>
      <c r="M878" s="284"/>
      <c r="N878" s="284"/>
      <c r="O878" s="284"/>
      <c r="P878" s="284"/>
      <c r="Q878" s="284"/>
      <c r="R878" s="284"/>
      <c r="S878" s="284"/>
      <c r="T878" s="284"/>
      <c r="U878" s="284"/>
      <c r="V878" s="284"/>
      <c r="W878" s="284"/>
      <c r="X878" s="284"/>
    </row>
    <row r="879">
      <c r="A879" s="348"/>
      <c r="B879" s="284"/>
      <c r="C879" s="349"/>
      <c r="D879" s="349"/>
      <c r="E879" s="284"/>
      <c r="F879" s="284"/>
      <c r="G879" s="284"/>
      <c r="H879" s="284"/>
      <c r="I879" s="284"/>
      <c r="J879" s="348"/>
      <c r="K879" s="284"/>
      <c r="L879" s="284"/>
      <c r="M879" s="284"/>
      <c r="N879" s="284"/>
      <c r="O879" s="284"/>
      <c r="P879" s="284"/>
      <c r="Q879" s="284"/>
      <c r="R879" s="284"/>
      <c r="S879" s="284"/>
      <c r="T879" s="284"/>
      <c r="U879" s="284"/>
      <c r="V879" s="284"/>
      <c r="W879" s="284"/>
      <c r="X879" s="284"/>
    </row>
    <row r="880">
      <c r="A880" s="348"/>
      <c r="B880" s="284"/>
      <c r="C880" s="349"/>
      <c r="D880" s="349"/>
      <c r="E880" s="284"/>
      <c r="F880" s="284"/>
      <c r="G880" s="284"/>
      <c r="H880" s="284"/>
      <c r="I880" s="284"/>
      <c r="J880" s="348"/>
      <c r="K880" s="284"/>
      <c r="L880" s="284"/>
      <c r="M880" s="284"/>
      <c r="N880" s="284"/>
      <c r="O880" s="284"/>
      <c r="P880" s="284"/>
      <c r="Q880" s="284"/>
      <c r="R880" s="284"/>
      <c r="S880" s="284"/>
      <c r="T880" s="284"/>
      <c r="U880" s="284"/>
      <c r="V880" s="284"/>
      <c r="W880" s="284"/>
      <c r="X880" s="284"/>
    </row>
    <row r="881">
      <c r="A881" s="348"/>
      <c r="B881" s="284"/>
      <c r="C881" s="349"/>
      <c r="D881" s="349"/>
      <c r="E881" s="284"/>
      <c r="F881" s="284"/>
      <c r="G881" s="284"/>
      <c r="H881" s="284"/>
      <c r="I881" s="284"/>
      <c r="J881" s="348"/>
      <c r="K881" s="284"/>
      <c r="L881" s="284"/>
      <c r="M881" s="284"/>
      <c r="N881" s="284"/>
      <c r="O881" s="284"/>
      <c r="P881" s="284"/>
      <c r="Q881" s="284"/>
      <c r="R881" s="284"/>
      <c r="S881" s="284"/>
      <c r="T881" s="284"/>
      <c r="U881" s="284"/>
      <c r="V881" s="284"/>
      <c r="W881" s="284"/>
      <c r="X881" s="284"/>
    </row>
    <row r="882">
      <c r="A882" s="348"/>
      <c r="B882" s="284"/>
      <c r="C882" s="349"/>
      <c r="D882" s="349"/>
      <c r="E882" s="284"/>
      <c r="F882" s="284"/>
      <c r="G882" s="284"/>
      <c r="H882" s="284"/>
      <c r="I882" s="284"/>
      <c r="J882" s="348"/>
      <c r="K882" s="284"/>
      <c r="L882" s="284"/>
      <c r="M882" s="284"/>
      <c r="N882" s="284"/>
      <c r="O882" s="284"/>
      <c r="P882" s="284"/>
      <c r="Q882" s="284"/>
      <c r="R882" s="284"/>
      <c r="S882" s="284"/>
      <c r="T882" s="284"/>
      <c r="U882" s="284"/>
      <c r="V882" s="284"/>
      <c r="W882" s="284"/>
      <c r="X882" s="284"/>
    </row>
    <row r="883">
      <c r="A883" s="348"/>
      <c r="B883" s="284"/>
      <c r="C883" s="349"/>
      <c r="D883" s="349"/>
      <c r="E883" s="284"/>
      <c r="F883" s="284"/>
      <c r="G883" s="284"/>
      <c r="H883" s="284"/>
      <c r="I883" s="284"/>
      <c r="J883" s="348"/>
      <c r="K883" s="284"/>
      <c r="L883" s="284"/>
      <c r="M883" s="284"/>
      <c r="N883" s="284"/>
      <c r="O883" s="284"/>
      <c r="P883" s="284"/>
      <c r="Q883" s="284"/>
      <c r="R883" s="284"/>
      <c r="S883" s="284"/>
      <c r="T883" s="284"/>
      <c r="U883" s="284"/>
      <c r="V883" s="284"/>
      <c r="W883" s="284"/>
      <c r="X883" s="284"/>
    </row>
    <row r="884">
      <c r="A884" s="348"/>
      <c r="B884" s="284"/>
      <c r="C884" s="349"/>
      <c r="D884" s="349"/>
      <c r="E884" s="284"/>
      <c r="F884" s="284"/>
      <c r="G884" s="284"/>
      <c r="H884" s="284"/>
      <c r="I884" s="284"/>
      <c r="J884" s="348"/>
      <c r="K884" s="284"/>
      <c r="L884" s="284"/>
      <c r="M884" s="284"/>
      <c r="N884" s="284"/>
      <c r="O884" s="284"/>
      <c r="P884" s="284"/>
      <c r="Q884" s="284"/>
      <c r="R884" s="284"/>
      <c r="S884" s="284"/>
      <c r="T884" s="284"/>
      <c r="U884" s="284"/>
      <c r="V884" s="284"/>
      <c r="W884" s="284"/>
      <c r="X884" s="284"/>
    </row>
    <row r="885">
      <c r="A885" s="348"/>
      <c r="B885" s="284"/>
      <c r="C885" s="349"/>
      <c r="D885" s="349"/>
      <c r="E885" s="284"/>
      <c r="F885" s="284"/>
      <c r="G885" s="284"/>
      <c r="H885" s="284"/>
      <c r="I885" s="284"/>
      <c r="J885" s="348"/>
      <c r="K885" s="284"/>
      <c r="L885" s="284"/>
      <c r="M885" s="284"/>
      <c r="N885" s="284"/>
      <c r="O885" s="284"/>
      <c r="P885" s="284"/>
      <c r="Q885" s="284"/>
      <c r="R885" s="284"/>
      <c r="S885" s="284"/>
      <c r="T885" s="284"/>
      <c r="U885" s="284"/>
      <c r="V885" s="284"/>
      <c r="W885" s="284"/>
      <c r="X885" s="284"/>
    </row>
    <row r="886">
      <c r="A886" s="348"/>
      <c r="B886" s="284"/>
      <c r="C886" s="349"/>
      <c r="D886" s="349"/>
      <c r="E886" s="284"/>
      <c r="F886" s="284"/>
      <c r="G886" s="284"/>
      <c r="H886" s="284"/>
      <c r="I886" s="284"/>
      <c r="J886" s="348"/>
      <c r="K886" s="284"/>
      <c r="L886" s="284"/>
      <c r="M886" s="284"/>
      <c r="N886" s="284"/>
      <c r="O886" s="284"/>
      <c r="P886" s="284"/>
      <c r="Q886" s="284"/>
      <c r="R886" s="284"/>
      <c r="S886" s="284"/>
      <c r="T886" s="284"/>
      <c r="U886" s="284"/>
      <c r="V886" s="284"/>
      <c r="W886" s="284"/>
      <c r="X886" s="284"/>
    </row>
    <row r="887">
      <c r="A887" s="348"/>
      <c r="B887" s="284"/>
      <c r="C887" s="349"/>
      <c r="D887" s="349"/>
      <c r="E887" s="284"/>
      <c r="F887" s="284"/>
      <c r="G887" s="284"/>
      <c r="H887" s="284"/>
      <c r="I887" s="284"/>
      <c r="J887" s="348"/>
      <c r="K887" s="284"/>
      <c r="L887" s="284"/>
      <c r="M887" s="284"/>
      <c r="N887" s="284"/>
      <c r="O887" s="284"/>
      <c r="P887" s="284"/>
      <c r="Q887" s="284"/>
      <c r="R887" s="284"/>
      <c r="S887" s="284"/>
      <c r="T887" s="284"/>
      <c r="U887" s="284"/>
      <c r="V887" s="284"/>
      <c r="W887" s="284"/>
      <c r="X887" s="284"/>
    </row>
    <row r="888">
      <c r="A888" s="348"/>
      <c r="B888" s="284"/>
      <c r="C888" s="349"/>
      <c r="D888" s="349"/>
      <c r="E888" s="284"/>
      <c r="F888" s="284"/>
      <c r="G888" s="284"/>
      <c r="H888" s="284"/>
      <c r="I888" s="284"/>
      <c r="J888" s="348"/>
      <c r="K888" s="284"/>
      <c r="L888" s="284"/>
      <c r="M888" s="284"/>
      <c r="N888" s="284"/>
      <c r="O888" s="284"/>
      <c r="P888" s="284"/>
      <c r="Q888" s="284"/>
      <c r="R888" s="284"/>
      <c r="S888" s="284"/>
      <c r="T888" s="284"/>
      <c r="U888" s="284"/>
      <c r="V888" s="284"/>
      <c r="W888" s="284"/>
      <c r="X888" s="284"/>
    </row>
    <row r="889">
      <c r="A889" s="348"/>
      <c r="B889" s="284"/>
      <c r="C889" s="349"/>
      <c r="D889" s="349"/>
      <c r="E889" s="284"/>
      <c r="F889" s="284"/>
      <c r="G889" s="284"/>
      <c r="H889" s="284"/>
      <c r="I889" s="284"/>
      <c r="J889" s="348"/>
      <c r="K889" s="284"/>
      <c r="L889" s="284"/>
      <c r="M889" s="284"/>
      <c r="N889" s="284"/>
      <c r="O889" s="284"/>
      <c r="P889" s="284"/>
      <c r="Q889" s="284"/>
      <c r="R889" s="284"/>
      <c r="S889" s="284"/>
      <c r="T889" s="284"/>
      <c r="U889" s="284"/>
      <c r="V889" s="284"/>
      <c r="W889" s="284"/>
      <c r="X889" s="284"/>
    </row>
    <row r="890">
      <c r="A890" s="348"/>
      <c r="B890" s="284"/>
      <c r="C890" s="349"/>
      <c r="D890" s="349"/>
      <c r="E890" s="284"/>
      <c r="F890" s="284"/>
      <c r="G890" s="284"/>
      <c r="H890" s="284"/>
      <c r="I890" s="284"/>
      <c r="J890" s="348"/>
      <c r="K890" s="284"/>
      <c r="L890" s="284"/>
      <c r="M890" s="284"/>
      <c r="N890" s="284"/>
      <c r="O890" s="284"/>
      <c r="P890" s="284"/>
      <c r="Q890" s="284"/>
      <c r="R890" s="284"/>
      <c r="S890" s="284"/>
      <c r="T890" s="284"/>
      <c r="U890" s="284"/>
      <c r="V890" s="284"/>
      <c r="W890" s="284"/>
      <c r="X890" s="284"/>
    </row>
    <row r="891">
      <c r="A891" s="348"/>
      <c r="B891" s="284"/>
      <c r="C891" s="349"/>
      <c r="D891" s="349"/>
      <c r="E891" s="284"/>
      <c r="F891" s="284"/>
      <c r="G891" s="284"/>
      <c r="H891" s="284"/>
      <c r="I891" s="284"/>
      <c r="J891" s="348"/>
      <c r="K891" s="284"/>
      <c r="L891" s="284"/>
      <c r="M891" s="284"/>
      <c r="N891" s="284"/>
      <c r="O891" s="284"/>
      <c r="P891" s="284"/>
      <c r="Q891" s="284"/>
      <c r="R891" s="284"/>
      <c r="S891" s="284"/>
      <c r="T891" s="284"/>
      <c r="U891" s="284"/>
      <c r="V891" s="284"/>
      <c r="W891" s="284"/>
      <c r="X891" s="284"/>
    </row>
    <row r="892">
      <c r="A892" s="348"/>
      <c r="B892" s="284"/>
      <c r="C892" s="349"/>
      <c r="D892" s="349"/>
      <c r="E892" s="284"/>
      <c r="F892" s="284"/>
      <c r="G892" s="284"/>
      <c r="H892" s="284"/>
      <c r="I892" s="284"/>
      <c r="J892" s="348"/>
      <c r="K892" s="284"/>
      <c r="L892" s="284"/>
      <c r="M892" s="284"/>
      <c r="N892" s="284"/>
      <c r="O892" s="284"/>
      <c r="P892" s="284"/>
      <c r="Q892" s="284"/>
      <c r="R892" s="284"/>
      <c r="S892" s="284"/>
      <c r="T892" s="284"/>
      <c r="U892" s="284"/>
      <c r="V892" s="284"/>
      <c r="W892" s="284"/>
      <c r="X892" s="284"/>
    </row>
    <row r="893">
      <c r="A893" s="348"/>
      <c r="B893" s="284"/>
      <c r="C893" s="349"/>
      <c r="D893" s="349"/>
      <c r="E893" s="284"/>
      <c r="F893" s="284"/>
      <c r="G893" s="284"/>
      <c r="H893" s="284"/>
      <c r="I893" s="284"/>
      <c r="J893" s="348"/>
      <c r="K893" s="284"/>
      <c r="L893" s="284"/>
      <c r="M893" s="284"/>
      <c r="N893" s="284"/>
      <c r="O893" s="284"/>
      <c r="P893" s="284"/>
      <c r="Q893" s="284"/>
      <c r="R893" s="284"/>
      <c r="S893" s="284"/>
      <c r="T893" s="284"/>
      <c r="U893" s="284"/>
      <c r="V893" s="284"/>
      <c r="W893" s="284"/>
      <c r="X893" s="284"/>
    </row>
    <row r="894">
      <c r="A894" s="348"/>
      <c r="B894" s="284"/>
      <c r="C894" s="349"/>
      <c r="D894" s="349"/>
      <c r="E894" s="284"/>
      <c r="F894" s="284"/>
      <c r="G894" s="284"/>
      <c r="H894" s="284"/>
      <c r="I894" s="284"/>
      <c r="J894" s="348"/>
      <c r="K894" s="284"/>
      <c r="L894" s="284"/>
      <c r="M894" s="284"/>
      <c r="N894" s="284"/>
      <c r="O894" s="284"/>
      <c r="P894" s="284"/>
      <c r="Q894" s="284"/>
      <c r="R894" s="284"/>
      <c r="S894" s="284"/>
      <c r="T894" s="284"/>
      <c r="U894" s="284"/>
      <c r="V894" s="284"/>
      <c r="W894" s="284"/>
      <c r="X894" s="284"/>
    </row>
    <row r="895">
      <c r="A895" s="348"/>
      <c r="B895" s="284"/>
      <c r="C895" s="349"/>
      <c r="D895" s="349"/>
      <c r="E895" s="284"/>
      <c r="F895" s="284"/>
      <c r="G895" s="284"/>
      <c r="H895" s="284"/>
      <c r="I895" s="284"/>
      <c r="J895" s="348"/>
      <c r="K895" s="284"/>
      <c r="L895" s="284"/>
      <c r="M895" s="284"/>
      <c r="N895" s="284"/>
      <c r="O895" s="284"/>
      <c r="P895" s="284"/>
      <c r="Q895" s="284"/>
      <c r="R895" s="284"/>
      <c r="S895" s="284"/>
      <c r="T895" s="284"/>
      <c r="U895" s="284"/>
      <c r="V895" s="284"/>
      <c r="W895" s="284"/>
      <c r="X895" s="284"/>
    </row>
    <row r="896">
      <c r="A896" s="348"/>
      <c r="B896" s="284"/>
      <c r="C896" s="349"/>
      <c r="D896" s="349"/>
      <c r="E896" s="284"/>
      <c r="F896" s="284"/>
      <c r="G896" s="284"/>
      <c r="H896" s="284"/>
      <c r="I896" s="284"/>
      <c r="J896" s="348"/>
      <c r="K896" s="284"/>
      <c r="L896" s="284"/>
      <c r="M896" s="284"/>
      <c r="N896" s="284"/>
      <c r="O896" s="284"/>
      <c r="P896" s="284"/>
      <c r="Q896" s="284"/>
      <c r="R896" s="284"/>
      <c r="S896" s="284"/>
      <c r="T896" s="284"/>
      <c r="U896" s="284"/>
      <c r="V896" s="284"/>
      <c r="W896" s="284"/>
      <c r="X896" s="284"/>
    </row>
    <row r="897">
      <c r="A897" s="348"/>
      <c r="B897" s="284"/>
      <c r="C897" s="349"/>
      <c r="D897" s="349"/>
      <c r="E897" s="284"/>
      <c r="F897" s="284"/>
      <c r="G897" s="284"/>
      <c r="H897" s="284"/>
      <c r="I897" s="284"/>
      <c r="J897" s="348"/>
      <c r="K897" s="284"/>
      <c r="L897" s="284"/>
      <c r="M897" s="284"/>
      <c r="N897" s="284"/>
      <c r="O897" s="284"/>
      <c r="P897" s="284"/>
      <c r="Q897" s="284"/>
      <c r="R897" s="284"/>
      <c r="S897" s="284"/>
      <c r="T897" s="284"/>
      <c r="U897" s="284"/>
      <c r="V897" s="284"/>
      <c r="W897" s="284"/>
      <c r="X897" s="284"/>
    </row>
    <row r="898">
      <c r="A898" s="348"/>
      <c r="B898" s="284"/>
      <c r="C898" s="349"/>
      <c r="D898" s="349"/>
      <c r="E898" s="284"/>
      <c r="F898" s="284"/>
      <c r="G898" s="284"/>
      <c r="H898" s="284"/>
      <c r="I898" s="284"/>
      <c r="J898" s="348"/>
      <c r="K898" s="284"/>
      <c r="L898" s="284"/>
      <c r="M898" s="284"/>
      <c r="N898" s="284"/>
      <c r="O898" s="284"/>
      <c r="P898" s="284"/>
      <c r="Q898" s="284"/>
      <c r="R898" s="284"/>
      <c r="S898" s="284"/>
      <c r="T898" s="284"/>
      <c r="U898" s="284"/>
      <c r="V898" s="284"/>
      <c r="W898" s="284"/>
      <c r="X898" s="284"/>
    </row>
    <row r="899">
      <c r="A899" s="348"/>
      <c r="B899" s="284"/>
      <c r="C899" s="349"/>
      <c r="D899" s="349"/>
      <c r="E899" s="284"/>
      <c r="F899" s="284"/>
      <c r="G899" s="284"/>
      <c r="H899" s="284"/>
      <c r="I899" s="284"/>
      <c r="J899" s="348"/>
      <c r="K899" s="284"/>
      <c r="L899" s="284"/>
      <c r="M899" s="284"/>
      <c r="N899" s="284"/>
      <c r="O899" s="284"/>
      <c r="P899" s="284"/>
      <c r="Q899" s="284"/>
      <c r="R899" s="284"/>
      <c r="S899" s="284"/>
      <c r="T899" s="284"/>
      <c r="U899" s="284"/>
      <c r="V899" s="284"/>
      <c r="W899" s="284"/>
      <c r="X899" s="284"/>
    </row>
    <row r="900">
      <c r="A900" s="348"/>
      <c r="B900" s="284"/>
      <c r="C900" s="349"/>
      <c r="D900" s="349"/>
      <c r="E900" s="284"/>
      <c r="F900" s="284"/>
      <c r="G900" s="284"/>
      <c r="H900" s="284"/>
      <c r="I900" s="284"/>
      <c r="J900" s="348"/>
      <c r="K900" s="284"/>
      <c r="L900" s="284"/>
      <c r="M900" s="284"/>
      <c r="N900" s="284"/>
      <c r="O900" s="284"/>
      <c r="P900" s="284"/>
      <c r="Q900" s="284"/>
      <c r="R900" s="284"/>
      <c r="S900" s="284"/>
      <c r="T900" s="284"/>
      <c r="U900" s="284"/>
      <c r="V900" s="284"/>
      <c r="W900" s="284"/>
      <c r="X900" s="284"/>
    </row>
    <row r="901">
      <c r="A901" s="348"/>
      <c r="B901" s="284"/>
      <c r="C901" s="349"/>
      <c r="D901" s="349"/>
      <c r="E901" s="284"/>
      <c r="F901" s="284"/>
      <c r="G901" s="284"/>
      <c r="H901" s="284"/>
      <c r="I901" s="284"/>
      <c r="J901" s="348"/>
      <c r="K901" s="284"/>
      <c r="L901" s="284"/>
      <c r="M901" s="284"/>
      <c r="N901" s="284"/>
      <c r="O901" s="284"/>
      <c r="P901" s="284"/>
      <c r="Q901" s="284"/>
      <c r="R901" s="284"/>
      <c r="S901" s="284"/>
      <c r="T901" s="284"/>
      <c r="U901" s="284"/>
      <c r="V901" s="284"/>
      <c r="W901" s="284"/>
      <c r="X901" s="284"/>
    </row>
    <row r="902">
      <c r="A902" s="348"/>
      <c r="B902" s="284"/>
      <c r="C902" s="349"/>
      <c r="D902" s="349"/>
      <c r="E902" s="284"/>
      <c r="F902" s="284"/>
      <c r="G902" s="284"/>
      <c r="H902" s="284"/>
      <c r="I902" s="284"/>
      <c r="J902" s="348"/>
      <c r="K902" s="284"/>
      <c r="L902" s="284"/>
      <c r="M902" s="284"/>
      <c r="N902" s="284"/>
      <c r="O902" s="284"/>
      <c r="P902" s="284"/>
      <c r="Q902" s="284"/>
      <c r="R902" s="284"/>
      <c r="S902" s="284"/>
      <c r="T902" s="284"/>
      <c r="U902" s="284"/>
      <c r="V902" s="284"/>
      <c r="W902" s="284"/>
      <c r="X902" s="284"/>
    </row>
    <row r="903">
      <c r="A903" s="348"/>
      <c r="B903" s="284"/>
      <c r="C903" s="349"/>
      <c r="D903" s="349"/>
      <c r="E903" s="284"/>
      <c r="F903" s="284"/>
      <c r="G903" s="284"/>
      <c r="H903" s="284"/>
      <c r="I903" s="284"/>
      <c r="J903" s="348"/>
      <c r="K903" s="284"/>
      <c r="L903" s="284"/>
      <c r="M903" s="284"/>
      <c r="N903" s="284"/>
      <c r="O903" s="284"/>
      <c r="P903" s="284"/>
      <c r="Q903" s="284"/>
      <c r="R903" s="284"/>
      <c r="S903" s="284"/>
      <c r="T903" s="284"/>
      <c r="U903" s="284"/>
      <c r="V903" s="284"/>
      <c r="W903" s="284"/>
      <c r="X903" s="284"/>
    </row>
    <row r="904">
      <c r="A904" s="348"/>
      <c r="B904" s="284"/>
      <c r="C904" s="349"/>
      <c r="D904" s="349"/>
      <c r="E904" s="284"/>
      <c r="F904" s="284"/>
      <c r="G904" s="284"/>
      <c r="H904" s="284"/>
      <c r="I904" s="284"/>
      <c r="J904" s="348"/>
      <c r="K904" s="284"/>
      <c r="L904" s="284"/>
      <c r="M904" s="284"/>
      <c r="N904" s="284"/>
      <c r="O904" s="284"/>
      <c r="P904" s="284"/>
      <c r="Q904" s="284"/>
      <c r="R904" s="284"/>
      <c r="S904" s="284"/>
      <c r="T904" s="284"/>
      <c r="U904" s="284"/>
      <c r="V904" s="284"/>
      <c r="W904" s="284"/>
      <c r="X904" s="284"/>
    </row>
    <row r="905">
      <c r="A905" s="348"/>
      <c r="B905" s="284"/>
      <c r="C905" s="349"/>
      <c r="D905" s="349"/>
      <c r="E905" s="284"/>
      <c r="F905" s="284"/>
      <c r="G905" s="284"/>
      <c r="H905" s="284"/>
      <c r="I905" s="284"/>
      <c r="J905" s="348"/>
      <c r="K905" s="284"/>
      <c r="L905" s="284"/>
      <c r="M905" s="284"/>
      <c r="N905" s="284"/>
      <c r="O905" s="284"/>
      <c r="P905" s="284"/>
      <c r="Q905" s="284"/>
      <c r="R905" s="284"/>
      <c r="S905" s="284"/>
      <c r="T905" s="284"/>
      <c r="U905" s="284"/>
      <c r="V905" s="284"/>
      <c r="W905" s="284"/>
      <c r="X905" s="284"/>
    </row>
    <row r="906">
      <c r="A906" s="348"/>
      <c r="B906" s="284"/>
      <c r="C906" s="349"/>
      <c r="D906" s="349"/>
      <c r="E906" s="284"/>
      <c r="F906" s="284"/>
      <c r="G906" s="284"/>
      <c r="H906" s="284"/>
      <c r="I906" s="284"/>
      <c r="J906" s="348"/>
      <c r="K906" s="284"/>
      <c r="L906" s="284"/>
      <c r="M906" s="284"/>
      <c r="N906" s="284"/>
      <c r="O906" s="284"/>
      <c r="P906" s="284"/>
      <c r="Q906" s="284"/>
      <c r="R906" s="284"/>
      <c r="S906" s="284"/>
      <c r="T906" s="284"/>
      <c r="U906" s="284"/>
      <c r="V906" s="284"/>
      <c r="W906" s="284"/>
      <c r="X906" s="284"/>
    </row>
    <row r="907">
      <c r="A907" s="348"/>
      <c r="B907" s="284"/>
      <c r="C907" s="349"/>
      <c r="D907" s="349"/>
      <c r="E907" s="284"/>
      <c r="F907" s="284"/>
      <c r="G907" s="284"/>
      <c r="H907" s="284"/>
      <c r="I907" s="284"/>
      <c r="J907" s="348"/>
      <c r="K907" s="284"/>
      <c r="L907" s="284"/>
      <c r="M907" s="284"/>
      <c r="N907" s="284"/>
      <c r="O907" s="284"/>
      <c r="P907" s="284"/>
      <c r="Q907" s="284"/>
      <c r="R907" s="284"/>
      <c r="S907" s="284"/>
      <c r="T907" s="284"/>
      <c r="U907" s="284"/>
      <c r="V907" s="284"/>
      <c r="W907" s="284"/>
      <c r="X907" s="284"/>
    </row>
    <row r="908">
      <c r="A908" s="348"/>
      <c r="B908" s="284"/>
      <c r="C908" s="349"/>
      <c r="D908" s="349"/>
      <c r="E908" s="284"/>
      <c r="F908" s="284"/>
      <c r="G908" s="284"/>
      <c r="H908" s="284"/>
      <c r="I908" s="284"/>
      <c r="J908" s="348"/>
      <c r="K908" s="284"/>
      <c r="L908" s="284"/>
      <c r="M908" s="284"/>
      <c r="N908" s="284"/>
      <c r="O908" s="284"/>
      <c r="P908" s="284"/>
      <c r="Q908" s="284"/>
      <c r="R908" s="284"/>
      <c r="S908" s="284"/>
      <c r="T908" s="284"/>
      <c r="U908" s="284"/>
      <c r="V908" s="284"/>
      <c r="W908" s="284"/>
      <c r="X908" s="284"/>
    </row>
    <row r="909">
      <c r="A909" s="348"/>
      <c r="B909" s="284"/>
      <c r="C909" s="349"/>
      <c r="D909" s="349"/>
      <c r="E909" s="284"/>
      <c r="F909" s="284"/>
      <c r="G909" s="284"/>
      <c r="H909" s="284"/>
      <c r="I909" s="284"/>
      <c r="J909" s="348"/>
      <c r="K909" s="284"/>
      <c r="L909" s="284"/>
      <c r="M909" s="284"/>
      <c r="N909" s="284"/>
      <c r="O909" s="284"/>
      <c r="P909" s="284"/>
      <c r="Q909" s="284"/>
      <c r="R909" s="284"/>
      <c r="S909" s="284"/>
      <c r="T909" s="284"/>
      <c r="U909" s="284"/>
      <c r="V909" s="284"/>
      <c r="W909" s="284"/>
      <c r="X909" s="284"/>
    </row>
    <row r="910">
      <c r="A910" s="348"/>
      <c r="B910" s="284"/>
      <c r="C910" s="349"/>
      <c r="D910" s="349"/>
      <c r="E910" s="284"/>
      <c r="F910" s="284"/>
      <c r="G910" s="284"/>
      <c r="H910" s="284"/>
      <c r="I910" s="284"/>
      <c r="J910" s="348"/>
      <c r="K910" s="284"/>
      <c r="L910" s="284"/>
      <c r="M910" s="284"/>
      <c r="N910" s="284"/>
      <c r="O910" s="284"/>
      <c r="P910" s="284"/>
      <c r="Q910" s="284"/>
      <c r="R910" s="284"/>
      <c r="S910" s="284"/>
      <c r="T910" s="284"/>
      <c r="U910" s="284"/>
      <c r="V910" s="284"/>
      <c r="W910" s="284"/>
      <c r="X910" s="284"/>
    </row>
    <row r="911">
      <c r="A911" s="348"/>
      <c r="B911" s="284"/>
      <c r="C911" s="349"/>
      <c r="D911" s="349"/>
      <c r="E911" s="284"/>
      <c r="F911" s="284"/>
      <c r="G911" s="284"/>
      <c r="H911" s="284"/>
      <c r="I911" s="284"/>
      <c r="J911" s="348"/>
      <c r="K911" s="284"/>
      <c r="L911" s="284"/>
      <c r="M911" s="284"/>
      <c r="N911" s="284"/>
      <c r="O911" s="284"/>
      <c r="P911" s="284"/>
      <c r="Q911" s="284"/>
      <c r="R911" s="284"/>
      <c r="S911" s="284"/>
      <c r="T911" s="284"/>
      <c r="U911" s="284"/>
      <c r="V911" s="284"/>
      <c r="W911" s="284"/>
      <c r="X911" s="284"/>
    </row>
    <row r="912">
      <c r="A912" s="348"/>
      <c r="B912" s="284"/>
      <c r="C912" s="349"/>
      <c r="D912" s="349"/>
      <c r="E912" s="284"/>
      <c r="F912" s="284"/>
      <c r="G912" s="284"/>
      <c r="H912" s="284"/>
      <c r="I912" s="284"/>
      <c r="J912" s="348"/>
      <c r="K912" s="284"/>
      <c r="L912" s="284"/>
      <c r="M912" s="284"/>
      <c r="N912" s="284"/>
      <c r="O912" s="284"/>
      <c r="P912" s="284"/>
      <c r="Q912" s="284"/>
      <c r="R912" s="284"/>
      <c r="S912" s="284"/>
      <c r="T912" s="284"/>
      <c r="U912" s="284"/>
      <c r="V912" s="284"/>
      <c r="W912" s="284"/>
      <c r="X912" s="284"/>
    </row>
    <row r="913">
      <c r="A913" s="348"/>
      <c r="B913" s="284"/>
      <c r="C913" s="349"/>
      <c r="D913" s="349"/>
      <c r="E913" s="284"/>
      <c r="F913" s="284"/>
      <c r="G913" s="284"/>
      <c r="H913" s="284"/>
      <c r="I913" s="284"/>
      <c r="J913" s="348"/>
      <c r="K913" s="284"/>
      <c r="L913" s="284"/>
      <c r="M913" s="284"/>
      <c r="N913" s="284"/>
      <c r="O913" s="284"/>
      <c r="P913" s="284"/>
      <c r="Q913" s="284"/>
      <c r="R913" s="284"/>
      <c r="S913" s="284"/>
      <c r="T913" s="284"/>
      <c r="U913" s="284"/>
      <c r="V913" s="284"/>
      <c r="W913" s="284"/>
      <c r="X913" s="284"/>
    </row>
    <row r="914">
      <c r="A914" s="348"/>
      <c r="B914" s="284"/>
      <c r="C914" s="349"/>
      <c r="D914" s="349"/>
      <c r="E914" s="284"/>
      <c r="F914" s="284"/>
      <c r="G914" s="284"/>
      <c r="H914" s="284"/>
      <c r="I914" s="284"/>
      <c r="J914" s="348"/>
      <c r="K914" s="284"/>
      <c r="L914" s="284"/>
      <c r="M914" s="284"/>
      <c r="N914" s="284"/>
      <c r="O914" s="284"/>
      <c r="P914" s="284"/>
      <c r="Q914" s="284"/>
      <c r="R914" s="284"/>
      <c r="S914" s="284"/>
      <c r="T914" s="284"/>
      <c r="U914" s="284"/>
      <c r="V914" s="284"/>
      <c r="W914" s="284"/>
      <c r="X914" s="284"/>
    </row>
    <row r="915">
      <c r="A915" s="348"/>
      <c r="B915" s="284"/>
      <c r="C915" s="349"/>
      <c r="D915" s="349"/>
      <c r="E915" s="284"/>
      <c r="F915" s="284"/>
      <c r="G915" s="284"/>
      <c r="H915" s="284"/>
      <c r="I915" s="284"/>
      <c r="J915" s="348"/>
      <c r="K915" s="284"/>
      <c r="L915" s="284"/>
      <c r="M915" s="284"/>
      <c r="N915" s="284"/>
      <c r="O915" s="284"/>
      <c r="P915" s="284"/>
      <c r="Q915" s="284"/>
      <c r="R915" s="284"/>
      <c r="S915" s="284"/>
      <c r="T915" s="284"/>
      <c r="U915" s="284"/>
      <c r="V915" s="284"/>
      <c r="W915" s="284"/>
      <c r="X915" s="284"/>
    </row>
    <row r="916">
      <c r="A916" s="348"/>
      <c r="B916" s="284"/>
      <c r="C916" s="349"/>
      <c r="D916" s="349"/>
      <c r="E916" s="284"/>
      <c r="F916" s="284"/>
      <c r="G916" s="284"/>
      <c r="H916" s="284"/>
      <c r="I916" s="284"/>
      <c r="J916" s="348"/>
      <c r="K916" s="284"/>
      <c r="L916" s="284"/>
      <c r="M916" s="284"/>
      <c r="N916" s="284"/>
      <c r="O916" s="284"/>
      <c r="P916" s="284"/>
      <c r="Q916" s="284"/>
      <c r="R916" s="284"/>
      <c r="S916" s="284"/>
      <c r="T916" s="284"/>
      <c r="U916" s="284"/>
      <c r="V916" s="284"/>
      <c r="W916" s="284"/>
      <c r="X916" s="284"/>
    </row>
    <row r="917">
      <c r="A917" s="348"/>
      <c r="B917" s="284"/>
      <c r="C917" s="349"/>
      <c r="D917" s="349"/>
      <c r="E917" s="284"/>
      <c r="F917" s="284"/>
      <c r="G917" s="284"/>
      <c r="H917" s="284"/>
      <c r="I917" s="284"/>
      <c r="J917" s="348"/>
      <c r="K917" s="284"/>
      <c r="L917" s="284"/>
      <c r="M917" s="284"/>
      <c r="N917" s="284"/>
      <c r="O917" s="284"/>
      <c r="P917" s="284"/>
      <c r="Q917" s="284"/>
      <c r="R917" s="284"/>
      <c r="S917" s="284"/>
      <c r="T917" s="284"/>
      <c r="U917" s="284"/>
      <c r="V917" s="284"/>
      <c r="W917" s="284"/>
      <c r="X917" s="284"/>
    </row>
    <row r="918">
      <c r="A918" s="348"/>
      <c r="B918" s="284"/>
      <c r="C918" s="349"/>
      <c r="D918" s="349"/>
      <c r="E918" s="284"/>
      <c r="F918" s="284"/>
      <c r="G918" s="284"/>
      <c r="H918" s="284"/>
      <c r="I918" s="284"/>
      <c r="J918" s="348"/>
      <c r="K918" s="284"/>
      <c r="L918" s="284"/>
      <c r="M918" s="284"/>
      <c r="N918" s="284"/>
      <c r="O918" s="284"/>
      <c r="P918" s="284"/>
      <c r="Q918" s="284"/>
      <c r="R918" s="284"/>
      <c r="S918" s="284"/>
      <c r="T918" s="284"/>
      <c r="U918" s="284"/>
      <c r="V918" s="284"/>
      <c r="W918" s="284"/>
      <c r="X918" s="284"/>
    </row>
    <row r="919">
      <c r="A919" s="348"/>
      <c r="B919" s="284"/>
      <c r="C919" s="349"/>
      <c r="D919" s="349"/>
      <c r="E919" s="284"/>
      <c r="F919" s="284"/>
      <c r="G919" s="284"/>
      <c r="H919" s="284"/>
      <c r="I919" s="284"/>
      <c r="J919" s="348"/>
      <c r="K919" s="284"/>
      <c r="L919" s="284"/>
      <c r="M919" s="284"/>
      <c r="N919" s="284"/>
      <c r="O919" s="284"/>
      <c r="P919" s="284"/>
      <c r="Q919" s="284"/>
      <c r="R919" s="284"/>
      <c r="S919" s="284"/>
      <c r="T919" s="284"/>
      <c r="U919" s="284"/>
      <c r="V919" s="284"/>
      <c r="W919" s="284"/>
      <c r="X919" s="284"/>
    </row>
    <row r="920">
      <c r="A920" s="348"/>
      <c r="B920" s="284"/>
      <c r="C920" s="349"/>
      <c r="D920" s="349"/>
      <c r="E920" s="284"/>
      <c r="F920" s="284"/>
      <c r="G920" s="284"/>
      <c r="H920" s="284"/>
      <c r="I920" s="284"/>
      <c r="J920" s="348"/>
      <c r="K920" s="284"/>
      <c r="L920" s="284"/>
      <c r="M920" s="284"/>
      <c r="N920" s="284"/>
      <c r="O920" s="284"/>
      <c r="P920" s="284"/>
      <c r="Q920" s="284"/>
      <c r="R920" s="284"/>
      <c r="S920" s="284"/>
      <c r="T920" s="284"/>
      <c r="U920" s="284"/>
      <c r="V920" s="284"/>
      <c r="W920" s="284"/>
      <c r="X920" s="284"/>
    </row>
    <row r="921">
      <c r="A921" s="348"/>
      <c r="B921" s="284"/>
      <c r="C921" s="349"/>
      <c r="D921" s="349"/>
      <c r="E921" s="284"/>
      <c r="F921" s="284"/>
      <c r="G921" s="284"/>
      <c r="H921" s="284"/>
      <c r="I921" s="284"/>
      <c r="J921" s="348"/>
      <c r="K921" s="284"/>
      <c r="L921" s="284"/>
      <c r="M921" s="284"/>
      <c r="N921" s="284"/>
      <c r="O921" s="284"/>
      <c r="P921" s="284"/>
      <c r="Q921" s="284"/>
      <c r="R921" s="284"/>
      <c r="S921" s="284"/>
      <c r="T921" s="284"/>
      <c r="U921" s="284"/>
      <c r="V921" s="284"/>
      <c r="W921" s="284"/>
      <c r="X921" s="284"/>
    </row>
    <row r="922">
      <c r="A922" s="348"/>
      <c r="B922" s="284"/>
      <c r="C922" s="349"/>
      <c r="D922" s="349"/>
      <c r="E922" s="284"/>
      <c r="F922" s="284"/>
      <c r="G922" s="284"/>
      <c r="H922" s="284"/>
      <c r="I922" s="284"/>
      <c r="J922" s="348"/>
      <c r="K922" s="284"/>
      <c r="L922" s="284"/>
      <c r="M922" s="284"/>
      <c r="N922" s="284"/>
      <c r="O922" s="284"/>
      <c r="P922" s="284"/>
      <c r="Q922" s="284"/>
      <c r="R922" s="284"/>
      <c r="S922" s="284"/>
      <c r="T922" s="284"/>
      <c r="U922" s="284"/>
      <c r="V922" s="284"/>
      <c r="W922" s="284"/>
      <c r="X922" s="284"/>
    </row>
    <row r="923">
      <c r="A923" s="348"/>
      <c r="B923" s="284"/>
      <c r="C923" s="349"/>
      <c r="D923" s="349"/>
      <c r="E923" s="284"/>
      <c r="F923" s="284"/>
      <c r="G923" s="284"/>
      <c r="H923" s="284"/>
      <c r="I923" s="284"/>
      <c r="J923" s="348"/>
      <c r="K923" s="284"/>
      <c r="L923" s="284"/>
      <c r="M923" s="284"/>
      <c r="N923" s="284"/>
      <c r="O923" s="284"/>
      <c r="P923" s="284"/>
      <c r="Q923" s="284"/>
      <c r="R923" s="284"/>
      <c r="S923" s="284"/>
      <c r="T923" s="284"/>
      <c r="U923" s="284"/>
      <c r="V923" s="284"/>
      <c r="W923" s="284"/>
      <c r="X923" s="284"/>
    </row>
    <row r="924">
      <c r="A924" s="348"/>
      <c r="B924" s="284"/>
      <c r="C924" s="349"/>
      <c r="D924" s="349"/>
      <c r="E924" s="284"/>
      <c r="F924" s="284"/>
      <c r="G924" s="284"/>
      <c r="H924" s="284"/>
      <c r="I924" s="284"/>
      <c r="J924" s="348"/>
      <c r="K924" s="284"/>
      <c r="L924" s="284"/>
      <c r="M924" s="284"/>
      <c r="N924" s="284"/>
      <c r="O924" s="284"/>
      <c r="P924" s="284"/>
      <c r="Q924" s="284"/>
      <c r="R924" s="284"/>
      <c r="S924" s="284"/>
      <c r="T924" s="284"/>
      <c r="U924" s="284"/>
      <c r="V924" s="284"/>
      <c r="W924" s="284"/>
      <c r="X924" s="284"/>
    </row>
    <row r="925">
      <c r="A925" s="348"/>
      <c r="B925" s="284"/>
      <c r="C925" s="349"/>
      <c r="D925" s="349"/>
      <c r="E925" s="284"/>
      <c r="F925" s="284"/>
      <c r="G925" s="284"/>
      <c r="H925" s="284"/>
      <c r="I925" s="284"/>
      <c r="J925" s="348"/>
      <c r="K925" s="284"/>
      <c r="L925" s="284"/>
      <c r="M925" s="284"/>
      <c r="N925" s="284"/>
      <c r="O925" s="284"/>
      <c r="P925" s="284"/>
      <c r="Q925" s="284"/>
      <c r="R925" s="284"/>
      <c r="S925" s="284"/>
      <c r="T925" s="284"/>
      <c r="U925" s="284"/>
      <c r="V925" s="284"/>
      <c r="W925" s="284"/>
      <c r="X925" s="284"/>
    </row>
    <row r="926">
      <c r="A926" s="348"/>
      <c r="B926" s="284"/>
      <c r="C926" s="349"/>
      <c r="D926" s="349"/>
      <c r="E926" s="284"/>
      <c r="F926" s="284"/>
      <c r="G926" s="284"/>
      <c r="H926" s="284"/>
      <c r="I926" s="284"/>
      <c r="J926" s="348"/>
      <c r="K926" s="284"/>
      <c r="L926" s="284"/>
      <c r="M926" s="284"/>
      <c r="N926" s="284"/>
      <c r="O926" s="284"/>
      <c r="P926" s="284"/>
      <c r="Q926" s="284"/>
      <c r="R926" s="284"/>
      <c r="S926" s="284"/>
      <c r="T926" s="284"/>
      <c r="U926" s="284"/>
      <c r="V926" s="284"/>
      <c r="W926" s="284"/>
      <c r="X926" s="284"/>
    </row>
    <row r="927">
      <c r="A927" s="348"/>
      <c r="B927" s="284"/>
      <c r="C927" s="349"/>
      <c r="D927" s="349"/>
      <c r="E927" s="284"/>
      <c r="F927" s="284"/>
      <c r="G927" s="284"/>
      <c r="H927" s="284"/>
      <c r="I927" s="284"/>
      <c r="J927" s="348"/>
      <c r="K927" s="284"/>
      <c r="L927" s="284"/>
      <c r="M927" s="284"/>
      <c r="N927" s="284"/>
      <c r="O927" s="284"/>
      <c r="P927" s="284"/>
      <c r="Q927" s="284"/>
      <c r="R927" s="284"/>
      <c r="S927" s="284"/>
      <c r="T927" s="284"/>
      <c r="U927" s="284"/>
      <c r="V927" s="284"/>
      <c r="W927" s="284"/>
      <c r="X927" s="284"/>
    </row>
    <row r="928">
      <c r="A928" s="348"/>
      <c r="B928" s="284"/>
      <c r="C928" s="349"/>
      <c r="D928" s="349"/>
      <c r="E928" s="284"/>
      <c r="F928" s="284"/>
      <c r="G928" s="284"/>
      <c r="H928" s="284"/>
      <c r="I928" s="284"/>
      <c r="J928" s="348"/>
      <c r="K928" s="284"/>
      <c r="L928" s="284"/>
      <c r="M928" s="284"/>
      <c r="N928" s="284"/>
      <c r="O928" s="284"/>
      <c r="P928" s="284"/>
      <c r="Q928" s="284"/>
      <c r="R928" s="284"/>
      <c r="S928" s="284"/>
      <c r="T928" s="284"/>
      <c r="U928" s="284"/>
      <c r="V928" s="284"/>
      <c r="W928" s="284"/>
      <c r="X928" s="284"/>
    </row>
    <row r="929">
      <c r="A929" s="348"/>
      <c r="B929" s="284"/>
      <c r="C929" s="349"/>
      <c r="D929" s="349"/>
      <c r="E929" s="284"/>
      <c r="F929" s="284"/>
      <c r="G929" s="284"/>
      <c r="H929" s="284"/>
      <c r="I929" s="284"/>
      <c r="J929" s="348"/>
      <c r="K929" s="284"/>
      <c r="L929" s="284"/>
      <c r="M929" s="284"/>
      <c r="N929" s="284"/>
      <c r="O929" s="284"/>
      <c r="P929" s="284"/>
      <c r="Q929" s="284"/>
      <c r="R929" s="284"/>
      <c r="S929" s="284"/>
      <c r="T929" s="284"/>
      <c r="U929" s="284"/>
      <c r="V929" s="284"/>
      <c r="W929" s="284"/>
      <c r="X929" s="284"/>
    </row>
    <row r="930">
      <c r="A930" s="348"/>
      <c r="B930" s="284"/>
      <c r="C930" s="349"/>
      <c r="D930" s="349"/>
      <c r="E930" s="284"/>
      <c r="F930" s="284"/>
      <c r="G930" s="284"/>
      <c r="H930" s="284"/>
      <c r="I930" s="284"/>
      <c r="J930" s="348"/>
      <c r="K930" s="284"/>
      <c r="L930" s="284"/>
      <c r="M930" s="284"/>
      <c r="N930" s="284"/>
      <c r="O930" s="284"/>
      <c r="P930" s="284"/>
      <c r="Q930" s="284"/>
      <c r="R930" s="284"/>
      <c r="S930" s="284"/>
      <c r="T930" s="284"/>
      <c r="U930" s="284"/>
      <c r="V930" s="284"/>
      <c r="W930" s="284"/>
      <c r="X930" s="284"/>
    </row>
    <row r="931">
      <c r="A931" s="348"/>
      <c r="B931" s="284"/>
      <c r="C931" s="349"/>
      <c r="D931" s="349"/>
      <c r="E931" s="284"/>
      <c r="F931" s="284"/>
      <c r="G931" s="284"/>
      <c r="H931" s="284"/>
      <c r="I931" s="284"/>
      <c r="J931" s="348"/>
      <c r="K931" s="284"/>
      <c r="L931" s="284"/>
      <c r="M931" s="284"/>
      <c r="N931" s="284"/>
      <c r="O931" s="284"/>
      <c r="P931" s="284"/>
      <c r="Q931" s="284"/>
      <c r="R931" s="284"/>
      <c r="S931" s="284"/>
      <c r="T931" s="284"/>
      <c r="U931" s="284"/>
      <c r="V931" s="284"/>
      <c r="W931" s="284"/>
      <c r="X931" s="284"/>
    </row>
    <row r="932">
      <c r="A932" s="348"/>
      <c r="B932" s="284"/>
      <c r="C932" s="349"/>
      <c r="D932" s="349"/>
      <c r="E932" s="284"/>
      <c r="F932" s="284"/>
      <c r="G932" s="284"/>
      <c r="H932" s="284"/>
      <c r="I932" s="284"/>
      <c r="J932" s="348"/>
      <c r="K932" s="284"/>
      <c r="L932" s="284"/>
      <c r="M932" s="284"/>
      <c r="N932" s="284"/>
      <c r="O932" s="284"/>
      <c r="P932" s="284"/>
      <c r="Q932" s="284"/>
      <c r="R932" s="284"/>
      <c r="S932" s="284"/>
      <c r="T932" s="284"/>
      <c r="U932" s="284"/>
      <c r="V932" s="284"/>
      <c r="W932" s="284"/>
      <c r="X932" s="284"/>
    </row>
    <row r="933">
      <c r="A933" s="348"/>
      <c r="B933" s="284"/>
      <c r="C933" s="349"/>
      <c r="D933" s="349"/>
      <c r="E933" s="284"/>
      <c r="F933" s="284"/>
      <c r="G933" s="284"/>
      <c r="H933" s="284"/>
      <c r="I933" s="284"/>
      <c r="J933" s="348"/>
      <c r="K933" s="284"/>
      <c r="L933" s="284"/>
      <c r="M933" s="284"/>
      <c r="N933" s="284"/>
      <c r="O933" s="284"/>
      <c r="P933" s="284"/>
      <c r="Q933" s="284"/>
      <c r="R933" s="284"/>
      <c r="S933" s="284"/>
      <c r="T933" s="284"/>
      <c r="U933" s="284"/>
      <c r="V933" s="284"/>
      <c r="W933" s="284"/>
      <c r="X933" s="284"/>
    </row>
    <row r="934">
      <c r="A934" s="348"/>
      <c r="B934" s="284"/>
      <c r="C934" s="349"/>
      <c r="D934" s="349"/>
      <c r="E934" s="284"/>
      <c r="F934" s="284"/>
      <c r="G934" s="284"/>
      <c r="H934" s="284"/>
      <c r="I934" s="284"/>
      <c r="J934" s="348"/>
      <c r="K934" s="284"/>
      <c r="L934" s="284"/>
      <c r="M934" s="284"/>
      <c r="N934" s="284"/>
      <c r="O934" s="284"/>
      <c r="P934" s="284"/>
      <c r="Q934" s="284"/>
      <c r="R934" s="284"/>
      <c r="S934" s="284"/>
      <c r="T934" s="284"/>
      <c r="U934" s="284"/>
      <c r="V934" s="284"/>
      <c r="W934" s="284"/>
      <c r="X934" s="284"/>
    </row>
    <row r="935">
      <c r="A935" s="348"/>
      <c r="B935" s="284"/>
      <c r="C935" s="349"/>
      <c r="D935" s="349"/>
      <c r="E935" s="284"/>
      <c r="F935" s="284"/>
      <c r="G935" s="284"/>
      <c r="H935" s="284"/>
      <c r="I935" s="284"/>
      <c r="J935" s="348"/>
      <c r="K935" s="284"/>
      <c r="L935" s="284"/>
      <c r="M935" s="284"/>
      <c r="N935" s="284"/>
      <c r="O935" s="284"/>
      <c r="P935" s="284"/>
      <c r="Q935" s="284"/>
      <c r="R935" s="284"/>
      <c r="S935" s="284"/>
      <c r="T935" s="284"/>
      <c r="U935" s="284"/>
      <c r="V935" s="284"/>
      <c r="W935" s="284"/>
      <c r="X935" s="284"/>
    </row>
    <row r="936">
      <c r="A936" s="348"/>
      <c r="B936" s="284"/>
      <c r="C936" s="349"/>
      <c r="D936" s="349"/>
      <c r="E936" s="284"/>
      <c r="F936" s="284"/>
      <c r="G936" s="284"/>
      <c r="H936" s="284"/>
      <c r="I936" s="284"/>
      <c r="J936" s="348"/>
      <c r="K936" s="284"/>
      <c r="L936" s="284"/>
      <c r="M936" s="284"/>
      <c r="N936" s="284"/>
      <c r="O936" s="284"/>
      <c r="P936" s="284"/>
      <c r="Q936" s="284"/>
      <c r="R936" s="284"/>
      <c r="S936" s="284"/>
      <c r="T936" s="284"/>
      <c r="U936" s="284"/>
      <c r="V936" s="284"/>
      <c r="W936" s="284"/>
      <c r="X936" s="284"/>
    </row>
    <row r="937">
      <c r="A937" s="348"/>
      <c r="B937" s="284"/>
      <c r="C937" s="349"/>
      <c r="D937" s="349"/>
      <c r="E937" s="284"/>
      <c r="F937" s="284"/>
      <c r="G937" s="284"/>
      <c r="H937" s="284"/>
      <c r="I937" s="284"/>
      <c r="J937" s="348"/>
      <c r="K937" s="284"/>
      <c r="L937" s="284"/>
      <c r="M937" s="284"/>
      <c r="N937" s="284"/>
      <c r="O937" s="284"/>
      <c r="P937" s="284"/>
      <c r="Q937" s="284"/>
      <c r="R937" s="284"/>
      <c r="S937" s="284"/>
      <c r="T937" s="284"/>
      <c r="U937" s="284"/>
      <c r="V937" s="284"/>
      <c r="W937" s="284"/>
      <c r="X937" s="284"/>
    </row>
    <row r="938">
      <c r="A938" s="348"/>
      <c r="B938" s="284"/>
      <c r="C938" s="349"/>
      <c r="D938" s="349"/>
      <c r="E938" s="284"/>
      <c r="F938" s="284"/>
      <c r="G938" s="284"/>
      <c r="H938" s="284"/>
      <c r="I938" s="284"/>
      <c r="J938" s="348"/>
      <c r="K938" s="284"/>
      <c r="L938" s="284"/>
      <c r="M938" s="284"/>
      <c r="N938" s="284"/>
      <c r="O938" s="284"/>
      <c r="P938" s="284"/>
      <c r="Q938" s="284"/>
      <c r="R938" s="284"/>
      <c r="S938" s="284"/>
      <c r="T938" s="284"/>
      <c r="U938" s="284"/>
      <c r="V938" s="284"/>
      <c r="W938" s="284"/>
      <c r="X938" s="284"/>
    </row>
    <row r="939">
      <c r="A939" s="348"/>
      <c r="B939" s="284"/>
      <c r="C939" s="349"/>
      <c r="D939" s="349"/>
      <c r="E939" s="284"/>
      <c r="F939" s="284"/>
      <c r="G939" s="284"/>
      <c r="H939" s="284"/>
      <c r="I939" s="284"/>
      <c r="J939" s="348"/>
      <c r="K939" s="284"/>
      <c r="L939" s="284"/>
      <c r="M939" s="284"/>
      <c r="N939" s="284"/>
      <c r="O939" s="284"/>
      <c r="P939" s="284"/>
      <c r="Q939" s="284"/>
      <c r="R939" s="284"/>
      <c r="S939" s="284"/>
      <c r="T939" s="284"/>
      <c r="U939" s="284"/>
      <c r="V939" s="284"/>
      <c r="W939" s="284"/>
      <c r="X939" s="284"/>
    </row>
    <row r="940">
      <c r="A940" s="348"/>
      <c r="B940" s="284"/>
      <c r="C940" s="349"/>
      <c r="D940" s="349"/>
      <c r="E940" s="284"/>
      <c r="F940" s="284"/>
      <c r="G940" s="284"/>
      <c r="H940" s="284"/>
      <c r="I940" s="284"/>
      <c r="J940" s="348"/>
      <c r="K940" s="284"/>
      <c r="L940" s="284"/>
      <c r="M940" s="284"/>
      <c r="N940" s="284"/>
      <c r="O940" s="284"/>
      <c r="P940" s="284"/>
      <c r="Q940" s="284"/>
      <c r="R940" s="284"/>
      <c r="S940" s="284"/>
      <c r="T940" s="284"/>
      <c r="U940" s="284"/>
      <c r="V940" s="284"/>
      <c r="W940" s="284"/>
      <c r="X940" s="284"/>
    </row>
    <row r="941">
      <c r="A941" s="348"/>
      <c r="B941" s="284"/>
      <c r="C941" s="349"/>
      <c r="D941" s="349"/>
      <c r="E941" s="284"/>
      <c r="F941" s="284"/>
      <c r="G941" s="284"/>
      <c r="H941" s="284"/>
      <c r="I941" s="284"/>
      <c r="J941" s="348"/>
      <c r="K941" s="284"/>
      <c r="L941" s="284"/>
      <c r="M941" s="284"/>
      <c r="N941" s="284"/>
      <c r="O941" s="284"/>
      <c r="P941" s="284"/>
      <c r="Q941" s="284"/>
      <c r="R941" s="284"/>
      <c r="S941" s="284"/>
      <c r="T941" s="284"/>
      <c r="U941" s="284"/>
      <c r="V941" s="284"/>
      <c r="W941" s="284"/>
      <c r="X941" s="284"/>
    </row>
    <row r="942">
      <c r="A942" s="348"/>
      <c r="B942" s="284"/>
      <c r="C942" s="349"/>
      <c r="D942" s="349"/>
      <c r="E942" s="284"/>
      <c r="F942" s="284"/>
      <c r="G942" s="284"/>
      <c r="H942" s="284"/>
      <c r="I942" s="284"/>
      <c r="J942" s="348"/>
      <c r="K942" s="284"/>
      <c r="L942" s="284"/>
      <c r="M942" s="284"/>
      <c r="N942" s="284"/>
      <c r="O942" s="284"/>
      <c r="P942" s="284"/>
      <c r="Q942" s="284"/>
      <c r="R942" s="284"/>
      <c r="S942" s="284"/>
      <c r="T942" s="284"/>
      <c r="U942" s="284"/>
      <c r="V942" s="284"/>
      <c r="W942" s="284"/>
      <c r="X942" s="284"/>
    </row>
    <row r="943">
      <c r="A943" s="348"/>
      <c r="B943" s="284"/>
      <c r="C943" s="349"/>
      <c r="D943" s="349"/>
      <c r="E943" s="284"/>
      <c r="F943" s="284"/>
      <c r="G943" s="284"/>
      <c r="H943" s="284"/>
      <c r="I943" s="284"/>
      <c r="J943" s="348"/>
      <c r="K943" s="284"/>
      <c r="L943" s="284"/>
      <c r="M943" s="284"/>
      <c r="N943" s="284"/>
      <c r="O943" s="284"/>
      <c r="P943" s="284"/>
      <c r="Q943" s="284"/>
      <c r="R943" s="284"/>
      <c r="S943" s="284"/>
      <c r="T943" s="284"/>
      <c r="U943" s="284"/>
      <c r="V943" s="284"/>
      <c r="W943" s="284"/>
      <c r="X943" s="284"/>
    </row>
    <row r="944">
      <c r="A944" s="348"/>
      <c r="B944" s="284"/>
      <c r="C944" s="349"/>
      <c r="D944" s="349"/>
      <c r="E944" s="284"/>
      <c r="F944" s="284"/>
      <c r="G944" s="284"/>
      <c r="H944" s="284"/>
      <c r="I944" s="284"/>
      <c r="J944" s="348"/>
      <c r="K944" s="284"/>
      <c r="L944" s="284"/>
      <c r="M944" s="284"/>
      <c r="N944" s="284"/>
      <c r="O944" s="284"/>
      <c r="P944" s="284"/>
      <c r="Q944" s="284"/>
      <c r="R944" s="284"/>
      <c r="S944" s="284"/>
      <c r="T944" s="284"/>
      <c r="U944" s="284"/>
      <c r="V944" s="284"/>
      <c r="W944" s="284"/>
      <c r="X944" s="284"/>
    </row>
    <row r="945">
      <c r="A945" s="348"/>
      <c r="B945" s="284"/>
      <c r="C945" s="349"/>
      <c r="D945" s="349"/>
      <c r="E945" s="284"/>
      <c r="F945" s="284"/>
      <c r="G945" s="284"/>
      <c r="H945" s="284"/>
      <c r="I945" s="284"/>
      <c r="J945" s="348"/>
      <c r="K945" s="284"/>
      <c r="L945" s="284"/>
      <c r="M945" s="284"/>
      <c r="N945" s="284"/>
      <c r="O945" s="284"/>
      <c r="P945" s="284"/>
      <c r="Q945" s="284"/>
      <c r="R945" s="284"/>
      <c r="S945" s="284"/>
      <c r="T945" s="284"/>
      <c r="U945" s="284"/>
      <c r="V945" s="284"/>
      <c r="W945" s="284"/>
      <c r="X945" s="284"/>
    </row>
    <row r="946">
      <c r="A946" s="348"/>
      <c r="B946" s="284"/>
      <c r="C946" s="349"/>
      <c r="D946" s="349"/>
      <c r="E946" s="284"/>
      <c r="F946" s="284"/>
      <c r="G946" s="284"/>
      <c r="H946" s="284"/>
      <c r="I946" s="284"/>
      <c r="J946" s="348"/>
      <c r="K946" s="284"/>
      <c r="L946" s="284"/>
      <c r="M946" s="284"/>
      <c r="N946" s="284"/>
      <c r="O946" s="284"/>
      <c r="P946" s="284"/>
      <c r="Q946" s="284"/>
      <c r="R946" s="284"/>
      <c r="S946" s="284"/>
      <c r="T946" s="284"/>
      <c r="U946" s="284"/>
      <c r="V946" s="284"/>
      <c r="W946" s="284"/>
      <c r="X946" s="284"/>
    </row>
    <row r="947">
      <c r="A947" s="348"/>
      <c r="B947" s="284"/>
      <c r="C947" s="349"/>
      <c r="D947" s="349"/>
      <c r="E947" s="284"/>
      <c r="F947" s="284"/>
      <c r="G947" s="284"/>
      <c r="H947" s="284"/>
      <c r="I947" s="284"/>
      <c r="J947" s="348"/>
      <c r="K947" s="284"/>
      <c r="L947" s="284"/>
      <c r="M947" s="284"/>
      <c r="N947" s="284"/>
      <c r="O947" s="284"/>
      <c r="P947" s="284"/>
      <c r="Q947" s="284"/>
      <c r="R947" s="284"/>
      <c r="S947" s="284"/>
      <c r="T947" s="284"/>
      <c r="U947" s="284"/>
      <c r="V947" s="284"/>
      <c r="W947" s="284"/>
      <c r="X947" s="284"/>
    </row>
    <row r="948">
      <c r="A948" s="348"/>
      <c r="B948" s="284"/>
      <c r="C948" s="349"/>
      <c r="D948" s="349"/>
      <c r="E948" s="284"/>
      <c r="F948" s="284"/>
      <c r="G948" s="284"/>
      <c r="H948" s="284"/>
      <c r="I948" s="284"/>
      <c r="J948" s="348"/>
      <c r="K948" s="284"/>
      <c r="L948" s="284"/>
      <c r="M948" s="284"/>
      <c r="N948" s="284"/>
      <c r="O948" s="284"/>
      <c r="P948" s="284"/>
      <c r="Q948" s="284"/>
      <c r="R948" s="284"/>
      <c r="S948" s="284"/>
      <c r="T948" s="284"/>
      <c r="U948" s="284"/>
      <c r="V948" s="284"/>
      <c r="W948" s="284"/>
      <c r="X948" s="284"/>
    </row>
    <row r="949">
      <c r="A949" s="348"/>
      <c r="B949" s="284"/>
      <c r="C949" s="349"/>
      <c r="D949" s="349"/>
      <c r="E949" s="284"/>
      <c r="F949" s="284"/>
      <c r="G949" s="284"/>
      <c r="H949" s="284"/>
      <c r="I949" s="284"/>
      <c r="J949" s="348"/>
      <c r="K949" s="284"/>
      <c r="L949" s="284"/>
      <c r="M949" s="284"/>
      <c r="N949" s="284"/>
      <c r="O949" s="284"/>
      <c r="P949" s="284"/>
      <c r="Q949" s="284"/>
      <c r="R949" s="284"/>
      <c r="S949" s="284"/>
      <c r="T949" s="284"/>
      <c r="U949" s="284"/>
      <c r="V949" s="284"/>
      <c r="W949" s="284"/>
      <c r="X949" s="284"/>
    </row>
    <row r="950">
      <c r="A950" s="348"/>
      <c r="B950" s="284"/>
      <c r="C950" s="349"/>
      <c r="D950" s="349"/>
      <c r="E950" s="284"/>
      <c r="F950" s="284"/>
      <c r="G950" s="284"/>
      <c r="H950" s="284"/>
      <c r="I950" s="284"/>
      <c r="J950" s="348"/>
      <c r="K950" s="284"/>
      <c r="L950" s="284"/>
      <c r="M950" s="284"/>
      <c r="N950" s="284"/>
      <c r="O950" s="284"/>
      <c r="P950" s="284"/>
      <c r="Q950" s="284"/>
      <c r="R950" s="284"/>
      <c r="S950" s="284"/>
      <c r="T950" s="284"/>
      <c r="U950" s="284"/>
      <c r="V950" s="284"/>
      <c r="W950" s="284"/>
      <c r="X950" s="284"/>
    </row>
    <row r="951">
      <c r="A951" s="348"/>
      <c r="B951" s="284"/>
      <c r="C951" s="349"/>
      <c r="D951" s="349"/>
      <c r="E951" s="284"/>
      <c r="F951" s="284"/>
      <c r="G951" s="284"/>
      <c r="H951" s="284"/>
      <c r="I951" s="284"/>
      <c r="J951" s="348"/>
      <c r="K951" s="284"/>
      <c r="L951" s="284"/>
      <c r="M951" s="284"/>
      <c r="N951" s="284"/>
      <c r="O951" s="284"/>
      <c r="P951" s="284"/>
      <c r="Q951" s="284"/>
      <c r="R951" s="284"/>
      <c r="S951" s="284"/>
      <c r="T951" s="284"/>
      <c r="U951" s="284"/>
      <c r="V951" s="284"/>
      <c r="W951" s="284"/>
      <c r="X951" s="284"/>
    </row>
    <row r="952">
      <c r="A952" s="348"/>
      <c r="B952" s="284"/>
      <c r="C952" s="349"/>
      <c r="D952" s="349"/>
      <c r="E952" s="284"/>
      <c r="F952" s="284"/>
      <c r="G952" s="284"/>
      <c r="H952" s="284"/>
      <c r="I952" s="284"/>
      <c r="J952" s="348"/>
      <c r="K952" s="284"/>
      <c r="L952" s="284"/>
      <c r="M952" s="284"/>
      <c r="N952" s="284"/>
      <c r="O952" s="284"/>
      <c r="P952" s="284"/>
      <c r="Q952" s="284"/>
      <c r="R952" s="284"/>
      <c r="S952" s="284"/>
      <c r="T952" s="284"/>
      <c r="U952" s="284"/>
      <c r="V952" s="284"/>
      <c r="W952" s="284"/>
      <c r="X952" s="284"/>
    </row>
    <row r="953">
      <c r="A953" s="348"/>
      <c r="B953" s="284"/>
      <c r="C953" s="349"/>
      <c r="D953" s="349"/>
      <c r="E953" s="284"/>
      <c r="F953" s="284"/>
      <c r="G953" s="284"/>
      <c r="H953" s="284"/>
      <c r="I953" s="284"/>
      <c r="J953" s="348"/>
      <c r="K953" s="284"/>
      <c r="L953" s="284"/>
      <c r="M953" s="284"/>
      <c r="N953" s="284"/>
      <c r="O953" s="284"/>
      <c r="P953" s="284"/>
      <c r="Q953" s="284"/>
      <c r="R953" s="284"/>
      <c r="S953" s="284"/>
      <c r="T953" s="284"/>
      <c r="U953" s="284"/>
      <c r="V953" s="284"/>
      <c r="W953" s="284"/>
      <c r="X953" s="284"/>
    </row>
    <row r="954">
      <c r="A954" s="348"/>
      <c r="B954" s="284"/>
      <c r="C954" s="349"/>
      <c r="D954" s="349"/>
      <c r="E954" s="284"/>
      <c r="F954" s="284"/>
      <c r="G954" s="284"/>
      <c r="H954" s="284"/>
      <c r="I954" s="284"/>
      <c r="J954" s="348"/>
      <c r="K954" s="284"/>
      <c r="L954" s="284"/>
      <c r="M954" s="284"/>
      <c r="N954" s="284"/>
      <c r="O954" s="284"/>
      <c r="P954" s="284"/>
      <c r="Q954" s="284"/>
      <c r="R954" s="284"/>
      <c r="S954" s="284"/>
      <c r="T954" s="284"/>
      <c r="U954" s="284"/>
      <c r="V954" s="284"/>
      <c r="W954" s="284"/>
      <c r="X954" s="284"/>
    </row>
    <row r="955">
      <c r="A955" s="348"/>
      <c r="B955" s="284"/>
      <c r="C955" s="349"/>
      <c r="D955" s="349"/>
      <c r="E955" s="284"/>
      <c r="F955" s="284"/>
      <c r="G955" s="284"/>
      <c r="H955" s="284"/>
      <c r="I955" s="284"/>
      <c r="J955" s="348"/>
      <c r="K955" s="284"/>
      <c r="L955" s="284"/>
      <c r="M955" s="284"/>
      <c r="N955" s="284"/>
      <c r="O955" s="284"/>
      <c r="P955" s="284"/>
      <c r="Q955" s="284"/>
      <c r="R955" s="284"/>
      <c r="S955" s="284"/>
      <c r="T955" s="284"/>
      <c r="U955" s="284"/>
      <c r="V955" s="284"/>
      <c r="W955" s="284"/>
      <c r="X955" s="284"/>
    </row>
    <row r="956">
      <c r="A956" s="348"/>
      <c r="B956" s="284"/>
      <c r="C956" s="349"/>
      <c r="D956" s="349"/>
      <c r="E956" s="284"/>
      <c r="F956" s="284"/>
      <c r="G956" s="284"/>
      <c r="H956" s="284"/>
      <c r="I956" s="284"/>
      <c r="J956" s="348"/>
      <c r="K956" s="284"/>
      <c r="L956" s="284"/>
      <c r="M956" s="284"/>
      <c r="N956" s="284"/>
      <c r="O956" s="284"/>
      <c r="P956" s="284"/>
      <c r="Q956" s="284"/>
      <c r="R956" s="284"/>
      <c r="S956" s="284"/>
      <c r="T956" s="284"/>
      <c r="U956" s="284"/>
      <c r="V956" s="284"/>
      <c r="W956" s="284"/>
      <c r="X956" s="284"/>
    </row>
    <row r="957">
      <c r="A957" s="348"/>
      <c r="B957" s="284"/>
      <c r="C957" s="349"/>
      <c r="D957" s="349"/>
      <c r="E957" s="284"/>
      <c r="F957" s="284"/>
      <c r="G957" s="284"/>
      <c r="H957" s="284"/>
      <c r="I957" s="284"/>
      <c r="J957" s="348"/>
      <c r="K957" s="284"/>
      <c r="L957" s="284"/>
      <c r="M957" s="284"/>
      <c r="N957" s="284"/>
      <c r="O957" s="284"/>
      <c r="P957" s="284"/>
      <c r="Q957" s="284"/>
      <c r="R957" s="284"/>
      <c r="S957" s="284"/>
      <c r="T957" s="284"/>
      <c r="U957" s="284"/>
      <c r="V957" s="284"/>
      <c r="W957" s="284"/>
      <c r="X957" s="284"/>
    </row>
    <row r="958">
      <c r="A958" s="348"/>
      <c r="B958" s="284"/>
      <c r="C958" s="349"/>
      <c r="D958" s="349"/>
      <c r="E958" s="284"/>
      <c r="F958" s="284"/>
      <c r="G958" s="284"/>
      <c r="H958" s="284"/>
      <c r="I958" s="284"/>
      <c r="J958" s="348"/>
      <c r="K958" s="284"/>
      <c r="L958" s="284"/>
      <c r="M958" s="284"/>
      <c r="N958" s="284"/>
      <c r="O958" s="284"/>
      <c r="P958" s="284"/>
      <c r="Q958" s="284"/>
      <c r="R958" s="284"/>
      <c r="S958" s="284"/>
      <c r="T958" s="284"/>
      <c r="U958" s="284"/>
      <c r="V958" s="284"/>
      <c r="W958" s="284"/>
      <c r="X958" s="284"/>
    </row>
    <row r="959">
      <c r="A959" s="348"/>
      <c r="B959" s="284"/>
      <c r="C959" s="349"/>
      <c r="D959" s="349"/>
      <c r="E959" s="284"/>
      <c r="F959" s="284"/>
      <c r="G959" s="284"/>
      <c r="H959" s="284"/>
      <c r="I959" s="284"/>
      <c r="J959" s="348"/>
      <c r="K959" s="284"/>
      <c r="L959" s="284"/>
      <c r="M959" s="284"/>
      <c r="N959" s="284"/>
      <c r="O959" s="284"/>
      <c r="P959" s="284"/>
      <c r="Q959" s="284"/>
      <c r="R959" s="284"/>
      <c r="S959" s="284"/>
      <c r="T959" s="284"/>
      <c r="U959" s="284"/>
      <c r="V959" s="284"/>
      <c r="W959" s="284"/>
      <c r="X959" s="284"/>
    </row>
    <row r="960">
      <c r="A960" s="348"/>
      <c r="B960" s="284"/>
      <c r="C960" s="349"/>
      <c r="D960" s="349"/>
      <c r="E960" s="284"/>
      <c r="F960" s="284"/>
      <c r="G960" s="284"/>
      <c r="H960" s="284"/>
      <c r="I960" s="284"/>
      <c r="J960" s="348"/>
      <c r="K960" s="284"/>
      <c r="L960" s="284"/>
      <c r="M960" s="284"/>
      <c r="N960" s="284"/>
      <c r="O960" s="284"/>
      <c r="P960" s="284"/>
      <c r="Q960" s="284"/>
      <c r="R960" s="284"/>
      <c r="S960" s="284"/>
      <c r="T960" s="284"/>
      <c r="U960" s="284"/>
      <c r="V960" s="284"/>
      <c r="W960" s="284"/>
      <c r="X960" s="284"/>
    </row>
    <row r="961">
      <c r="A961" s="348"/>
      <c r="B961" s="284"/>
      <c r="C961" s="349"/>
      <c r="D961" s="349"/>
      <c r="E961" s="284"/>
      <c r="F961" s="284"/>
      <c r="G961" s="284"/>
      <c r="H961" s="284"/>
      <c r="I961" s="284"/>
      <c r="J961" s="348"/>
      <c r="K961" s="284"/>
      <c r="L961" s="284"/>
      <c r="M961" s="284"/>
      <c r="N961" s="284"/>
      <c r="O961" s="284"/>
      <c r="P961" s="284"/>
      <c r="Q961" s="284"/>
      <c r="R961" s="284"/>
      <c r="S961" s="284"/>
      <c r="T961" s="284"/>
      <c r="U961" s="284"/>
      <c r="V961" s="284"/>
      <c r="W961" s="284"/>
      <c r="X961" s="284"/>
    </row>
    <row r="962">
      <c r="A962" s="348"/>
      <c r="B962" s="284"/>
      <c r="C962" s="349"/>
      <c r="D962" s="349"/>
      <c r="E962" s="284"/>
      <c r="F962" s="284"/>
      <c r="G962" s="284"/>
      <c r="H962" s="284"/>
      <c r="I962" s="284"/>
      <c r="J962" s="348"/>
      <c r="K962" s="284"/>
      <c r="L962" s="284"/>
      <c r="M962" s="284"/>
      <c r="N962" s="284"/>
      <c r="O962" s="284"/>
      <c r="P962" s="284"/>
      <c r="Q962" s="284"/>
      <c r="R962" s="284"/>
      <c r="S962" s="284"/>
      <c r="T962" s="284"/>
      <c r="U962" s="284"/>
      <c r="V962" s="284"/>
      <c r="W962" s="284"/>
      <c r="X962" s="284"/>
    </row>
    <row r="963">
      <c r="A963" s="348"/>
      <c r="B963" s="284"/>
      <c r="C963" s="349"/>
      <c r="D963" s="349"/>
      <c r="E963" s="284"/>
      <c r="F963" s="284"/>
      <c r="G963" s="284"/>
      <c r="H963" s="284"/>
      <c r="I963" s="284"/>
      <c r="J963" s="348"/>
      <c r="K963" s="284"/>
      <c r="L963" s="284"/>
      <c r="M963" s="284"/>
      <c r="N963" s="284"/>
      <c r="O963" s="284"/>
      <c r="P963" s="284"/>
      <c r="Q963" s="284"/>
      <c r="R963" s="284"/>
      <c r="S963" s="284"/>
      <c r="T963" s="284"/>
      <c r="U963" s="284"/>
      <c r="V963" s="284"/>
      <c r="W963" s="284"/>
      <c r="X963" s="284"/>
    </row>
    <row r="964">
      <c r="A964" s="348"/>
      <c r="B964" s="284"/>
      <c r="C964" s="349"/>
      <c r="D964" s="349"/>
      <c r="E964" s="284"/>
      <c r="F964" s="284"/>
      <c r="G964" s="284"/>
      <c r="H964" s="284"/>
      <c r="I964" s="284"/>
      <c r="J964" s="348"/>
      <c r="K964" s="284"/>
      <c r="L964" s="284"/>
      <c r="M964" s="284"/>
      <c r="N964" s="284"/>
      <c r="O964" s="284"/>
      <c r="P964" s="284"/>
      <c r="Q964" s="284"/>
      <c r="R964" s="284"/>
      <c r="S964" s="284"/>
      <c r="T964" s="284"/>
      <c r="U964" s="284"/>
      <c r="V964" s="284"/>
      <c r="W964" s="284"/>
      <c r="X964" s="284"/>
    </row>
    <row r="965">
      <c r="A965" s="348"/>
      <c r="B965" s="284"/>
      <c r="C965" s="349"/>
      <c r="D965" s="349"/>
      <c r="E965" s="284"/>
      <c r="F965" s="284"/>
      <c r="G965" s="284"/>
      <c r="H965" s="284"/>
      <c r="I965" s="284"/>
      <c r="J965" s="348"/>
      <c r="K965" s="284"/>
      <c r="L965" s="284"/>
      <c r="M965" s="284"/>
      <c r="N965" s="284"/>
      <c r="O965" s="284"/>
      <c r="P965" s="284"/>
      <c r="Q965" s="284"/>
      <c r="R965" s="284"/>
      <c r="S965" s="284"/>
      <c r="T965" s="284"/>
      <c r="U965" s="284"/>
      <c r="V965" s="284"/>
      <c r="W965" s="284"/>
      <c r="X965" s="284"/>
    </row>
    <row r="966">
      <c r="A966" s="348"/>
      <c r="B966" s="284"/>
      <c r="C966" s="349"/>
      <c r="D966" s="349"/>
      <c r="E966" s="284"/>
      <c r="F966" s="284"/>
      <c r="G966" s="284"/>
      <c r="H966" s="284"/>
      <c r="I966" s="284"/>
      <c r="J966" s="348"/>
      <c r="K966" s="284"/>
      <c r="L966" s="284"/>
      <c r="M966" s="284"/>
      <c r="N966" s="284"/>
      <c r="O966" s="284"/>
      <c r="P966" s="284"/>
      <c r="Q966" s="284"/>
      <c r="R966" s="284"/>
      <c r="S966" s="284"/>
      <c r="T966" s="284"/>
      <c r="U966" s="284"/>
      <c r="V966" s="284"/>
      <c r="W966" s="284"/>
      <c r="X966" s="284"/>
    </row>
    <row r="967">
      <c r="A967" s="348"/>
      <c r="B967" s="284"/>
      <c r="C967" s="349"/>
      <c r="D967" s="349"/>
      <c r="E967" s="284"/>
      <c r="F967" s="284"/>
      <c r="G967" s="284"/>
      <c r="H967" s="284"/>
      <c r="I967" s="284"/>
      <c r="J967" s="348"/>
      <c r="K967" s="284"/>
      <c r="L967" s="284"/>
      <c r="M967" s="284"/>
      <c r="N967" s="284"/>
      <c r="O967" s="284"/>
      <c r="P967" s="284"/>
      <c r="Q967" s="284"/>
      <c r="R967" s="284"/>
      <c r="S967" s="284"/>
      <c r="T967" s="284"/>
      <c r="U967" s="284"/>
      <c r="V967" s="284"/>
      <c r="W967" s="284"/>
      <c r="X967" s="284"/>
    </row>
    <row r="968">
      <c r="A968" s="348"/>
      <c r="B968" s="284"/>
      <c r="C968" s="349"/>
      <c r="D968" s="349"/>
      <c r="E968" s="284"/>
      <c r="F968" s="284"/>
      <c r="G968" s="284"/>
      <c r="H968" s="284"/>
      <c r="I968" s="284"/>
      <c r="J968" s="348"/>
      <c r="K968" s="284"/>
      <c r="L968" s="284"/>
      <c r="M968" s="284"/>
      <c r="N968" s="284"/>
      <c r="O968" s="284"/>
      <c r="P968" s="284"/>
      <c r="Q968" s="284"/>
      <c r="R968" s="284"/>
      <c r="S968" s="284"/>
      <c r="T968" s="284"/>
      <c r="U968" s="284"/>
      <c r="V968" s="284"/>
      <c r="W968" s="284"/>
      <c r="X968" s="284"/>
    </row>
    <row r="969">
      <c r="A969" s="348"/>
      <c r="B969" s="284"/>
      <c r="C969" s="349"/>
      <c r="D969" s="349"/>
      <c r="E969" s="284"/>
      <c r="F969" s="284"/>
      <c r="G969" s="284"/>
      <c r="H969" s="284"/>
      <c r="I969" s="284"/>
      <c r="J969" s="348"/>
      <c r="K969" s="284"/>
      <c r="L969" s="284"/>
      <c r="M969" s="284"/>
      <c r="N969" s="284"/>
      <c r="O969" s="284"/>
      <c r="P969" s="284"/>
      <c r="Q969" s="284"/>
      <c r="R969" s="284"/>
      <c r="S969" s="284"/>
      <c r="T969" s="284"/>
      <c r="U969" s="284"/>
      <c r="V969" s="284"/>
      <c r="W969" s="284"/>
      <c r="X969" s="284"/>
    </row>
    <row r="970">
      <c r="A970" s="348"/>
      <c r="B970" s="284"/>
      <c r="C970" s="349"/>
      <c r="D970" s="349"/>
      <c r="E970" s="284"/>
      <c r="F970" s="284"/>
      <c r="G970" s="284"/>
      <c r="H970" s="284"/>
      <c r="I970" s="284"/>
      <c r="J970" s="348"/>
      <c r="K970" s="284"/>
      <c r="L970" s="284"/>
      <c r="M970" s="284"/>
      <c r="N970" s="284"/>
      <c r="O970" s="284"/>
      <c r="P970" s="284"/>
      <c r="Q970" s="284"/>
      <c r="R970" s="284"/>
      <c r="S970" s="284"/>
      <c r="T970" s="284"/>
      <c r="U970" s="284"/>
      <c r="V970" s="284"/>
      <c r="W970" s="284"/>
      <c r="X970" s="284"/>
    </row>
    <row r="971">
      <c r="A971" s="348"/>
      <c r="B971" s="284"/>
      <c r="C971" s="349"/>
      <c r="D971" s="349"/>
      <c r="E971" s="284"/>
      <c r="F971" s="284"/>
      <c r="G971" s="284"/>
      <c r="H971" s="284"/>
      <c r="I971" s="284"/>
      <c r="J971" s="348"/>
      <c r="K971" s="284"/>
      <c r="L971" s="284"/>
      <c r="M971" s="284"/>
      <c r="N971" s="284"/>
      <c r="O971" s="284"/>
      <c r="P971" s="284"/>
      <c r="Q971" s="284"/>
      <c r="R971" s="284"/>
      <c r="S971" s="284"/>
      <c r="T971" s="284"/>
      <c r="U971" s="284"/>
      <c r="V971" s="284"/>
      <c r="W971" s="284"/>
      <c r="X971" s="284"/>
    </row>
    <row r="972">
      <c r="A972" s="348"/>
      <c r="B972" s="284"/>
      <c r="C972" s="349"/>
      <c r="D972" s="349"/>
      <c r="E972" s="284"/>
      <c r="F972" s="284"/>
      <c r="G972" s="284"/>
      <c r="H972" s="284"/>
      <c r="I972" s="284"/>
      <c r="J972" s="348"/>
      <c r="K972" s="284"/>
      <c r="L972" s="284"/>
      <c r="M972" s="284"/>
      <c r="N972" s="284"/>
      <c r="O972" s="284"/>
      <c r="P972" s="284"/>
      <c r="Q972" s="284"/>
      <c r="R972" s="284"/>
      <c r="S972" s="284"/>
      <c r="T972" s="284"/>
      <c r="U972" s="284"/>
      <c r="V972" s="284"/>
      <c r="W972" s="284"/>
      <c r="X972" s="284"/>
    </row>
    <row r="973">
      <c r="A973" s="348"/>
      <c r="B973" s="284"/>
      <c r="C973" s="349"/>
      <c r="D973" s="349"/>
      <c r="E973" s="284"/>
      <c r="F973" s="284"/>
      <c r="G973" s="284"/>
      <c r="H973" s="284"/>
      <c r="I973" s="284"/>
      <c r="J973" s="348"/>
      <c r="K973" s="284"/>
      <c r="L973" s="284"/>
      <c r="M973" s="284"/>
      <c r="N973" s="284"/>
      <c r="O973" s="284"/>
      <c r="P973" s="284"/>
      <c r="Q973" s="284"/>
      <c r="R973" s="284"/>
      <c r="S973" s="284"/>
      <c r="T973" s="284"/>
      <c r="U973" s="284"/>
      <c r="V973" s="284"/>
      <c r="W973" s="284"/>
      <c r="X973" s="284"/>
    </row>
    <row r="974">
      <c r="A974" s="348"/>
      <c r="B974" s="284"/>
      <c r="C974" s="349"/>
      <c r="D974" s="349"/>
      <c r="E974" s="284"/>
      <c r="F974" s="284"/>
      <c r="G974" s="284"/>
      <c r="H974" s="284"/>
      <c r="I974" s="284"/>
      <c r="J974" s="348"/>
      <c r="K974" s="284"/>
      <c r="L974" s="284"/>
      <c r="M974" s="284"/>
      <c r="N974" s="284"/>
      <c r="O974" s="284"/>
      <c r="P974" s="284"/>
      <c r="Q974" s="284"/>
      <c r="R974" s="284"/>
      <c r="S974" s="284"/>
      <c r="T974" s="284"/>
      <c r="U974" s="284"/>
      <c r="V974" s="284"/>
      <c r="W974" s="284"/>
      <c r="X974" s="284"/>
    </row>
    <row r="975">
      <c r="A975" s="348"/>
      <c r="B975" s="284"/>
      <c r="C975" s="349"/>
      <c r="D975" s="349"/>
      <c r="E975" s="284"/>
      <c r="F975" s="284"/>
      <c r="G975" s="284"/>
      <c r="H975" s="284"/>
      <c r="I975" s="284"/>
      <c r="J975" s="348"/>
      <c r="K975" s="284"/>
      <c r="L975" s="284"/>
      <c r="M975" s="284"/>
      <c r="N975" s="284"/>
      <c r="O975" s="284"/>
      <c r="P975" s="284"/>
      <c r="Q975" s="284"/>
      <c r="R975" s="284"/>
      <c r="S975" s="284"/>
      <c r="T975" s="284"/>
      <c r="U975" s="284"/>
      <c r="V975" s="284"/>
      <c r="W975" s="284"/>
      <c r="X975" s="284"/>
    </row>
    <row r="976">
      <c r="A976" s="348"/>
      <c r="B976" s="284"/>
      <c r="C976" s="349"/>
      <c r="D976" s="349"/>
      <c r="E976" s="284"/>
      <c r="F976" s="284"/>
      <c r="G976" s="284"/>
      <c r="H976" s="284"/>
      <c r="I976" s="284"/>
      <c r="J976" s="348"/>
      <c r="K976" s="284"/>
      <c r="L976" s="284"/>
      <c r="M976" s="284"/>
      <c r="N976" s="284"/>
      <c r="O976" s="284"/>
      <c r="P976" s="284"/>
      <c r="Q976" s="284"/>
      <c r="R976" s="284"/>
      <c r="S976" s="284"/>
      <c r="T976" s="284"/>
      <c r="U976" s="284"/>
      <c r="V976" s="284"/>
      <c r="W976" s="284"/>
      <c r="X976" s="284"/>
    </row>
    <row r="977">
      <c r="A977" s="348"/>
      <c r="B977" s="284"/>
      <c r="C977" s="349"/>
      <c r="D977" s="349"/>
      <c r="E977" s="284"/>
      <c r="F977" s="284"/>
      <c r="G977" s="284"/>
      <c r="H977" s="284"/>
      <c r="I977" s="284"/>
      <c r="J977" s="348"/>
      <c r="K977" s="284"/>
      <c r="L977" s="284"/>
      <c r="M977" s="284"/>
      <c r="N977" s="284"/>
      <c r="O977" s="284"/>
      <c r="P977" s="284"/>
      <c r="Q977" s="284"/>
      <c r="R977" s="284"/>
      <c r="S977" s="284"/>
      <c r="T977" s="284"/>
      <c r="U977" s="284"/>
      <c r="V977" s="284"/>
      <c r="W977" s="284"/>
      <c r="X977" s="284"/>
    </row>
    <row r="978">
      <c r="A978" s="348"/>
      <c r="B978" s="284"/>
      <c r="C978" s="349"/>
      <c r="D978" s="349"/>
      <c r="E978" s="284"/>
      <c r="F978" s="284"/>
      <c r="G978" s="284"/>
      <c r="H978" s="284"/>
      <c r="I978" s="284"/>
      <c r="J978" s="348"/>
      <c r="K978" s="284"/>
      <c r="L978" s="284"/>
      <c r="M978" s="284"/>
      <c r="N978" s="284"/>
      <c r="O978" s="284"/>
      <c r="P978" s="284"/>
      <c r="Q978" s="284"/>
      <c r="R978" s="284"/>
      <c r="S978" s="284"/>
      <c r="T978" s="284"/>
      <c r="U978" s="284"/>
      <c r="V978" s="284"/>
      <c r="W978" s="284"/>
      <c r="X978" s="284"/>
    </row>
    <row r="979">
      <c r="A979" s="348"/>
      <c r="B979" s="284"/>
      <c r="C979" s="349"/>
      <c r="D979" s="349"/>
      <c r="E979" s="284"/>
      <c r="F979" s="284"/>
      <c r="G979" s="284"/>
      <c r="H979" s="284"/>
      <c r="I979" s="284"/>
      <c r="J979" s="348"/>
      <c r="K979" s="284"/>
      <c r="L979" s="284"/>
      <c r="M979" s="284"/>
      <c r="N979" s="284"/>
      <c r="O979" s="284"/>
      <c r="P979" s="284"/>
      <c r="Q979" s="284"/>
      <c r="R979" s="284"/>
      <c r="S979" s="284"/>
      <c r="T979" s="284"/>
      <c r="U979" s="284"/>
      <c r="V979" s="284"/>
      <c r="W979" s="284"/>
      <c r="X979" s="284"/>
    </row>
    <row r="980">
      <c r="A980" s="348"/>
      <c r="B980" s="284"/>
      <c r="C980" s="349"/>
      <c r="D980" s="349"/>
      <c r="E980" s="284"/>
      <c r="F980" s="284"/>
      <c r="G980" s="284"/>
      <c r="H980" s="284"/>
      <c r="I980" s="284"/>
      <c r="J980" s="348"/>
      <c r="K980" s="284"/>
      <c r="L980" s="284"/>
      <c r="M980" s="284"/>
      <c r="N980" s="284"/>
      <c r="O980" s="284"/>
      <c r="P980" s="284"/>
      <c r="Q980" s="284"/>
      <c r="R980" s="284"/>
      <c r="S980" s="284"/>
      <c r="T980" s="284"/>
      <c r="U980" s="284"/>
      <c r="V980" s="284"/>
      <c r="W980" s="284"/>
      <c r="X980" s="284"/>
    </row>
    <row r="981">
      <c r="A981" s="348"/>
      <c r="B981" s="284"/>
      <c r="C981" s="349"/>
      <c r="D981" s="349"/>
      <c r="E981" s="284"/>
      <c r="F981" s="284"/>
      <c r="G981" s="284"/>
      <c r="H981" s="284"/>
      <c r="I981" s="284"/>
      <c r="J981" s="348"/>
      <c r="K981" s="284"/>
      <c r="L981" s="284"/>
      <c r="M981" s="284"/>
      <c r="N981" s="284"/>
      <c r="O981" s="284"/>
      <c r="P981" s="284"/>
      <c r="Q981" s="284"/>
      <c r="R981" s="284"/>
      <c r="S981" s="284"/>
      <c r="T981" s="284"/>
      <c r="U981" s="284"/>
      <c r="V981" s="284"/>
      <c r="W981" s="284"/>
      <c r="X981" s="284"/>
    </row>
    <row r="982">
      <c r="A982" s="348"/>
      <c r="B982" s="284"/>
      <c r="C982" s="349"/>
      <c r="D982" s="349"/>
      <c r="E982" s="284"/>
      <c r="F982" s="284"/>
      <c r="G982" s="284"/>
      <c r="H982" s="284"/>
      <c r="I982" s="284"/>
      <c r="J982" s="348"/>
      <c r="K982" s="284"/>
      <c r="L982" s="284"/>
      <c r="M982" s="284"/>
      <c r="N982" s="284"/>
      <c r="O982" s="284"/>
      <c r="P982" s="284"/>
      <c r="Q982" s="284"/>
      <c r="R982" s="284"/>
      <c r="S982" s="284"/>
      <c r="T982" s="284"/>
      <c r="U982" s="284"/>
      <c r="V982" s="284"/>
      <c r="W982" s="284"/>
      <c r="X982" s="284"/>
    </row>
    <row r="983">
      <c r="A983" s="348"/>
      <c r="B983" s="284"/>
      <c r="C983" s="349"/>
      <c r="D983" s="349"/>
      <c r="E983" s="284"/>
      <c r="F983" s="284"/>
      <c r="G983" s="284"/>
      <c r="H983" s="284"/>
      <c r="I983" s="284"/>
      <c r="J983" s="348"/>
      <c r="K983" s="284"/>
      <c r="L983" s="284"/>
      <c r="M983" s="284"/>
      <c r="N983" s="284"/>
      <c r="O983" s="284"/>
      <c r="P983" s="284"/>
      <c r="Q983" s="284"/>
      <c r="R983" s="284"/>
      <c r="S983" s="284"/>
      <c r="T983" s="284"/>
      <c r="U983" s="284"/>
      <c r="V983" s="284"/>
      <c r="W983" s="284"/>
      <c r="X983" s="284"/>
    </row>
    <row r="984">
      <c r="A984" s="348"/>
      <c r="B984" s="284"/>
      <c r="C984" s="349"/>
      <c r="D984" s="349"/>
      <c r="E984" s="284"/>
      <c r="F984" s="284"/>
      <c r="G984" s="284"/>
      <c r="H984" s="284"/>
      <c r="I984" s="284"/>
      <c r="J984" s="348"/>
      <c r="K984" s="284"/>
      <c r="L984" s="284"/>
      <c r="M984" s="284"/>
      <c r="N984" s="284"/>
      <c r="O984" s="284"/>
      <c r="P984" s="284"/>
      <c r="Q984" s="284"/>
      <c r="R984" s="284"/>
      <c r="S984" s="284"/>
      <c r="T984" s="284"/>
      <c r="U984" s="284"/>
      <c r="V984" s="284"/>
      <c r="W984" s="284"/>
      <c r="X984" s="284"/>
    </row>
    <row r="985">
      <c r="A985" s="348"/>
      <c r="B985" s="284"/>
      <c r="C985" s="349"/>
      <c r="D985" s="349"/>
      <c r="E985" s="284"/>
      <c r="F985" s="284"/>
      <c r="G985" s="284"/>
      <c r="H985" s="284"/>
      <c r="I985" s="284"/>
      <c r="J985" s="348"/>
      <c r="K985" s="284"/>
      <c r="L985" s="284"/>
      <c r="M985" s="284"/>
      <c r="N985" s="284"/>
      <c r="O985" s="284"/>
      <c r="P985" s="284"/>
      <c r="Q985" s="284"/>
      <c r="R985" s="284"/>
      <c r="S985" s="284"/>
      <c r="T985" s="284"/>
      <c r="U985" s="284"/>
      <c r="V985" s="284"/>
      <c r="W985" s="284"/>
      <c r="X985" s="284"/>
    </row>
    <row r="986">
      <c r="A986" s="348"/>
      <c r="B986" s="284"/>
      <c r="C986" s="349"/>
      <c r="D986" s="349"/>
      <c r="E986" s="284"/>
      <c r="F986" s="284"/>
      <c r="G986" s="284"/>
      <c r="H986" s="284"/>
      <c r="I986" s="284"/>
      <c r="J986" s="348"/>
      <c r="K986" s="284"/>
      <c r="L986" s="284"/>
      <c r="M986" s="284"/>
      <c r="N986" s="284"/>
      <c r="O986" s="284"/>
      <c r="P986" s="284"/>
      <c r="Q986" s="284"/>
      <c r="R986" s="284"/>
      <c r="S986" s="284"/>
      <c r="T986" s="284"/>
      <c r="U986" s="284"/>
      <c r="V986" s="284"/>
      <c r="W986" s="284"/>
      <c r="X986" s="284"/>
    </row>
    <row r="987">
      <c r="A987" s="348"/>
      <c r="B987" s="284"/>
      <c r="C987" s="349"/>
      <c r="D987" s="349"/>
      <c r="E987" s="284"/>
      <c r="F987" s="284"/>
      <c r="G987" s="284"/>
      <c r="H987" s="284"/>
      <c r="I987" s="284"/>
      <c r="J987" s="348"/>
      <c r="K987" s="284"/>
      <c r="L987" s="284"/>
      <c r="M987" s="284"/>
      <c r="N987" s="284"/>
      <c r="O987" s="284"/>
      <c r="P987" s="284"/>
      <c r="Q987" s="284"/>
      <c r="R987" s="284"/>
      <c r="S987" s="284"/>
      <c r="T987" s="284"/>
      <c r="U987" s="284"/>
      <c r="V987" s="284"/>
      <c r="W987" s="284"/>
      <c r="X987" s="284"/>
    </row>
    <row r="988">
      <c r="A988" s="348"/>
      <c r="B988" s="284"/>
      <c r="C988" s="349"/>
      <c r="D988" s="349"/>
      <c r="E988" s="284"/>
      <c r="F988" s="284"/>
      <c r="G988" s="284"/>
      <c r="H988" s="284"/>
      <c r="I988" s="284"/>
      <c r="J988" s="348"/>
      <c r="K988" s="284"/>
      <c r="L988" s="284"/>
      <c r="M988" s="284"/>
      <c r="N988" s="284"/>
      <c r="O988" s="284"/>
      <c r="P988" s="284"/>
      <c r="Q988" s="284"/>
      <c r="R988" s="284"/>
      <c r="S988" s="284"/>
      <c r="T988" s="284"/>
      <c r="U988" s="284"/>
      <c r="V988" s="284"/>
      <c r="W988" s="284"/>
      <c r="X988" s="284"/>
    </row>
    <row r="989">
      <c r="A989" s="348"/>
      <c r="B989" s="284"/>
      <c r="C989" s="349"/>
      <c r="D989" s="349"/>
      <c r="E989" s="284"/>
      <c r="F989" s="284"/>
      <c r="G989" s="284"/>
      <c r="H989" s="284"/>
      <c r="I989" s="284"/>
      <c r="J989" s="348"/>
      <c r="K989" s="284"/>
      <c r="L989" s="284"/>
      <c r="M989" s="284"/>
      <c r="N989" s="284"/>
      <c r="O989" s="284"/>
      <c r="P989" s="284"/>
      <c r="Q989" s="284"/>
      <c r="R989" s="284"/>
      <c r="S989" s="284"/>
      <c r="T989" s="284"/>
      <c r="U989" s="284"/>
      <c r="V989" s="284"/>
      <c r="W989" s="284"/>
      <c r="X989" s="284"/>
    </row>
    <row r="990">
      <c r="A990" s="348"/>
      <c r="B990" s="284"/>
      <c r="C990" s="349"/>
      <c r="D990" s="349"/>
      <c r="E990" s="284"/>
      <c r="F990" s="284"/>
      <c r="G990" s="284"/>
      <c r="H990" s="284"/>
      <c r="I990" s="284"/>
      <c r="J990" s="348"/>
      <c r="K990" s="284"/>
      <c r="L990" s="284"/>
      <c r="M990" s="284"/>
      <c r="N990" s="284"/>
      <c r="O990" s="284"/>
      <c r="P990" s="284"/>
      <c r="Q990" s="284"/>
      <c r="R990" s="284"/>
      <c r="S990" s="284"/>
      <c r="T990" s="284"/>
      <c r="U990" s="284"/>
      <c r="V990" s="284"/>
      <c r="W990" s="284"/>
      <c r="X990" s="284"/>
    </row>
    <row r="991">
      <c r="A991" s="348"/>
      <c r="B991" s="284"/>
      <c r="C991" s="349"/>
      <c r="D991" s="349"/>
      <c r="E991" s="284"/>
      <c r="F991" s="284"/>
      <c r="G991" s="284"/>
      <c r="H991" s="284"/>
      <c r="I991" s="284"/>
      <c r="J991" s="348"/>
      <c r="K991" s="284"/>
      <c r="L991" s="284"/>
      <c r="M991" s="284"/>
      <c r="N991" s="284"/>
      <c r="O991" s="284"/>
      <c r="P991" s="284"/>
      <c r="Q991" s="284"/>
      <c r="R991" s="284"/>
      <c r="S991" s="284"/>
      <c r="T991" s="284"/>
      <c r="U991" s="284"/>
      <c r="V991" s="284"/>
      <c r="W991" s="284"/>
      <c r="X991" s="284"/>
    </row>
    <row r="992">
      <c r="A992" s="348"/>
      <c r="B992" s="284"/>
      <c r="C992" s="349"/>
      <c r="D992" s="349"/>
      <c r="E992" s="284"/>
      <c r="F992" s="284"/>
      <c r="G992" s="284"/>
      <c r="H992" s="284"/>
      <c r="I992" s="284"/>
      <c r="J992" s="348"/>
      <c r="K992" s="284"/>
      <c r="L992" s="284"/>
      <c r="M992" s="284"/>
      <c r="N992" s="284"/>
      <c r="O992" s="284"/>
      <c r="P992" s="284"/>
      <c r="Q992" s="284"/>
      <c r="R992" s="284"/>
      <c r="S992" s="284"/>
      <c r="T992" s="284"/>
      <c r="U992" s="284"/>
      <c r="V992" s="284"/>
      <c r="W992" s="284"/>
      <c r="X992" s="284"/>
    </row>
    <row r="993">
      <c r="A993" s="348"/>
      <c r="B993" s="284"/>
      <c r="C993" s="349"/>
      <c r="D993" s="349"/>
      <c r="E993" s="284"/>
      <c r="F993" s="284"/>
      <c r="G993" s="284"/>
      <c r="H993" s="284"/>
      <c r="I993" s="284"/>
      <c r="J993" s="348"/>
      <c r="K993" s="284"/>
      <c r="L993" s="284"/>
      <c r="M993" s="284"/>
      <c r="N993" s="284"/>
      <c r="O993" s="284"/>
      <c r="P993" s="284"/>
      <c r="Q993" s="284"/>
      <c r="R993" s="284"/>
      <c r="S993" s="284"/>
      <c r="T993" s="284"/>
      <c r="U993" s="284"/>
      <c r="V993" s="284"/>
      <c r="W993" s="284"/>
      <c r="X993" s="284"/>
    </row>
    <row r="994">
      <c r="A994" s="348"/>
      <c r="B994" s="284"/>
      <c r="C994" s="349"/>
      <c r="D994" s="349"/>
      <c r="E994" s="284"/>
      <c r="F994" s="284"/>
      <c r="G994" s="284"/>
      <c r="H994" s="284"/>
      <c r="I994" s="284"/>
      <c r="J994" s="348"/>
      <c r="K994" s="284"/>
      <c r="L994" s="284"/>
      <c r="M994" s="284"/>
      <c r="N994" s="284"/>
      <c r="O994" s="284"/>
      <c r="P994" s="284"/>
      <c r="Q994" s="284"/>
      <c r="R994" s="284"/>
      <c r="S994" s="284"/>
      <c r="T994" s="284"/>
      <c r="U994" s="284"/>
      <c r="V994" s="284"/>
      <c r="W994" s="284"/>
      <c r="X994" s="284"/>
    </row>
    <row r="995">
      <c r="A995" s="348"/>
      <c r="B995" s="284"/>
      <c r="C995" s="349"/>
      <c r="D995" s="349"/>
      <c r="E995" s="284"/>
      <c r="F995" s="284"/>
      <c r="G995" s="284"/>
      <c r="H995" s="284"/>
      <c r="I995" s="284"/>
      <c r="J995" s="348"/>
      <c r="K995" s="284"/>
      <c r="L995" s="284"/>
      <c r="M995" s="284"/>
      <c r="N995" s="284"/>
      <c r="O995" s="284"/>
      <c r="P995" s="284"/>
      <c r="Q995" s="284"/>
      <c r="R995" s="284"/>
      <c r="S995" s="284"/>
      <c r="T995" s="284"/>
      <c r="U995" s="284"/>
      <c r="V995" s="284"/>
      <c r="W995" s="284"/>
      <c r="X995" s="284"/>
    </row>
    <row r="996">
      <c r="A996" s="348"/>
      <c r="B996" s="284"/>
      <c r="C996" s="349"/>
      <c r="D996" s="349"/>
      <c r="E996" s="284"/>
      <c r="F996" s="284"/>
      <c r="G996" s="284"/>
      <c r="H996" s="284"/>
      <c r="I996" s="284"/>
      <c r="J996" s="348"/>
      <c r="K996" s="284"/>
      <c r="L996" s="284"/>
      <c r="M996" s="284"/>
      <c r="N996" s="284"/>
      <c r="O996" s="284"/>
      <c r="P996" s="284"/>
      <c r="Q996" s="284"/>
      <c r="R996" s="284"/>
      <c r="S996" s="284"/>
      <c r="T996" s="284"/>
      <c r="U996" s="284"/>
      <c r="V996" s="284"/>
      <c r="W996" s="284"/>
      <c r="X996" s="284"/>
    </row>
    <row r="997">
      <c r="A997" s="348"/>
      <c r="B997" s="284"/>
      <c r="C997" s="349"/>
      <c r="D997" s="349"/>
      <c r="E997" s="284"/>
      <c r="F997" s="284"/>
      <c r="G997" s="284"/>
      <c r="H997" s="284"/>
      <c r="I997" s="284"/>
      <c r="J997" s="348"/>
      <c r="K997" s="284"/>
      <c r="L997" s="284"/>
      <c r="M997" s="284"/>
      <c r="N997" s="284"/>
      <c r="O997" s="284"/>
      <c r="P997" s="284"/>
      <c r="Q997" s="284"/>
      <c r="R997" s="284"/>
      <c r="S997" s="284"/>
      <c r="T997" s="284"/>
      <c r="U997" s="284"/>
      <c r="V997" s="284"/>
      <c r="W997" s="284"/>
      <c r="X997" s="284"/>
    </row>
    <row r="998">
      <c r="A998" s="348"/>
      <c r="B998" s="284"/>
      <c r="C998" s="349"/>
      <c r="D998" s="349"/>
      <c r="E998" s="284"/>
      <c r="F998" s="284"/>
      <c r="G998" s="284"/>
      <c r="H998" s="284"/>
      <c r="I998" s="284"/>
      <c r="J998" s="348"/>
      <c r="K998" s="284"/>
      <c r="L998" s="284"/>
      <c r="M998" s="284"/>
      <c r="N998" s="284"/>
      <c r="O998" s="284"/>
      <c r="P998" s="284"/>
      <c r="Q998" s="284"/>
      <c r="R998" s="284"/>
      <c r="S998" s="284"/>
      <c r="T998" s="284"/>
      <c r="U998" s="284"/>
      <c r="V998" s="284"/>
      <c r="W998" s="284"/>
      <c r="X998" s="284"/>
    </row>
    <row r="999">
      <c r="A999" s="348"/>
      <c r="B999" s="284"/>
      <c r="C999" s="349"/>
      <c r="D999" s="349"/>
      <c r="E999" s="284"/>
      <c r="F999" s="284"/>
      <c r="G999" s="284"/>
      <c r="H999" s="284"/>
      <c r="I999" s="284"/>
      <c r="J999" s="348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  <c r="V999" s="284"/>
      <c r="W999" s="284"/>
      <c r="X999" s="284"/>
    </row>
    <row r="1000">
      <c r="A1000" s="348"/>
      <c r="B1000" s="284"/>
      <c r="C1000" s="349"/>
      <c r="D1000" s="349"/>
      <c r="E1000" s="284"/>
      <c r="F1000" s="284"/>
      <c r="G1000" s="284"/>
      <c r="H1000" s="284"/>
      <c r="I1000" s="284"/>
      <c r="J1000" s="348"/>
      <c r="K1000" s="284"/>
      <c r="L1000" s="284"/>
      <c r="M1000" s="284"/>
      <c r="N1000" s="284"/>
      <c r="O1000" s="284"/>
      <c r="P1000" s="284"/>
      <c r="Q1000" s="284"/>
      <c r="R1000" s="284"/>
      <c r="S1000" s="284"/>
      <c r="T1000" s="284"/>
      <c r="U1000" s="284"/>
      <c r="V1000" s="284"/>
      <c r="W1000" s="284"/>
      <c r="X1000" s="284"/>
    </row>
  </sheetData>
  <hyperlinks>
    <hyperlink r:id="rId1" ref="H35"/>
    <hyperlink r:id="rId2" ref="H68"/>
    <hyperlink r:id="rId3" ref="H114"/>
    <hyperlink r:id="rId4" ref="H123"/>
    <hyperlink r:id="rId5" ref="H169"/>
    <hyperlink r:id="rId6" ref="H220"/>
    <hyperlink r:id="rId7" ref="H225"/>
    <hyperlink r:id="rId8" ref="H233"/>
    <hyperlink r:id="rId9" ref="H252"/>
    <hyperlink r:id="rId10" ref="H288"/>
    <hyperlink r:id="rId11" ref="H304"/>
    <hyperlink r:id="rId12" ref="H341"/>
    <hyperlink r:id="rId13" ref="L341"/>
    <hyperlink r:id="rId14" ref="H345"/>
    <hyperlink r:id="rId15" ref="H351"/>
    <hyperlink r:id="rId16" ref="H352"/>
    <hyperlink r:id="rId17" ref="H370"/>
    <hyperlink r:id="rId18" ref="H421"/>
    <hyperlink r:id="rId19" ref="L421"/>
  </hyperlinks>
  <drawing r:id="rId2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1.86"/>
  </cols>
  <sheetData>
    <row r="1">
      <c r="A1" s="350" t="s">
        <v>2307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</row>
    <row r="2">
      <c r="A2" s="350" t="s">
        <v>267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</row>
    <row r="3">
      <c r="A3" s="350" t="s">
        <v>516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</row>
    <row r="4">
      <c r="A4" s="350" t="s">
        <v>2308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351"/>
    </row>
    <row r="5">
      <c r="A5" s="350" t="s">
        <v>125</v>
      </c>
      <c r="B5" s="351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351"/>
    </row>
    <row r="6">
      <c r="A6" s="350" t="s">
        <v>94</v>
      </c>
      <c r="B6" s="351"/>
      <c r="C6" s="351"/>
      <c r="D6" s="351"/>
      <c r="E6" s="351"/>
      <c r="F6" s="351"/>
      <c r="G6" s="351"/>
      <c r="H6" s="351"/>
      <c r="I6" s="351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</row>
    <row r="7">
      <c r="A7" s="350" t="s">
        <v>2309</v>
      </c>
      <c r="B7" s="351"/>
      <c r="C7" s="351"/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</row>
    <row r="8">
      <c r="A8" s="350" t="s">
        <v>2310</v>
      </c>
      <c r="B8" s="351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</row>
    <row r="9">
      <c r="A9" s="350" t="s">
        <v>321</v>
      </c>
      <c r="B9" s="351"/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351"/>
    </row>
    <row r="10">
      <c r="A10" s="350" t="s">
        <v>45</v>
      </c>
      <c r="B10" s="351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</row>
    <row r="11">
      <c r="A11" s="350" t="s">
        <v>1024</v>
      </c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</row>
    <row r="12">
      <c r="A12" s="350" t="s">
        <v>1063</v>
      </c>
      <c r="B12" s="351"/>
      <c r="C12" s="351"/>
      <c r="D12" s="351"/>
      <c r="E12" s="351"/>
      <c r="F12" s="351"/>
      <c r="G12" s="351"/>
      <c r="H12" s="351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51"/>
    </row>
    <row r="13">
      <c r="A13" s="350" t="s">
        <v>71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</row>
    <row r="14">
      <c r="A14" s="350" t="s">
        <v>1136</v>
      </c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</row>
    <row r="15">
      <c r="A15" s="350" t="s">
        <v>2311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</row>
    <row r="16">
      <c r="A16" s="350" t="s">
        <v>2312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</row>
    <row r="17">
      <c r="A17" s="350" t="s">
        <v>2313</v>
      </c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</row>
    <row r="18">
      <c r="A18" s="350" t="s">
        <v>259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</row>
    <row r="19">
      <c r="A19" s="350" t="s">
        <v>1633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</row>
    <row r="20">
      <c r="A20" s="350" t="s">
        <v>86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</row>
    <row r="21">
      <c r="A21" s="350" t="s">
        <v>275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</row>
    <row r="22">
      <c r="A22" s="350" t="s">
        <v>288</v>
      </c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1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351"/>
    </row>
    <row r="23">
      <c r="A23" s="350" t="s">
        <v>2004</v>
      </c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</row>
    <row r="24">
      <c r="A24" s="350" t="s">
        <v>219</v>
      </c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</row>
    <row r="25">
      <c r="A25" s="350" t="s">
        <v>2099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</row>
    <row r="26">
      <c r="A26" s="350" t="s">
        <v>2144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</row>
    <row r="27">
      <c r="A27" s="350" t="s">
        <v>2314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</row>
    <row r="28">
      <c r="A28" s="351"/>
      <c r="B28" s="351"/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</row>
    <row r="29">
      <c r="A29" s="350" t="s">
        <v>2315</v>
      </c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</row>
    <row r="30">
      <c r="A30" s="350" t="s">
        <v>2316</v>
      </c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</row>
    <row r="31">
      <c r="A31" s="350" t="s">
        <v>2317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</row>
    <row r="32">
      <c r="A32" s="350" t="s">
        <v>2318</v>
      </c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</row>
    <row r="33">
      <c r="A33" s="350" t="s">
        <v>2319</v>
      </c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</row>
    <row r="34">
      <c r="A34" s="350" t="s">
        <v>2320</v>
      </c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</row>
    <row r="35">
      <c r="A35" s="350" t="s">
        <v>2321</v>
      </c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</row>
    <row r="36">
      <c r="A36" s="350" t="s">
        <v>2322</v>
      </c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</row>
    <row r="37">
      <c r="A37" s="350" t="s">
        <v>352</v>
      </c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</row>
    <row r="38">
      <c r="A38" s="350" t="s">
        <v>2323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</row>
    <row r="39">
      <c r="A39" s="350" t="s">
        <v>2324</v>
      </c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</row>
    <row r="40">
      <c r="A40" s="350" t="s">
        <v>2325</v>
      </c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</row>
    <row r="41">
      <c r="A41" s="350" t="s">
        <v>2326</v>
      </c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</row>
    <row r="42">
      <c r="A42" s="350" t="s">
        <v>2327</v>
      </c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</row>
    <row r="43">
      <c r="A43" s="350" t="s">
        <v>2328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</row>
    <row r="44">
      <c r="A44" s="350" t="s">
        <v>2329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</row>
    <row r="45">
      <c r="A45" s="350" t="s">
        <v>2330</v>
      </c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</row>
    <row r="46">
      <c r="A46" s="350" t="s">
        <v>2331</v>
      </c>
      <c r="B46" s="351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</row>
    <row r="47">
      <c r="A47" s="350" t="s">
        <v>2332</v>
      </c>
      <c r="B47" s="351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</row>
    <row r="48">
      <c r="A48" s="350" t="s">
        <v>244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</row>
    <row r="49">
      <c r="A49" s="350" t="s">
        <v>2333</v>
      </c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</row>
    <row r="50">
      <c r="A50" s="350" t="s">
        <v>2334</v>
      </c>
      <c r="B50" s="351"/>
      <c r="C50" s="351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</row>
    <row r="51">
      <c r="A51" s="350" t="s">
        <v>2335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</row>
    <row r="52">
      <c r="A52" s="350" t="s">
        <v>2336</v>
      </c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</row>
    <row r="53">
      <c r="A53" s="350" t="s">
        <v>2337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</row>
    <row r="54">
      <c r="A54" s="350" t="s">
        <v>2338</v>
      </c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</row>
    <row r="55">
      <c r="A55" s="350" t="s">
        <v>2339</v>
      </c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</row>
    <row r="56">
      <c r="A56" s="350" t="s">
        <v>2340</v>
      </c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</row>
    <row r="57">
      <c r="A57" s="350" t="s">
        <v>2341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>
      <c r="A58" s="350" t="s">
        <v>2342</v>
      </c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>
      <c r="A59" s="350" t="s">
        <v>2343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>
      <c r="A60" s="350" t="s">
        <v>2344</v>
      </c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>
      <c r="A61" s="350" t="s">
        <v>2345</v>
      </c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>
      <c r="A62" s="350" t="s">
        <v>2346</v>
      </c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>
      <c r="A63" s="350" t="s">
        <v>2347</v>
      </c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>
      <c r="A64" s="350" t="s">
        <v>2348</v>
      </c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>
      <c r="A65" s="350" t="s">
        <v>2349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>
      <c r="A66" s="350" t="s">
        <v>2350</v>
      </c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>
      <c r="A67" s="350" t="s">
        <v>2351</v>
      </c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>
      <c r="A68" s="350" t="s">
        <v>2352</v>
      </c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>
      <c r="A69" s="350" t="s">
        <v>2353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>
      <c r="A70" s="350" t="s">
        <v>2354</v>
      </c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>
      <c r="A71" s="350" t="s">
        <v>281</v>
      </c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>
      <c r="A72" s="350" t="s">
        <v>2355</v>
      </c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>
      <c r="A73" s="350" t="s">
        <v>2356</v>
      </c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>
      <c r="A74" s="350" t="s">
        <v>237</v>
      </c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>
      <c r="A75" s="350" t="s">
        <v>2357</v>
      </c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>
      <c r="A76" s="350" t="s">
        <v>2358</v>
      </c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>
      <c r="A77" s="350" t="s">
        <v>2359</v>
      </c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>
      <c r="A78" s="350" t="s">
        <v>2360</v>
      </c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>
      <c r="A79" s="350" t="s">
        <v>2361</v>
      </c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>
      <c r="A80" s="350" t="s">
        <v>299</v>
      </c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>
      <c r="A81" s="350" t="s">
        <v>2362</v>
      </c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>
      <c r="A82" s="350" t="s">
        <v>2363</v>
      </c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>
      <c r="A83" s="350" t="s">
        <v>116</v>
      </c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>
      <c r="A84" s="350" t="s">
        <v>2364</v>
      </c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>
      <c r="A85" s="350" t="s">
        <v>2365</v>
      </c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>
      <c r="A86" s="350" t="s">
        <v>2366</v>
      </c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>
      <c r="A87" s="350" t="s">
        <v>109</v>
      </c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</row>
    <row r="88">
      <c r="A88" s="350" t="s">
        <v>2367</v>
      </c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</row>
    <row r="89">
      <c r="A89" s="350" t="s">
        <v>2368</v>
      </c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</row>
    <row r="90">
      <c r="A90" s="350" t="s">
        <v>2369</v>
      </c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</row>
    <row r="91">
      <c r="A91" s="350" t="s">
        <v>2370</v>
      </c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</row>
    <row r="92">
      <c r="A92" s="350" t="s">
        <v>342</v>
      </c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</row>
    <row r="93">
      <c r="A93" s="350" t="s">
        <v>2371</v>
      </c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</row>
    <row r="94">
      <c r="A94" s="350" t="s">
        <v>2372</v>
      </c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</row>
    <row r="95">
      <c r="A95" s="350" t="s">
        <v>2373</v>
      </c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</row>
    <row r="96">
      <c r="A96" s="350" t="s">
        <v>2374</v>
      </c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</row>
    <row r="97">
      <c r="A97" s="350" t="s">
        <v>2375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</row>
    <row r="98">
      <c r="A98" s="350" t="s">
        <v>2376</v>
      </c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</row>
    <row r="99">
      <c r="A99" s="350" t="s">
        <v>2377</v>
      </c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</row>
    <row r="100">
      <c r="A100" s="350" t="s">
        <v>224</v>
      </c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</row>
    <row r="101">
      <c r="A101" s="350" t="s">
        <v>2378</v>
      </c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</row>
    <row r="102">
      <c r="A102" s="350" t="s">
        <v>2379</v>
      </c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</row>
    <row r="103">
      <c r="A103" s="350" t="s">
        <v>2380</v>
      </c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</row>
    <row r="104">
      <c r="A104" s="350" t="s">
        <v>189</v>
      </c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</row>
    <row r="105">
      <c r="A105" s="350" t="s">
        <v>2381</v>
      </c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</row>
    <row r="106">
      <c r="A106" s="350" t="s">
        <v>2382</v>
      </c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</row>
    <row r="107">
      <c r="A107" s="350" t="s">
        <v>2383</v>
      </c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</row>
    <row r="108">
      <c r="A108" s="350" t="s">
        <v>2384</v>
      </c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</row>
    <row r="109">
      <c r="A109" s="350" t="s">
        <v>2385</v>
      </c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</row>
    <row r="110">
      <c r="A110" s="350" t="s">
        <v>2386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</row>
    <row r="111">
      <c r="A111" s="350" t="s">
        <v>2387</v>
      </c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</row>
    <row r="112">
      <c r="A112" s="350" t="s">
        <v>2388</v>
      </c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</row>
    <row r="113">
      <c r="A113" s="350" t="s">
        <v>2389</v>
      </c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</row>
    <row r="114">
      <c r="A114" s="350" t="s">
        <v>2390</v>
      </c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</row>
    <row r="115">
      <c r="A115" s="350" t="s">
        <v>2391</v>
      </c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</row>
    <row r="116">
      <c r="A116" s="350" t="s">
        <v>2392</v>
      </c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</row>
    <row r="117">
      <c r="A117" s="350" t="s">
        <v>2393</v>
      </c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</row>
    <row r="118">
      <c r="A118" s="350" t="s">
        <v>2394</v>
      </c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</row>
    <row r="119">
      <c r="A119" s="350" t="s">
        <v>338</v>
      </c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</row>
    <row r="120">
      <c r="A120" s="350" t="s">
        <v>2395</v>
      </c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</row>
    <row r="121">
      <c r="A121" s="350" t="s">
        <v>125</v>
      </c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</row>
    <row r="122">
      <c r="A122" s="350" t="s">
        <v>2396</v>
      </c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</row>
    <row r="123">
      <c r="A123" s="350" t="s">
        <v>369</v>
      </c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</row>
    <row r="124">
      <c r="A124" s="350" t="s">
        <v>93</v>
      </c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</row>
    <row r="125">
      <c r="A125" s="350" t="s">
        <v>2397</v>
      </c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</row>
    <row r="126">
      <c r="A126" s="350" t="s">
        <v>2398</v>
      </c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</row>
    <row r="127">
      <c r="A127" s="350" t="s">
        <v>2399</v>
      </c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</row>
    <row r="128">
      <c r="A128" s="350" t="s">
        <v>357</v>
      </c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</row>
    <row r="129">
      <c r="A129" s="350" t="s">
        <v>2400</v>
      </c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</row>
    <row r="130">
      <c r="A130" s="350" t="s">
        <v>2401</v>
      </c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</row>
    <row r="131">
      <c r="A131" s="350" t="s">
        <v>347</v>
      </c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</row>
    <row r="132">
      <c r="A132" s="350" t="s">
        <v>2402</v>
      </c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</row>
    <row r="133">
      <c r="A133" s="350" t="s">
        <v>2403</v>
      </c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</row>
    <row r="134">
      <c r="A134" s="350" t="s">
        <v>2404</v>
      </c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</row>
    <row r="135">
      <c r="A135" s="350" t="s">
        <v>2405</v>
      </c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</row>
    <row r="136">
      <c r="A136" s="350" t="s">
        <v>266</v>
      </c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</row>
    <row r="137">
      <c r="A137" s="350" t="s">
        <v>2406</v>
      </c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</row>
    <row r="138">
      <c r="A138" s="350" t="s">
        <v>2407</v>
      </c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</row>
    <row r="139">
      <c r="A139" s="350" t="s">
        <v>2408</v>
      </c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</row>
    <row r="140">
      <c r="A140" s="350" t="s">
        <v>2409</v>
      </c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</row>
    <row r="141">
      <c r="A141" s="350" t="s">
        <v>2410</v>
      </c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</row>
    <row r="142">
      <c r="A142" s="350" t="s">
        <v>2411</v>
      </c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</row>
    <row r="143">
      <c r="A143" s="350" t="s">
        <v>2412</v>
      </c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</row>
    <row r="144">
      <c r="A144" s="350" t="s">
        <v>2413</v>
      </c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</row>
    <row r="145">
      <c r="A145" s="350" t="s">
        <v>251</v>
      </c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</row>
    <row r="146">
      <c r="A146" s="350" t="s">
        <v>2414</v>
      </c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</row>
    <row r="147">
      <c r="A147" s="350" t="s">
        <v>2415</v>
      </c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</row>
    <row r="148">
      <c r="A148" s="350" t="s">
        <v>2416</v>
      </c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</row>
    <row r="149">
      <c r="A149" s="350" t="s">
        <v>2417</v>
      </c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</row>
    <row r="150">
      <c r="A150" s="350" t="s">
        <v>94</v>
      </c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</row>
    <row r="151">
      <c r="A151" s="350" t="s">
        <v>51</v>
      </c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</row>
    <row r="152">
      <c r="A152" s="350" t="s">
        <v>2418</v>
      </c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</row>
    <row r="153">
      <c r="A153" s="350" t="s">
        <v>2419</v>
      </c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</row>
    <row r="154">
      <c r="A154" s="350" t="s">
        <v>2420</v>
      </c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</row>
    <row r="155">
      <c r="A155" s="350" t="s">
        <v>2421</v>
      </c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</row>
    <row r="156">
      <c r="A156" s="350" t="s">
        <v>2422</v>
      </c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</row>
    <row r="157">
      <c r="A157" s="350" t="s">
        <v>2423</v>
      </c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</row>
    <row r="158">
      <c r="A158" s="350" t="s">
        <v>2424</v>
      </c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</row>
    <row r="159">
      <c r="A159" s="350" t="s">
        <v>2425</v>
      </c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</row>
    <row r="160">
      <c r="A160" s="350" t="s">
        <v>2426</v>
      </c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</row>
    <row r="161">
      <c r="A161" s="350" t="s">
        <v>2427</v>
      </c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</row>
    <row r="162">
      <c r="A162" s="350" t="s">
        <v>2428</v>
      </c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</row>
    <row r="163">
      <c r="A163" s="350" t="s">
        <v>2429</v>
      </c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</row>
    <row r="164">
      <c r="A164" s="350" t="s">
        <v>2430</v>
      </c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</row>
    <row r="165">
      <c r="A165" s="350" t="s">
        <v>2431</v>
      </c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</row>
    <row r="166">
      <c r="A166" s="350" t="s">
        <v>2432</v>
      </c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</row>
    <row r="167">
      <c r="A167" s="350" t="s">
        <v>2433</v>
      </c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</row>
    <row r="168">
      <c r="A168" s="350" t="s">
        <v>2434</v>
      </c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</row>
    <row r="169">
      <c r="A169" s="350" t="s">
        <v>316</v>
      </c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</row>
    <row r="170">
      <c r="A170" s="350" t="s">
        <v>2435</v>
      </c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</row>
    <row r="171">
      <c r="A171" s="350" t="s">
        <v>175</v>
      </c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</row>
    <row r="172">
      <c r="A172" s="350" t="s">
        <v>2436</v>
      </c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</row>
    <row r="173">
      <c r="A173" s="350" t="s">
        <v>2437</v>
      </c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</row>
    <row r="174">
      <c r="A174" s="350" t="s">
        <v>2438</v>
      </c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</row>
    <row r="175">
      <c r="A175" s="350" t="s">
        <v>212</v>
      </c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</row>
    <row r="176">
      <c r="A176" s="350" t="s">
        <v>2439</v>
      </c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</row>
    <row r="177">
      <c r="A177" s="350" t="s">
        <v>2440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</row>
    <row r="178">
      <c r="A178" s="350" t="s">
        <v>2441</v>
      </c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</row>
    <row r="179">
      <c r="A179" s="350" t="s">
        <v>2442</v>
      </c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</row>
    <row r="180">
      <c r="A180" s="350" t="s">
        <v>2443</v>
      </c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</row>
    <row r="181">
      <c r="A181" s="350" t="s">
        <v>2444</v>
      </c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</row>
    <row r="182">
      <c r="A182" s="350" t="s">
        <v>124</v>
      </c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</row>
    <row r="183">
      <c r="A183" s="350" t="s">
        <v>372</v>
      </c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</row>
    <row r="184">
      <c r="A184" s="350" t="s">
        <v>2445</v>
      </c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</row>
    <row r="185">
      <c r="A185" s="350" t="s">
        <v>2446</v>
      </c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</row>
    <row r="186">
      <c r="A186" s="350" t="s">
        <v>2447</v>
      </c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</row>
    <row r="187">
      <c r="A187" s="350" t="s">
        <v>2448</v>
      </c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</row>
    <row r="188">
      <c r="A188" s="350" t="s">
        <v>159</v>
      </c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</row>
    <row r="189">
      <c r="A189" s="350" t="s">
        <v>2449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</row>
    <row r="190">
      <c r="A190" s="350" t="s">
        <v>2450</v>
      </c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</row>
    <row r="191">
      <c r="A191" s="350" t="s">
        <v>85</v>
      </c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</row>
    <row r="192">
      <c r="A192" s="350" t="s">
        <v>2451</v>
      </c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</row>
    <row r="193">
      <c r="A193" s="350" t="s">
        <v>2452</v>
      </c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</row>
    <row r="194">
      <c r="A194" s="350" t="s">
        <v>2453</v>
      </c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</row>
    <row r="195">
      <c r="A195" s="350" t="s">
        <v>2454</v>
      </c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</row>
    <row r="196">
      <c r="A196" s="350" t="s">
        <v>2455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</row>
    <row r="197">
      <c r="A197" s="350" t="s">
        <v>2456</v>
      </c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</row>
    <row r="198">
      <c r="A198" s="350" t="s">
        <v>2457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</row>
    <row r="199">
      <c r="A199" s="350" t="s">
        <v>2458</v>
      </c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</row>
    <row r="200">
      <c r="A200" s="350" t="s">
        <v>2459</v>
      </c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</row>
    <row r="201">
      <c r="A201" s="350" t="s">
        <v>2460</v>
      </c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</row>
    <row r="202">
      <c r="A202" s="350" t="s">
        <v>2461</v>
      </c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</row>
    <row r="203">
      <c r="A203" s="350" t="s">
        <v>2462</v>
      </c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</row>
    <row r="204">
      <c r="A204" s="350" t="s">
        <v>2463</v>
      </c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</row>
    <row r="205">
      <c r="A205" s="350" t="s">
        <v>2464</v>
      </c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</row>
    <row r="206">
      <c r="A206" s="350" t="s">
        <v>2465</v>
      </c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</row>
    <row r="207">
      <c r="A207" s="350" t="s">
        <v>2466</v>
      </c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</row>
    <row r="208">
      <c r="A208" s="350" t="s">
        <v>2467</v>
      </c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</row>
    <row r="209">
      <c r="A209" s="350" t="s">
        <v>2468</v>
      </c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</row>
    <row r="210">
      <c r="A210" s="350" t="s">
        <v>218</v>
      </c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</row>
    <row r="211">
      <c r="A211" s="350" t="s">
        <v>2469</v>
      </c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</row>
    <row r="212">
      <c r="A212" s="350" t="s">
        <v>2470</v>
      </c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</row>
    <row r="213">
      <c r="A213" s="350" t="s">
        <v>2471</v>
      </c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</row>
    <row r="214">
      <c r="A214" s="350" t="s">
        <v>332</v>
      </c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</row>
    <row r="215">
      <c r="A215" s="350" t="s">
        <v>274</v>
      </c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</row>
    <row r="216">
      <c r="A216" s="350" t="s">
        <v>2472</v>
      </c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</row>
    <row r="217">
      <c r="A217" s="350" t="s">
        <v>2473</v>
      </c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</row>
    <row r="218">
      <c r="A218" s="350" t="s">
        <v>2474</v>
      </c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</row>
    <row r="219">
      <c r="A219" s="350" t="s">
        <v>2475</v>
      </c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</row>
    <row r="220">
      <c r="A220" s="350" t="s">
        <v>2476</v>
      </c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</row>
    <row r="221">
      <c r="A221" s="350" t="s">
        <v>2477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</row>
    <row r="222">
      <c r="A222" s="350" t="s">
        <v>2478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</row>
    <row r="223">
      <c r="A223" s="350" t="s">
        <v>2479</v>
      </c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</row>
    <row r="224">
      <c r="A224" s="350" t="s">
        <v>2480</v>
      </c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</row>
    <row r="225">
      <c r="A225" s="350" t="s">
        <v>195</v>
      </c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</row>
    <row r="226">
      <c r="A226" s="350" t="s">
        <v>2481</v>
      </c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</row>
    <row r="227">
      <c r="A227" s="350" t="s">
        <v>2482</v>
      </c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</row>
    <row r="228">
      <c r="A228" s="350" t="s">
        <v>2483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</row>
    <row r="229">
      <c r="A229" s="350" t="s">
        <v>40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</row>
    <row r="230">
      <c r="A230" s="350" t="s">
        <v>2484</v>
      </c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</row>
    <row r="231">
      <c r="A231" s="350" t="s">
        <v>2485</v>
      </c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</row>
    <row r="232">
      <c r="A232" s="350" t="s">
        <v>2486</v>
      </c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</row>
    <row r="233">
      <c r="A233" s="350" t="s">
        <v>2487</v>
      </c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</row>
    <row r="234">
      <c r="A234" s="350" t="s">
        <v>2488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</row>
    <row r="235">
      <c r="A235" s="350" t="s">
        <v>2489</v>
      </c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</row>
    <row r="236">
      <c r="A236" s="350" t="s">
        <v>2490</v>
      </c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</row>
    <row r="237">
      <c r="A237" s="350" t="s">
        <v>45</v>
      </c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</row>
    <row r="238">
      <c r="A238" s="350" t="s">
        <v>2491</v>
      </c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</row>
    <row r="239">
      <c r="A239" s="350" t="s">
        <v>258</v>
      </c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</row>
    <row r="240">
      <c r="A240" s="350" t="s">
        <v>2492</v>
      </c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</row>
    <row r="241">
      <c r="A241" s="350" t="s">
        <v>2493</v>
      </c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</row>
    <row r="242">
      <c r="A242" s="350" t="s">
        <v>2494</v>
      </c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</row>
    <row r="243">
      <c r="A243" s="350" t="s">
        <v>2495</v>
      </c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</row>
    <row r="244">
      <c r="A244" s="350" t="s">
        <v>2496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</row>
    <row r="245">
      <c r="A245" s="350" t="s">
        <v>2497</v>
      </c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</row>
    <row r="246">
      <c r="A246" s="350" t="s">
        <v>2498</v>
      </c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</row>
    <row r="247">
      <c r="A247" s="350" t="s">
        <v>2499</v>
      </c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</row>
    <row r="248">
      <c r="A248" s="350" t="s">
        <v>2500</v>
      </c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</row>
    <row r="249">
      <c r="A249" s="350" t="s">
        <v>2501</v>
      </c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</row>
    <row r="250">
      <c r="A250" s="350" t="s">
        <v>2502</v>
      </c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</row>
    <row r="251">
      <c r="A251" s="350" t="s">
        <v>2503</v>
      </c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</row>
    <row r="252">
      <c r="A252" s="350" t="s">
        <v>2504</v>
      </c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</row>
    <row r="253">
      <c r="A253" s="350" t="s">
        <v>2505</v>
      </c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</row>
    <row r="254">
      <c r="A254" s="350" t="s">
        <v>2506</v>
      </c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</row>
    <row r="255">
      <c r="A255" s="350" t="s">
        <v>2507</v>
      </c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</row>
    <row r="256">
      <c r="A256" s="350" t="s">
        <v>2508</v>
      </c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</row>
    <row r="257">
      <c r="A257" s="350" t="s">
        <v>2509</v>
      </c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</row>
    <row r="258">
      <c r="A258" s="350" t="s">
        <v>3</v>
      </c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</row>
    <row r="259">
      <c r="A259" s="350" t="s">
        <v>2510</v>
      </c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</row>
    <row r="260">
      <c r="A260" s="350" t="s">
        <v>2511</v>
      </c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</row>
    <row r="261">
      <c r="A261" s="350" t="s">
        <v>2512</v>
      </c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</row>
    <row r="262">
      <c r="A262" s="350" t="s">
        <v>2513</v>
      </c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</row>
    <row r="263">
      <c r="A263" s="350" t="s">
        <v>2514</v>
      </c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</row>
    <row r="264">
      <c r="A264" s="350" t="s">
        <v>2515</v>
      </c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</row>
    <row r="265">
      <c r="A265" s="350" t="s">
        <v>2516</v>
      </c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</row>
    <row r="266">
      <c r="A266" s="350" t="s">
        <v>2517</v>
      </c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</row>
    <row r="267">
      <c r="A267" s="350" t="s">
        <v>2518</v>
      </c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</row>
    <row r="268">
      <c r="A268" s="350" t="s">
        <v>2519</v>
      </c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</row>
    <row r="269">
      <c r="A269" s="350" t="s">
        <v>2520</v>
      </c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</row>
    <row r="270">
      <c r="A270" s="350" t="s">
        <v>2521</v>
      </c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</row>
    <row r="271">
      <c r="A271" s="350" t="s">
        <v>2522</v>
      </c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</row>
    <row r="272">
      <c r="A272" s="350" t="s">
        <v>2523</v>
      </c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</row>
    <row r="273">
      <c r="A273" s="350" t="s">
        <v>2524</v>
      </c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</row>
    <row r="274">
      <c r="A274" s="350" t="s">
        <v>2525</v>
      </c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</row>
    <row r="275">
      <c r="A275" s="350" t="s">
        <v>2526</v>
      </c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</row>
    <row r="276">
      <c r="A276" s="350" t="s">
        <v>293</v>
      </c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</row>
    <row r="277">
      <c r="A277" s="350" t="s">
        <v>2527</v>
      </c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</row>
    <row r="278">
      <c r="A278" s="350" t="s">
        <v>2528</v>
      </c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</row>
    <row r="279">
      <c r="A279" s="350" t="s">
        <v>2529</v>
      </c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</row>
    <row r="280">
      <c r="A280" s="350" t="s">
        <v>2530</v>
      </c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</row>
    <row r="281">
      <c r="A281" s="350" t="s">
        <v>2531</v>
      </c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</row>
    <row r="282">
      <c r="A282" s="350" t="s">
        <v>2532</v>
      </c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</row>
    <row r="283">
      <c r="A283" s="350" t="s">
        <v>2533</v>
      </c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</row>
    <row r="284">
      <c r="A284" s="350" t="s">
        <v>2534</v>
      </c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</row>
    <row r="285">
      <c r="A285" s="350" t="s">
        <v>2535</v>
      </c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</row>
    <row r="286">
      <c r="A286" s="350" t="s">
        <v>2536</v>
      </c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</row>
    <row r="287">
      <c r="A287" s="350" t="s">
        <v>2311</v>
      </c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</row>
    <row r="288">
      <c r="A288" s="350" t="s">
        <v>2537</v>
      </c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</row>
    <row r="289">
      <c r="A289" s="350" t="s">
        <v>2312</v>
      </c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</row>
    <row r="290">
      <c r="A290" s="350" t="s">
        <v>259</v>
      </c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</row>
    <row r="291">
      <c r="A291" s="350" t="s">
        <v>2538</v>
      </c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</row>
    <row r="292">
      <c r="A292" s="350" t="s">
        <v>205</v>
      </c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</row>
    <row r="293">
      <c r="A293" s="350" t="s">
        <v>2539</v>
      </c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</row>
    <row r="294">
      <c r="A294" s="350" t="s">
        <v>2540</v>
      </c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</row>
    <row r="295">
      <c r="A295" s="350" t="s">
        <v>231</v>
      </c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</row>
    <row r="296">
      <c r="A296" s="350" t="s">
        <v>2541</v>
      </c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</row>
    <row r="297">
      <c r="A297" s="350" t="s">
        <v>2542</v>
      </c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</row>
    <row r="298">
      <c r="A298" s="350" t="s">
        <v>2543</v>
      </c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</row>
    <row r="299">
      <c r="A299" s="350" t="s">
        <v>2544</v>
      </c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</row>
    <row r="300">
      <c r="A300" s="350" t="s">
        <v>2545</v>
      </c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</row>
    <row r="301">
      <c r="A301" s="350" t="s">
        <v>2546</v>
      </c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</row>
    <row r="302">
      <c r="A302" s="350" t="s">
        <v>2547</v>
      </c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</row>
    <row r="303">
      <c r="A303" s="350" t="s">
        <v>2548</v>
      </c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</row>
    <row r="304">
      <c r="A304" s="350" t="s">
        <v>2549</v>
      </c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</row>
    <row r="305">
      <c r="A305" s="350" t="s">
        <v>2550</v>
      </c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</row>
    <row r="306">
      <c r="A306" s="350" t="s">
        <v>2551</v>
      </c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</row>
    <row r="307">
      <c r="A307" s="350" t="s">
        <v>2552</v>
      </c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</row>
    <row r="308">
      <c r="A308" s="350" t="s">
        <v>2553</v>
      </c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</row>
    <row r="309">
      <c r="A309" s="350" t="s">
        <v>102</v>
      </c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</row>
    <row r="310">
      <c r="A310" s="350" t="s">
        <v>70</v>
      </c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</row>
    <row r="311">
      <c r="A311" s="350" t="s">
        <v>2554</v>
      </c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</row>
    <row r="312">
      <c r="A312" s="350" t="s">
        <v>2555</v>
      </c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</row>
    <row r="313">
      <c r="A313" s="350" t="s">
        <v>2556</v>
      </c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</row>
    <row r="314">
      <c r="A314" s="350" t="s">
        <v>2557</v>
      </c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</row>
    <row r="315">
      <c r="A315" s="350" t="s">
        <v>2558</v>
      </c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</row>
    <row r="316">
      <c r="A316" s="350" t="s">
        <v>2559</v>
      </c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</row>
    <row r="317">
      <c r="A317" s="350" t="s">
        <v>2560</v>
      </c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</row>
    <row r="318">
      <c r="A318" s="350" t="s">
        <v>2561</v>
      </c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</row>
    <row r="319">
      <c r="A319" s="350" t="s">
        <v>2562</v>
      </c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</row>
    <row r="320">
      <c r="A320" s="350" t="s">
        <v>2563</v>
      </c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</row>
    <row r="321">
      <c r="A321" s="350" t="s">
        <v>2564</v>
      </c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</row>
    <row r="322">
      <c r="A322" s="350" t="s">
        <v>2565</v>
      </c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</row>
    <row r="323">
      <c r="A323" s="350" t="s">
        <v>320</v>
      </c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</row>
    <row r="324">
      <c r="A324" s="350" t="s">
        <v>2566</v>
      </c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</row>
    <row r="325">
      <c r="A325" s="350" t="s">
        <v>2567</v>
      </c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</row>
    <row r="326">
      <c r="A326" s="350" t="s">
        <v>2568</v>
      </c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</row>
    <row r="327">
      <c r="A327" s="350" t="s">
        <v>2569</v>
      </c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</row>
    <row r="328">
      <c r="A328" s="350" t="s">
        <v>2570</v>
      </c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</row>
    <row r="329">
      <c r="A329" s="350" t="s">
        <v>2571</v>
      </c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</row>
    <row r="330">
      <c r="A330" s="350" t="s">
        <v>2572</v>
      </c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</row>
    <row r="331">
      <c r="A331" s="350" t="s">
        <v>2573</v>
      </c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</row>
    <row r="332">
      <c r="A332" s="350" t="s">
        <v>2574</v>
      </c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</row>
    <row r="333">
      <c r="A333" s="350" t="s">
        <v>2575</v>
      </c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</row>
    <row r="334">
      <c r="A334" s="350" t="s">
        <v>2576</v>
      </c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</row>
    <row r="335">
      <c r="A335" s="350" t="s">
        <v>2577</v>
      </c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</row>
    <row r="336">
      <c r="A336" s="350" t="s">
        <v>2578</v>
      </c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</row>
    <row r="337">
      <c r="A337" s="350" t="s">
        <v>2579</v>
      </c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</row>
    <row r="338">
      <c r="A338" s="350" t="s">
        <v>2580</v>
      </c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</row>
    <row r="339">
      <c r="A339" s="350" t="s">
        <v>2581</v>
      </c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</row>
    <row r="340">
      <c r="A340" s="350" t="s">
        <v>2582</v>
      </c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</row>
    <row r="341">
      <c r="A341" s="350" t="s">
        <v>2583</v>
      </c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</row>
    <row r="342">
      <c r="A342" s="350" t="s">
        <v>2584</v>
      </c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</row>
    <row r="343">
      <c r="A343" s="350" t="s">
        <v>2585</v>
      </c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</row>
    <row r="344">
      <c r="A344" s="350" t="s">
        <v>2586</v>
      </c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</row>
    <row r="345">
      <c r="A345" s="350" t="s">
        <v>2587</v>
      </c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</row>
    <row r="346">
      <c r="A346" s="350" t="s">
        <v>2588</v>
      </c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</row>
    <row r="347">
      <c r="A347" s="350" t="s">
        <v>182</v>
      </c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</row>
    <row r="348">
      <c r="A348" s="350" t="s">
        <v>2589</v>
      </c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</row>
    <row r="349">
      <c r="A349" s="350" t="s">
        <v>2590</v>
      </c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</row>
    <row r="350">
      <c r="A350" s="350" t="s">
        <v>2591</v>
      </c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</row>
    <row r="351">
      <c r="A351" s="350" t="s">
        <v>2592</v>
      </c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</row>
    <row r="352">
      <c r="A352" s="350" t="s">
        <v>2593</v>
      </c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</row>
    <row r="353">
      <c r="A353" s="350" t="s">
        <v>2594</v>
      </c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</row>
    <row r="354">
      <c r="A354" s="350" t="s">
        <v>2595</v>
      </c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</row>
    <row r="355">
      <c r="A355" s="350" t="s">
        <v>2596</v>
      </c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</row>
    <row r="356">
      <c r="A356" s="350" t="s">
        <v>2597</v>
      </c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</row>
    <row r="357">
      <c r="A357" s="350" t="s">
        <v>2598</v>
      </c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</row>
    <row r="358">
      <c r="A358" s="350" t="s">
        <v>2599</v>
      </c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</row>
    <row r="359">
      <c r="A359" s="350" t="s">
        <v>2600</v>
      </c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</row>
    <row r="360">
      <c r="A360" s="350" t="s">
        <v>2601</v>
      </c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</row>
    <row r="361">
      <c r="A361" s="350" t="s">
        <v>2602</v>
      </c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</row>
    <row r="362">
      <c r="A362" s="350" t="s">
        <v>2603</v>
      </c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</row>
    <row r="363">
      <c r="A363" s="350" t="s">
        <v>2604</v>
      </c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</row>
    <row r="364">
      <c r="A364" s="350" t="s">
        <v>2605</v>
      </c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</row>
    <row r="365">
      <c r="A365" s="350" t="s">
        <v>2606</v>
      </c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</row>
    <row r="366">
      <c r="A366" s="350" t="s">
        <v>2607</v>
      </c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</row>
    <row r="367">
      <c r="A367" s="350" t="s">
        <v>2608</v>
      </c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</row>
    <row r="368">
      <c r="A368" s="350" t="s">
        <v>363</v>
      </c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</row>
    <row r="369">
      <c r="A369" s="350" t="s">
        <v>2609</v>
      </c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</row>
    <row r="370">
      <c r="A370" s="350" t="s">
        <v>2610</v>
      </c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</row>
    <row r="371">
      <c r="A371" s="350" t="s">
        <v>2611</v>
      </c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</row>
    <row r="372">
      <c r="A372" s="350" t="s">
        <v>2612</v>
      </c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</row>
    <row r="373">
      <c r="A373" s="350" t="s">
        <v>2613</v>
      </c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</row>
    <row r="374">
      <c r="A374" s="350" t="s">
        <v>2614</v>
      </c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</row>
    <row r="375">
      <c r="A375" s="350" t="s">
        <v>2615</v>
      </c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</row>
    <row r="376">
      <c r="A376" s="350" t="s">
        <v>2616</v>
      </c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</row>
    <row r="377">
      <c r="A377" s="350" t="s">
        <v>2617</v>
      </c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</row>
    <row r="378">
      <c r="A378" s="350" t="s">
        <v>2618</v>
      </c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</row>
    <row r="379">
      <c r="A379" s="350" t="s">
        <v>152</v>
      </c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</row>
    <row r="380">
      <c r="A380" s="350" t="s">
        <v>2619</v>
      </c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</row>
    <row r="381">
      <c r="A381" s="350" t="s">
        <v>2620</v>
      </c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</row>
    <row r="382">
      <c r="A382" s="350" t="s">
        <v>2621</v>
      </c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</row>
    <row r="383">
      <c r="A383" s="350" t="s">
        <v>2622</v>
      </c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</row>
    <row r="384">
      <c r="A384" s="350" t="s">
        <v>287</v>
      </c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</row>
    <row r="385">
      <c r="A385" s="350" t="s">
        <v>2623</v>
      </c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</row>
    <row r="386">
      <c r="A386" s="350" t="s">
        <v>2624</v>
      </c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</row>
    <row r="387">
      <c r="A387" s="350" t="s">
        <v>2625</v>
      </c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</row>
    <row r="388">
      <c r="A388" s="350" t="s">
        <v>2626</v>
      </c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</row>
    <row r="389">
      <c r="A389" s="350" t="s">
        <v>2627</v>
      </c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</row>
    <row r="390">
      <c r="A390" s="350" t="s">
        <v>39</v>
      </c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</row>
    <row r="391">
      <c r="A391" s="350" t="s">
        <v>2628</v>
      </c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</row>
    <row r="392">
      <c r="A392" s="350" t="s">
        <v>145</v>
      </c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</row>
    <row r="393">
      <c r="A393" s="350" t="s">
        <v>2629</v>
      </c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</row>
    <row r="394">
      <c r="A394" s="350" t="s">
        <v>2630</v>
      </c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</row>
    <row r="395">
      <c r="A395" s="350" t="s">
        <v>2631</v>
      </c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</row>
    <row r="396">
      <c r="A396" s="350" t="s">
        <v>2632</v>
      </c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</row>
    <row r="397">
      <c r="A397" s="350" t="s">
        <v>2633</v>
      </c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</row>
    <row r="398">
      <c r="A398" s="350" t="s">
        <v>2634</v>
      </c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</row>
  </sheetData>
  <drawing r:id="rId1"/>
</worksheet>
</file>