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Obras a definir" sheetId="1" r:id="rId5"/>
    <sheet state="visible" name="ACCIONES TERRITORIO" sheetId="2" r:id="rId6"/>
    <sheet state="visible" name="Desplegables" sheetId="3" r:id="rId7"/>
    <sheet state="visible" name="monto actualizado " sheetId="4" r:id="rId8"/>
    <sheet state="hidden" name="CONTROL LEGISLATURA 2026" sheetId="5" r:id="rId9"/>
    <sheet state="hidden" name="Hoja 13" sheetId="6" r:id="rId10"/>
    <sheet state="hidden" name="Hoja 17" sheetId="7" r:id="rId11"/>
    <sheet state="hidden" name="Inauguraciones" sheetId="8" r:id="rId12"/>
    <sheet state="hidden" name="MATRIZ (NO TOMAR)" sheetId="9" r:id="rId13"/>
    <sheet state="hidden" name="Hoja 11" sheetId="10" r:id="rId14"/>
    <sheet state="hidden" name="Anuncios" sheetId="11" r:id="rId15"/>
  </sheets>
  <definedNames>
    <definedName hidden="1" localSheetId="1" name="_xlnm._FilterDatabase">'ACCIONES TERRITORIO'!$A$1:$O$1077</definedName>
    <definedName hidden="1" localSheetId="2" name="_xlnm._FilterDatabase">Desplegables!$A$1:$AB$1002</definedName>
    <definedName hidden="1" localSheetId="8" name="_xlnm._FilterDatabase">'MATRIZ (NO TOMAR)'!$A$1:$AE$452</definedName>
    <definedName hidden="1" localSheetId="9" name="_xlnm._FilterDatabase">'Hoja 11'!$A$1:$I$428</definedName>
    <definedName hidden="1" localSheetId="0" name="Z_BF72E0F3_C1A8_49D3_8E83_BB80A4E9A325_.wvu.FilterData">'Obras a definir'!$A$1:$Z$12</definedName>
    <definedName hidden="1" localSheetId="1" name="Z_83E62C58_6A05_4224_80B2_328E67688E3A_.wvu.FilterData">'ACCIONES TERRITORIO'!$A$1:$O$1077</definedName>
    <definedName hidden="1" localSheetId="1" name="Z_BB33330B_4A76_4C90_A275_E9D224B27FBA_.wvu.FilterData">'ACCIONES TERRITORIO'!$A$1:$L$1077</definedName>
  </definedNames>
  <calcPr/>
  <customWorkbookViews>
    <customWorkbookView activeSheetId="0" maximized="1" windowHeight="0" windowWidth="0" guid="{BF72E0F3-C1A8-49D3-8E83-BB80A4E9A325}" name="Filtro 1"/>
    <customWorkbookView activeSheetId="0" maximized="1" windowHeight="0" windowWidth="0" guid="{83E62C58-6A05-4224-80B2-328E67688E3A}" name="Joa"/>
    <customWorkbookView activeSheetId="0" maximized="1" windowHeight="0" windowWidth="0" guid="{BB33330B-4A76-4C90-A275-E9D224B27FBA}" name="Pame"/>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Añadir información relevante. Ej: detalle de donde se realizó tal obra, si el proyecto está demorado, que evento se realizó,</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Insertar un ID (inventado) solo en el caso de obras que se repiten en varias localidades/departamentos y cuyo monto de inversión no se prorratea o divide entre las localidades. Repetir el ID tantas veces como la obra se repita en las localidades. </t>
      </text>
    </comment>
  </commentList>
</comments>
</file>

<file path=xl/sharedStrings.xml><?xml version="1.0" encoding="utf-8"?>
<sst xmlns="http://schemas.openxmlformats.org/spreadsheetml/2006/main" count="14242" uniqueCount="4164">
  <si>
    <t>Meta (PIT)</t>
  </si>
  <si>
    <t>Anuncio SI/NO</t>
  </si>
  <si>
    <t>Nro. Anuncio</t>
  </si>
  <si>
    <t>Fuente de la accion (si existiera)</t>
  </si>
  <si>
    <t>Fecha de inicio</t>
  </si>
  <si>
    <t>Fecha estimada de finalización</t>
  </si>
  <si>
    <t>Departamento</t>
  </si>
  <si>
    <t>Localidad</t>
  </si>
  <si>
    <t>Ministerio</t>
  </si>
  <si>
    <t>Área</t>
  </si>
  <si>
    <t>Tipo</t>
  </si>
  <si>
    <t>Acción</t>
  </si>
  <si>
    <t>Fecha</t>
  </si>
  <si>
    <t>Detalle de la acción</t>
  </si>
  <si>
    <t>Estado</t>
  </si>
  <si>
    <t>Monto Inversión $</t>
  </si>
  <si>
    <t>Cantidad (ayudas/créditos) (Si corresponde)</t>
  </si>
  <si>
    <t>Beneficiarios (personas/población)</t>
  </si>
  <si>
    <t>Comentarios</t>
  </si>
  <si>
    <t>PRIORIDAD</t>
  </si>
  <si>
    <t>SPIP</t>
  </si>
  <si>
    <t>REGIÓN</t>
  </si>
  <si>
    <t>ID_ACCION</t>
  </si>
  <si>
    <t>Monto Inversión solicitado</t>
  </si>
  <si>
    <t>Monto Inversión USD</t>
  </si>
  <si>
    <t>ALERTA_LOCALIDAD</t>
  </si>
  <si>
    <t>DEPTO_SUGERIDO</t>
  </si>
  <si>
    <t>No</t>
  </si>
  <si>
    <t>DEPARTAMENTO</t>
  </si>
  <si>
    <t>LOCALIDAD</t>
  </si>
  <si>
    <t>CRUCE DPTO</t>
  </si>
  <si>
    <t>GENERAL ROCA</t>
  </si>
  <si>
    <t>CALAMUCHITA</t>
  </si>
  <si>
    <t>BUSQUEDA DPTO</t>
  </si>
  <si>
    <t>AREA</t>
  </si>
  <si>
    <t>TIPO</t>
  </si>
  <si>
    <t>ESTADO</t>
  </si>
  <si>
    <t>JOVITA</t>
  </si>
  <si>
    <t>LA CRUZ</t>
  </si>
  <si>
    <t>CRUZ DEL EJE</t>
  </si>
  <si>
    <t>Monto al 10/06</t>
  </si>
  <si>
    <t>Cooperativas y mutuales</t>
  </si>
  <si>
    <t>Secretaría Gas</t>
  </si>
  <si>
    <t>INF Y SP - DPV</t>
  </si>
  <si>
    <t>Red de gas</t>
  </si>
  <si>
    <t xml:space="preserve">Segunda etapa red de gas </t>
  </si>
  <si>
    <t>ALTO DE LOS QUEBRACHOS</t>
  </si>
  <si>
    <t>CASISA</t>
  </si>
  <si>
    <t>Escuelas</t>
  </si>
  <si>
    <t>VIALIDAD</t>
  </si>
  <si>
    <t>PENDIENTE</t>
  </si>
  <si>
    <t>ACHIRAS</t>
  </si>
  <si>
    <t>SAN ALBERTO</t>
  </si>
  <si>
    <t>BAÑADO DE SOTO</t>
  </si>
  <si>
    <t>Obras Viales</t>
  </si>
  <si>
    <t>ARQUITECTURA</t>
  </si>
  <si>
    <t>Cumplido</t>
  </si>
  <si>
    <t>EN PROYECTO</t>
  </si>
  <si>
    <t>CAPITAL</t>
  </si>
  <si>
    <t>ADELIA MARIA</t>
  </si>
  <si>
    <t>PAVIMENTACION R.P. N° 10  - JOVITA - PINCEN</t>
  </si>
  <si>
    <t>ISCHILIN</t>
  </si>
  <si>
    <t>CRUZ DE CAÑA</t>
  </si>
  <si>
    <t>EPEC</t>
  </si>
  <si>
    <t>A LICITAR</t>
  </si>
  <si>
    <t>COLON</t>
  </si>
  <si>
    <t>Inaugurado</t>
  </si>
  <si>
    <t>AGUA DE ORO</t>
  </si>
  <si>
    <t>SEC. PLAN. ENERG.</t>
  </si>
  <si>
    <t>OK</t>
  </si>
  <si>
    <t>A EJECUTAR</t>
  </si>
  <si>
    <t>ALCIRA</t>
  </si>
  <si>
    <t>SOBREMONTE</t>
  </si>
  <si>
    <t>EL BRETE</t>
  </si>
  <si>
    <t>SIN CRÉDITO - SIN PROYECTO</t>
  </si>
  <si>
    <t>HYG</t>
  </si>
  <si>
    <t>EN LICITACIÓN</t>
  </si>
  <si>
    <t>ALDEA SANTA MARIA</t>
  </si>
  <si>
    <t>TOTORAL</t>
  </si>
  <si>
    <t>GUANACO MUERTO</t>
  </si>
  <si>
    <t>INF. ELÉCTRICA</t>
  </si>
  <si>
    <t>OBRA EN EJECUCION</t>
  </si>
  <si>
    <t>GENERAL SAN MARTIN</t>
  </si>
  <si>
    <t>ALEJANDRO ROCA</t>
  </si>
  <si>
    <t>RIO SECO</t>
  </si>
  <si>
    <t>LA BATEA</t>
  </si>
  <si>
    <t>FINALIZADA</t>
  </si>
  <si>
    <t>ALEJO LEDESMA</t>
  </si>
  <si>
    <t>PEDIDO 2 - PIT</t>
  </si>
  <si>
    <t>DPV-118</t>
  </si>
  <si>
    <t>POCHO</t>
  </si>
  <si>
    <t>LA HIGUERA</t>
  </si>
  <si>
    <t>SUR SUR</t>
  </si>
  <si>
    <t>EN PROCESO DE ADJUDICACIÓN</t>
  </si>
  <si>
    <t>JUÁREZ CELMAN</t>
  </si>
  <si>
    <t>ALICIA</t>
  </si>
  <si>
    <t>TULUMBA</t>
  </si>
  <si>
    <t>LAS CAÑADAS</t>
  </si>
  <si>
    <t>SUSPENDIDA</t>
  </si>
  <si>
    <t>MARCOS JUAREZ</t>
  </si>
  <si>
    <t>ALMAFUERTE</t>
  </si>
  <si>
    <t>MINAS</t>
  </si>
  <si>
    <t>LAS PLAYAS</t>
  </si>
  <si>
    <t>LOS REARTES</t>
  </si>
  <si>
    <t>A DEFINIR</t>
  </si>
  <si>
    <t>PINCEN</t>
  </si>
  <si>
    <t>ALPA CORRAL</t>
  </si>
  <si>
    <t>SAN JAVIER</t>
  </si>
  <si>
    <t>LOS CHAÑARITOS</t>
  </si>
  <si>
    <t>ADJUDICADA</t>
  </si>
  <si>
    <t>ALTA GRACIA</t>
  </si>
  <si>
    <t>PAVIMENTACIÓN PINCEN A LÍMITE CON LA PAMPA</t>
  </si>
  <si>
    <t>PRESIDENTE ROQUE SÁENZ PEÑA</t>
  </si>
  <si>
    <t>MEDIA NARANJA</t>
  </si>
  <si>
    <t>DESESTIMADA</t>
  </si>
  <si>
    <t>PRESIDENTE ROQUE SAENZ PEÑA</t>
  </si>
  <si>
    <t>ALTO ALEGRE</t>
  </si>
  <si>
    <t>RIO PRIMERO</t>
  </si>
  <si>
    <t>PASO VIEJO</t>
  </si>
  <si>
    <t>POSTERGADA A DEFINIR</t>
  </si>
  <si>
    <t>PUNILLA</t>
  </si>
  <si>
    <t>DPV-120</t>
  </si>
  <si>
    <t>MULTIDEPARTAMENTAL</t>
  </si>
  <si>
    <t>SAN MARCOS SIERRA</t>
  </si>
  <si>
    <t>VILLA AMANCAY</t>
  </si>
  <si>
    <t>RIO CUARTO</t>
  </si>
  <si>
    <t>ALTOS DE CHIPION</t>
  </si>
  <si>
    <t>Segunda etapa de red de gas</t>
  </si>
  <si>
    <t>RÍO PRIMERO / SOBREMONTE</t>
  </si>
  <si>
    <t>SERREZUELA</t>
  </si>
  <si>
    <t>VARIAS LOCALIDADES</t>
  </si>
  <si>
    <t>AMBOY</t>
  </si>
  <si>
    <t>TUCLAME</t>
  </si>
  <si>
    <t>AMBUL</t>
  </si>
  <si>
    <t>VILLA DE SOTO</t>
  </si>
  <si>
    <t>REHABILITACION RP N° 22 - Tramo: La Quinta / San Francisco del Chañar</t>
  </si>
  <si>
    <t>RIO SEGUNDO</t>
  </si>
  <si>
    <t>ANA ZUMARAN</t>
  </si>
  <si>
    <t>Tercer etapa en desarrollo de proyecto</t>
  </si>
  <si>
    <t>AVELLANEDA</t>
  </si>
  <si>
    <t>ISCHILÍN</t>
  </si>
  <si>
    <t>En ejecución</t>
  </si>
  <si>
    <t>ANISACATE</t>
  </si>
  <si>
    <t>PEDIDO - VER AUTORIZACIÓN</t>
  </si>
  <si>
    <t>Desarrollo de proyecto</t>
  </si>
  <si>
    <t>VIAL A VER</t>
  </si>
  <si>
    <t>CAÑADA DE RÍO PINTO</t>
  </si>
  <si>
    <t>NOROESTE</t>
  </si>
  <si>
    <t>ARIAS</t>
  </si>
  <si>
    <t>CHUÑA</t>
  </si>
  <si>
    <t>SAN JUSTO</t>
  </si>
  <si>
    <t>LA CUMBRECITA</t>
  </si>
  <si>
    <t>ARROYITO</t>
  </si>
  <si>
    <t>COPACABANA</t>
  </si>
  <si>
    <t>SANTA MARIA</t>
  </si>
  <si>
    <t>Primera etapa en Villa Berna inaugurada</t>
  </si>
  <si>
    <t>ARROYO ALGODON</t>
  </si>
  <si>
    <t>DEÁN FUNES</t>
  </si>
  <si>
    <t>REHABILITACION RP N° E-94 - Tramo: RN N°9 (Rayo Cortado) / La Quinta</t>
  </si>
  <si>
    <t>ARROYO CABRAL</t>
  </si>
  <si>
    <t>LOS POZOS</t>
  </si>
  <si>
    <t>TERCERO ARRIBA</t>
  </si>
  <si>
    <t>ARROYO LOS PATOS</t>
  </si>
  <si>
    <t>VILLA CIUDAD PARQUE LOS REARTES</t>
  </si>
  <si>
    <t>OLIVARES DE SAN NICOLÁS</t>
  </si>
  <si>
    <t>ASSUNTA</t>
  </si>
  <si>
    <t>Segunda etapa red de gas en ejecucion</t>
  </si>
  <si>
    <t>QUILINO</t>
  </si>
  <si>
    <t>ATAHONA</t>
  </si>
  <si>
    <t>REHABILITACION RP N° 21 - Tramo: RN N°9 Norte / Sebastián Elcano (RP N°32)</t>
  </si>
  <si>
    <t>VILLA GUTIÉRREZ</t>
  </si>
  <si>
    <t>UNION</t>
  </si>
  <si>
    <t>AUSONIA</t>
  </si>
  <si>
    <t>CIÉNAGA DEL CORO</t>
  </si>
  <si>
    <t>PROVINCIA</t>
  </si>
  <si>
    <t>EL CHACHO</t>
  </si>
  <si>
    <t>BALLESTEROS</t>
  </si>
  <si>
    <t>ESTANCIA DE GUADALUPE</t>
  </si>
  <si>
    <t>BALLESTEROS SUD</t>
  </si>
  <si>
    <t>VILLA GENERAL BELGRANO</t>
  </si>
  <si>
    <t>GUASAPAMPA</t>
  </si>
  <si>
    <t>REHABILITACION RP N° 15 - Tramo: San Carlos Minas - Villa Cura Brochero + sobrepasos RP 34</t>
  </si>
  <si>
    <t>BALNEARIA</t>
  </si>
  <si>
    <t>Primera y segunda etapa red de gas inauguradas</t>
  </si>
  <si>
    <t>LA PLAYA</t>
  </si>
  <si>
    <t>Tercera etapa de red de gas con expediente en proceso</t>
  </si>
  <si>
    <t>SAN CARLOS MINAS</t>
  </si>
  <si>
    <t>Pendiente</t>
  </si>
  <si>
    <t>BELL VILLE</t>
  </si>
  <si>
    <t>Expediente en proceso</t>
  </si>
  <si>
    <t>PAVIMENTACIÓN RP N° 21 - Desde Quilino hasta San Pedro Norte (Para vincular RN N° 9 con RN N° 60)</t>
  </si>
  <si>
    <t>TALAINI</t>
  </si>
  <si>
    <t>BENGOLEA</t>
  </si>
  <si>
    <t>TOSNO</t>
  </si>
  <si>
    <t>BENJAMIN GOULD</t>
  </si>
  <si>
    <t>CHANCANÍ</t>
  </si>
  <si>
    <t>BERROTARAN</t>
  </si>
  <si>
    <t>COLÓN / PUNILLA</t>
  </si>
  <si>
    <t>LAS PALMAS</t>
  </si>
  <si>
    <t xml:space="preserve">Cuenta con la red interna de tres establecimientos educativos </t>
  </si>
  <si>
    <t>BIALET MASSE</t>
  </si>
  <si>
    <t>CENMA 211, Anexo La Cruz
Colegio Secundario Dr Dalmacio V. Sarsfield
 Jardín de infantes Domingo Faustino Sarmiento, LA CRUZ</t>
  </si>
  <si>
    <t>LOS TALARES</t>
  </si>
  <si>
    <t>BOUWER</t>
  </si>
  <si>
    <t>PAVIMENTACIÓN RP N° 17 (Ongamira) - Desde Sarmiento hasta Charbonier (Para vincular RN N° 38 con RN N° 60) (IMPACTO EN EL NOROESTE-VIAL)</t>
  </si>
  <si>
    <t>SALSACATE</t>
  </si>
  <si>
    <t>BRINKMANN</t>
  </si>
  <si>
    <t>SAN GERONIMO</t>
  </si>
  <si>
    <t>BUCHARDO</t>
  </si>
  <si>
    <t>TALA CAÑADA</t>
  </si>
  <si>
    <t>BULNES</t>
  </si>
  <si>
    <t>VILLA DE POCHO</t>
  </si>
  <si>
    <t>CABALANGO</t>
  </si>
  <si>
    <t>Primera etapa de red de gas en ejecucion</t>
  </si>
  <si>
    <t>CERRO COLORADO</t>
  </si>
  <si>
    <t>RÍO SECO</t>
  </si>
  <si>
    <t>CALCHIN</t>
  </si>
  <si>
    <t>PAVIMENTACIÓN RP E-66 - Desde Ascochinga hasta La Cumbre (IMPACTO EN EL NOROESTE-VIAL)</t>
  </si>
  <si>
    <t>CHAÑAR VIEJO</t>
  </si>
  <si>
    <t>CALCHIN OESTE</t>
  </si>
  <si>
    <t>EUFRACIO LOZA</t>
  </si>
  <si>
    <t>CALMAYO</t>
  </si>
  <si>
    <t>GUTEMBERG</t>
  </si>
  <si>
    <t>CAMILO ALDAO</t>
  </si>
  <si>
    <t>LA RINCONADA</t>
  </si>
  <si>
    <t>CAMINIAGA</t>
  </si>
  <si>
    <t>LOS HOYOS</t>
  </si>
  <si>
    <t>CANALS</t>
  </si>
  <si>
    <t>Cuenta con la red interna de un establecimiento educativo inaugurado</t>
  </si>
  <si>
    <t>PAVIMENTACIÓN DE CAMINO S130 - Desde Los Mistoles hasta Cañada de Luque (Para vincular RP N° 17 con RN N° 9 Norte)</t>
  </si>
  <si>
    <t>PUESTO DE CASTRO</t>
  </si>
  <si>
    <t xml:space="preserve">Escuela Primaria Victor Mercante
</t>
  </si>
  <si>
    <t>CANDELARIA SUD</t>
  </si>
  <si>
    <t>RAYO CORTADO</t>
  </si>
  <si>
    <t>CAÑADA DE LUQUE</t>
  </si>
  <si>
    <t>SANTA ELENA</t>
  </si>
  <si>
    <t>CAÑADA DE MACHADO</t>
  </si>
  <si>
    <t>SEBASTIÁN ELCANO</t>
  </si>
  <si>
    <t>CAÑADA DE RIO PINTO</t>
  </si>
  <si>
    <t>Cuenta con la red interna de dos establecimientos educativos habilitados</t>
  </si>
  <si>
    <t xml:space="preserve">
IPEM 387 Sotero Eugenio Bartolomé INAUGURADO
Jardín Victor Mercante</t>
  </si>
  <si>
    <t>VILLA CANDELARIA NORTE</t>
  </si>
  <si>
    <t>CAÑADA DEL SAUCE</t>
  </si>
  <si>
    <t>PAVIMENTACIÓN NUEVA RUTA ENTRE CAÑADA DE LUQUE Y ESTACIÓN GENERAL PAZ</t>
  </si>
  <si>
    <t>Por Inaugurar</t>
  </si>
  <si>
    <t>VILLA DE MARÍA</t>
  </si>
  <si>
    <t>CAPILLA DE LOS REMEDIOS</t>
  </si>
  <si>
    <t>ESTACION GENERAL PAZ</t>
  </si>
  <si>
    <t>CAPILLA DEL CARMEN</t>
  </si>
  <si>
    <t>Cuenta con la red interna de un establecimiento educativo obra fisica finalizada</t>
  </si>
  <si>
    <t>CAPILLA DEL MONTE</t>
  </si>
  <si>
    <t>IPET Nº 85 República de Italia (Nuevo Edificio)</t>
  </si>
  <si>
    <t>LAS CALLES</t>
  </si>
  <si>
    <t>Obra fisica finalizada</t>
  </si>
  <si>
    <t>CAPILLA DEL SITON</t>
  </si>
  <si>
    <t>LAS RABONAS</t>
  </si>
  <si>
    <t>CAPITAN GENERAL BERNARDO O HIGGINS</t>
  </si>
  <si>
    <t>MINA CLAVERO</t>
  </si>
  <si>
    <t>CARNERILLO</t>
  </si>
  <si>
    <t>NONO</t>
  </si>
  <si>
    <t>CARRILOBO</t>
  </si>
  <si>
    <t>PANAHOLMA</t>
  </si>
  <si>
    <t>CASA GRANDE</t>
  </si>
  <si>
    <t>SAN LORENZO</t>
  </si>
  <si>
    <t>CAVANAGH</t>
  </si>
  <si>
    <t>MENDIOLAZA</t>
  </si>
  <si>
    <t>SAN PEDRO</t>
  </si>
  <si>
    <t>Localidad con gas previo, ampliacion II en proceso de habilitación</t>
  </si>
  <si>
    <t>SAN VICENTE</t>
  </si>
  <si>
    <t>CHAJAN</t>
  </si>
  <si>
    <t>PRESIDENTE ROQUE SÁENZ PEÑA - GENERAL ROCA</t>
  </si>
  <si>
    <t>En proceso de habilitación</t>
  </si>
  <si>
    <t>SAUCE ARRIBA</t>
  </si>
  <si>
    <t>JOVITA - SERRANO</t>
  </si>
  <si>
    <t>Infraestructura</t>
  </si>
  <si>
    <t>CHALACEA</t>
  </si>
  <si>
    <t>VILLA CURA BROCHERO</t>
  </si>
  <si>
    <t>SALDAN</t>
  </si>
  <si>
    <t>CHANCANI</t>
  </si>
  <si>
    <t>VILLA SARMIENTO (S. A.)</t>
  </si>
  <si>
    <t>Localidad con gas previo, segunda ampliacion habilitada</t>
  </si>
  <si>
    <t>REHABILITACIÓN RUTA PROVINCIAL Nº 4 - TRAMO: SERRANO - BUCHARDO Y REHABILITACIÓN RUTA PROVINCIAL Nº 27 - TRAMO: SERRANO - JOVITA.</t>
  </si>
  <si>
    <t>CONLARA</t>
  </si>
  <si>
    <t>Por inaugurar</t>
  </si>
  <si>
    <t>CHARBONIER</t>
  </si>
  <si>
    <t>LA PAZ</t>
  </si>
  <si>
    <t>CHARRAS</t>
  </si>
  <si>
    <t>LA POBLACIÓN</t>
  </si>
  <si>
    <t>SALSIPUEDES</t>
  </si>
  <si>
    <t>CHAZON</t>
  </si>
  <si>
    <t>LAS TAPIAS</t>
  </si>
  <si>
    <t>Cuenta con la red interna de un establecimiento educativo habilitada</t>
  </si>
  <si>
    <t>CHILIBROSTE</t>
  </si>
  <si>
    <t>Nivel Inicial Jordán Maldonado</t>
  </si>
  <si>
    <t>OBRAS CON PRESUPUESTO</t>
  </si>
  <si>
    <t>LOS CERRILLOS</t>
  </si>
  <si>
    <t>CHUCUL</t>
  </si>
  <si>
    <t>LOS HORNILLOS</t>
  </si>
  <si>
    <t>REHABILITACION</t>
  </si>
  <si>
    <t>LUYABA</t>
  </si>
  <si>
    <t>LA GRANJA</t>
  </si>
  <si>
    <t>CHUÑA HUASI</t>
  </si>
  <si>
    <t>SAN JAVIER Y YACANTO</t>
  </si>
  <si>
    <t>Red interna de cuatro establecimientos educativos en desarrollo de proyecto</t>
  </si>
  <si>
    <t>CHURQUI CAÑADA</t>
  </si>
  <si>
    <t>Jardín de Infantes Dr. Pablo Rueda
Centro Educativo Primario Dr. Pablo Rueda
Establecimiento Educativo Primario Alberto R. Macías
IPEA N° 213 Agustín Tosco</t>
  </si>
  <si>
    <t>SAN JOSÉ</t>
  </si>
  <si>
    <t>CIENAGA DEL CORO</t>
  </si>
  <si>
    <t>VILLA DE LAS ROSAS</t>
  </si>
  <si>
    <t>CINTRA</t>
  </si>
  <si>
    <t>VILLA DOLORES</t>
  </si>
  <si>
    <t>MI GRANJA</t>
  </si>
  <si>
    <t>COLAZO</t>
  </si>
  <si>
    <t>Red interna de un establecimiento educativo en ejecucion</t>
  </si>
  <si>
    <t>Establecimiento Educativo IPEM N° 396</t>
  </si>
  <si>
    <t>COLONIA ALMADA</t>
  </si>
  <si>
    <t>COLONIA ANITA</t>
  </si>
  <si>
    <t>POZO NUEVO</t>
  </si>
  <si>
    <t>COLONIA BARGE</t>
  </si>
  <si>
    <t>MALVINAS ARGENTINAS</t>
  </si>
  <si>
    <t>SAN FRANCISCO DEL CHAÑAR</t>
  </si>
  <si>
    <t>COLONIA BISMARCK</t>
  </si>
  <si>
    <t>Jardín de Infantes 'Ciudad de Malvinas Argentinas'
Establecimiento Educativo Primario 'Ciudad de Malvinas Argentinas'
Establecimiento Educativo IPEM N° 24 Malvinas Argentinas
Establecimiento Educativo IPET 378 Malvinas Argentinas</t>
  </si>
  <si>
    <t>COLONIA BREMEN</t>
  </si>
  <si>
    <t>COLONIA CAROYA</t>
  </si>
  <si>
    <t>CAPILLA DE SITON</t>
  </si>
  <si>
    <t>COLONIA ITALIANA</t>
  </si>
  <si>
    <t>LA PAMPA</t>
  </si>
  <si>
    <t>COLONIA ITURRASPE</t>
  </si>
  <si>
    <t>LAS PEÑAS</t>
  </si>
  <si>
    <t>COLONIA LAS CUATRO ESQUINAS</t>
  </si>
  <si>
    <t>LOS MISTOLES</t>
  </si>
  <si>
    <t>LA CALERA</t>
  </si>
  <si>
    <t>COLONIA LAS PICHANAS</t>
  </si>
  <si>
    <t>NO</t>
  </si>
  <si>
    <t>SARMIENTO</t>
  </si>
  <si>
    <t>COLONIA MARINA</t>
  </si>
  <si>
    <t>CHEQUEAR</t>
  </si>
  <si>
    <t xml:space="preserve">Segunda ampliacion de red con expediente en proceso </t>
  </si>
  <si>
    <t>SIMBOLAR</t>
  </si>
  <si>
    <t>COLONIA PROSPERIDAD</t>
  </si>
  <si>
    <t>SINSACATE</t>
  </si>
  <si>
    <t>COLONIA SAN BARTOLOME</t>
  </si>
  <si>
    <t>VILLA DEL TOTORAL</t>
  </si>
  <si>
    <t>COLONIA SAN PEDRO</t>
  </si>
  <si>
    <t>COLONIA TIROLESA</t>
  </si>
  <si>
    <t>EL RODEO</t>
  </si>
  <si>
    <t>COLONIA VALTELINA</t>
  </si>
  <si>
    <t xml:space="preserve">Cuenta con la red interna de cuatro establecimientos educativos inaugurados </t>
  </si>
  <si>
    <t>Escuela Especial Estacion General paz 
IPET Nº 85 República de Italia
Escuela primaria José María Paz
Jardín de infantes José María Paz</t>
  </si>
  <si>
    <t>LAS ARRIAS</t>
  </si>
  <si>
    <t>COLONIA VICENTE AGUERO</t>
  </si>
  <si>
    <t>LUCIO VICTORIO MANSILLA</t>
  </si>
  <si>
    <t>Cuenta con la red interna de dos establecimientos educativos inaugurados</t>
  </si>
  <si>
    <t>COLONIA VIDELA</t>
  </si>
  <si>
    <t>Nivel inicial La Reconquista
Nivel Primario La Reconquista</t>
  </si>
  <si>
    <t>SAN JOSÉ DE LA DORMIDA</t>
  </si>
  <si>
    <t>COLONIA VIGNAUD</t>
  </si>
  <si>
    <t>SAN JOSÉ DE LAS SALINAS</t>
  </si>
  <si>
    <t>COMECHINGONES</t>
  </si>
  <si>
    <t>SAN PEDRO NORTE</t>
  </si>
  <si>
    <t>VILLA TULUMBA</t>
  </si>
  <si>
    <t>Primario Jordán Maldonado</t>
  </si>
  <si>
    <t>CORDOBA</t>
  </si>
  <si>
    <t>DEL CAMPILLO</t>
  </si>
  <si>
    <t>CORONEL BAIGORRIA</t>
  </si>
  <si>
    <t>HUINCA RENANCO</t>
  </si>
  <si>
    <t>CORONEL MOLDES</t>
  </si>
  <si>
    <t>ITALO</t>
  </si>
  <si>
    <t>Redes internas de dos instituciones educativas, IPEM 253 en ejecucion, IPEA 211 exp en proceso</t>
  </si>
  <si>
    <t>CORRAL DE BUSTOS</t>
  </si>
  <si>
    <t>IPEM 253 Juan Domingo Perón
IPEA 211</t>
  </si>
  <si>
    <t>CORRALITO</t>
  </si>
  <si>
    <t>MATTALDI</t>
  </si>
  <si>
    <t>COSQUIN</t>
  </si>
  <si>
    <t>NICOLÁS BRUZZONE</t>
  </si>
  <si>
    <t>COSTA SACATE</t>
  </si>
  <si>
    <t>ONAGOITY</t>
  </si>
  <si>
    <t>CRUZ ALTA</t>
  </si>
  <si>
    <t>PINCÉN</t>
  </si>
  <si>
    <t>RANQUELES</t>
  </si>
  <si>
    <t>Segunda etapa de red de gas habilitada</t>
  </si>
  <si>
    <t>VILLA HUIDOBRO</t>
  </si>
  <si>
    <t>CUESTA BLANCA</t>
  </si>
  <si>
    <t>VILLA SARMIENTO (G. R.)</t>
  </si>
  <si>
    <t>DALMACIO VELEZ</t>
  </si>
  <si>
    <t>VILLA VALERIA</t>
  </si>
  <si>
    <t>DEAN FUNES</t>
  </si>
  <si>
    <t>GENERAL LEVALLE</t>
  </si>
  <si>
    <t>LA CESIRA</t>
  </si>
  <si>
    <t>DESPEÑADEROS</t>
  </si>
  <si>
    <t>LABOULAYE</t>
  </si>
  <si>
    <t>DEVOTO</t>
  </si>
  <si>
    <t>LEGUIZAMON</t>
  </si>
  <si>
    <t>DIEGO DE ROJAS</t>
  </si>
  <si>
    <t>Red interna de un establecimiento educativo habilitada</t>
  </si>
  <si>
    <t>MELO</t>
  </si>
  <si>
    <t>Escuela Rural Dean Gregorio Funes</t>
  </si>
  <si>
    <t>DIQUE CHICO</t>
  </si>
  <si>
    <t>RÍO BAMBA</t>
  </si>
  <si>
    <t>EL ARAÑADO</t>
  </si>
  <si>
    <t>ROSALES</t>
  </si>
  <si>
    <t>SAN JOAQUÍN</t>
  </si>
  <si>
    <t>SERRANO</t>
  </si>
  <si>
    <t>EL CRISPIN</t>
  </si>
  <si>
    <t>VILLA ROSSI</t>
  </si>
  <si>
    <t>EL FORTIN</t>
  </si>
  <si>
    <t>LA PARA</t>
  </si>
  <si>
    <t>RÍO PRIMERO</t>
  </si>
  <si>
    <t>EL MANZANO</t>
  </si>
  <si>
    <t>LA PUERTA</t>
  </si>
  <si>
    <t>Red interna de dos establecimientos educativos, una en desarrollo de proyecto y uan en ejecucion</t>
  </si>
  <si>
    <t>EL RASTREADOR</t>
  </si>
  <si>
    <t>Centro educativo José María Paz
I.P.E.A Y M. N° 219 Enrique Cook</t>
  </si>
  <si>
    <t>LA POSTA</t>
  </si>
  <si>
    <t>EL TIO</t>
  </si>
  <si>
    <t>OBISPO TREJO</t>
  </si>
  <si>
    <t>ELENA</t>
  </si>
  <si>
    <t>VILLA FONTANA</t>
  </si>
  <si>
    <t>EMBALSE</t>
  </si>
  <si>
    <t>ESQUINA</t>
  </si>
  <si>
    <t>Tercera etapa de red de gas obra fisica terminada</t>
  </si>
  <si>
    <t>EL CRISPÍN</t>
  </si>
  <si>
    <t>ESTACION JUAREZ CELMAN</t>
  </si>
  <si>
    <t>POZO DEL MORO</t>
  </si>
  <si>
    <t>LAS PALMITAS</t>
  </si>
  <si>
    <t>ESTANCIA VIEJA</t>
  </si>
  <si>
    <t>PLAZA DE MERCEDES</t>
  </si>
  <si>
    <t>ETRURIA</t>
  </si>
  <si>
    <t>MONTE DEL ROSARIO</t>
  </si>
  <si>
    <t>COLONIA EL TOSTADO</t>
  </si>
  <si>
    <t>Red interna de dos establecimientos educativos habilitados</t>
  </si>
  <si>
    <t>FALDA DEL CARMEN</t>
  </si>
  <si>
    <t>MAQUINISTA GALLINI</t>
  </si>
  <si>
    <t>Jardín Merceditas de San Martín
Escuela Paso de los Andes</t>
  </si>
  <si>
    <t>FREYRE</t>
  </si>
  <si>
    <t>LAS SALADAS</t>
  </si>
  <si>
    <t>GENERAL BALDISSERA</t>
  </si>
  <si>
    <t>TRES ARBOLES</t>
  </si>
  <si>
    <t>GENERAL CABRERA</t>
  </si>
  <si>
    <t>TANINGA</t>
  </si>
  <si>
    <t>GENERAL DEHEZA</t>
  </si>
  <si>
    <t>GENERAL FOTHERINGHAM</t>
  </si>
  <si>
    <t>VARIAS</t>
  </si>
  <si>
    <t>SAN JOAQUIN</t>
  </si>
  <si>
    <t>ROQUE SAENZ PEÑA</t>
  </si>
  <si>
    <t>Un establecimiento educativo obra fisica finalizada</t>
  </si>
  <si>
    <t>Escuela Especial Anexo Ana Nicola</t>
  </si>
  <si>
    <t>VILLA LA VIÑA</t>
  </si>
  <si>
    <t>GUATIMOZIN</t>
  </si>
  <si>
    <t>MOGOTES ASPEROS</t>
  </si>
  <si>
    <t>OJO DE AGUA</t>
  </si>
  <si>
    <t>HERNANDO</t>
  </si>
  <si>
    <t>LA TOMA</t>
  </si>
  <si>
    <t>HUANCHILLA</t>
  </si>
  <si>
    <t>ROSARIO DE SALADILLO</t>
  </si>
  <si>
    <t>HUERTA GRANDE</t>
  </si>
  <si>
    <t>VILLA MARIA DE RIO SECO</t>
  </si>
  <si>
    <t>RUMI HUASI</t>
  </si>
  <si>
    <t>IDIAZABAL</t>
  </si>
  <si>
    <t>Primera etapa de red de gas</t>
  </si>
  <si>
    <t>CANTERAS QUILPO</t>
  </si>
  <si>
    <t>IMPIRA</t>
  </si>
  <si>
    <t>EL RINCÓN</t>
  </si>
  <si>
    <t>INRIVILLE</t>
  </si>
  <si>
    <t>LA BANDA</t>
  </si>
  <si>
    <t>ISLA VERDE</t>
  </si>
  <si>
    <t>ESQUINA DEL ALAMBRE</t>
  </si>
  <si>
    <t>SAN PEDRO DE TOYOS</t>
  </si>
  <si>
    <t>JAMES CRAIK</t>
  </si>
  <si>
    <t>VILLA QUILINO</t>
  </si>
  <si>
    <t>JESUS MARIA</t>
  </si>
  <si>
    <t>NICOLAS BRUZONE</t>
  </si>
  <si>
    <t>EUFRASIO LOZA</t>
  </si>
  <si>
    <t>SAN PEDRO DE GÜTEMBERG</t>
  </si>
  <si>
    <t>JUSTINIANO POSSE</t>
  </si>
  <si>
    <t>EL HUAYCO</t>
  </si>
  <si>
    <t>KILOMETRO 658</t>
  </si>
  <si>
    <t>LA CORTADERA</t>
  </si>
  <si>
    <t>LOS CALLEJONES</t>
  </si>
  <si>
    <t>SAN HUBERTO</t>
  </si>
  <si>
    <t>LA CARLOTA</t>
  </si>
  <si>
    <t>SAN MARTÍN</t>
  </si>
  <si>
    <t>LA CAROLINA EL POTOSI</t>
  </si>
  <si>
    <t>TASMA</t>
  </si>
  <si>
    <t>LA CAUTIVA</t>
  </si>
  <si>
    <t>VILLA SARMIENTO</t>
  </si>
  <si>
    <t>CRUZ CAÑA</t>
  </si>
  <si>
    <t>EL PANTANILLO</t>
  </si>
  <si>
    <t>LA CUMBRE</t>
  </si>
  <si>
    <t>LA RAMADA</t>
  </si>
  <si>
    <t>LA TRAVESÍA</t>
  </si>
  <si>
    <t>LA FALDA</t>
  </si>
  <si>
    <t>LOS MOLLES</t>
  </si>
  <si>
    <t>LA FRANCIA</t>
  </si>
  <si>
    <t>LOS ROMEROS</t>
  </si>
  <si>
    <t>QUEBRADA DE LOS POZOS</t>
  </si>
  <si>
    <t>CANDELARIA SUR</t>
  </si>
  <si>
    <t>LA LAGUNA</t>
  </si>
  <si>
    <t>SANTA CATALINA</t>
  </si>
  <si>
    <t>LA PAISANITA</t>
  </si>
  <si>
    <t>EL TUSCAL</t>
  </si>
  <si>
    <t>LA PALESTINA</t>
  </si>
  <si>
    <t>LUCIO V. MANSILLA</t>
  </si>
  <si>
    <t>ESTACIÓN LECUEDER</t>
  </si>
  <si>
    <t>LA PAQUITA</t>
  </si>
  <si>
    <t>SANTA MAGDALENA</t>
  </si>
  <si>
    <t>DOS ARROYOS</t>
  </si>
  <si>
    <t>LAS OSCURAS</t>
  </si>
  <si>
    <t>MUSSI</t>
  </si>
  <si>
    <t>LA PLAYOSA</t>
  </si>
  <si>
    <t>LA POBLACION</t>
  </si>
  <si>
    <t>Segunda etapa de red de gas obra fisica finalizada</t>
  </si>
  <si>
    <t>LA QUINTA</t>
  </si>
  <si>
    <t>LA RANCHERITA</t>
  </si>
  <si>
    <t>LA SERRANITA</t>
  </si>
  <si>
    <t>LA TORDILLA</t>
  </si>
  <si>
    <t>LABORDE</t>
  </si>
  <si>
    <t>LAGUNA LARGA</t>
  </si>
  <si>
    <t>LAS ACEQUIAS</t>
  </si>
  <si>
    <t>Primera ampliacion de red en ejecucion</t>
  </si>
  <si>
    <t>LAS ALBAHACAS</t>
  </si>
  <si>
    <t>LAS BAJADAS</t>
  </si>
  <si>
    <t>LAS CALERAS DE CALAMUCHITA</t>
  </si>
  <si>
    <t>Tres establecimientos educativos inaugurados</t>
  </si>
  <si>
    <t>IPEM 274 General Lucio V. Mansilla
Establec. educativo Domingo Faustino Sarmiento
IPEM 141 Dr. Dalmacio Vélez Sarsfield</t>
  </si>
  <si>
    <t>LAS GRAMILLAS</t>
  </si>
  <si>
    <t>LAS HIGUERAS</t>
  </si>
  <si>
    <t>LAS ISLETILLAS</t>
  </si>
  <si>
    <t>LAS JUNTURAS</t>
  </si>
  <si>
    <t>Red interna de dos establecimientos educativos</t>
  </si>
  <si>
    <t>Jardin de Infantes - Arturo Humberto Illia
Centro Educativo - Juan Jose Paso</t>
  </si>
  <si>
    <t>LAS PEÑAS SUD</t>
  </si>
  <si>
    <t>LAS PERDICES</t>
  </si>
  <si>
    <t>LAS VARAS</t>
  </si>
  <si>
    <t>LAS VARILLAS</t>
  </si>
  <si>
    <t>LAS VERTIENTES</t>
  </si>
  <si>
    <t xml:space="preserve">Red interna de un establecimiento educativo </t>
  </si>
  <si>
    <t>Centro educativo "PROFESOR VICTOR MERCANTE"</t>
  </si>
  <si>
    <t>LEONES</t>
  </si>
  <si>
    <t>LOS CEDROS</t>
  </si>
  <si>
    <t>LOS CHAÑARITOS (C. D. E.)</t>
  </si>
  <si>
    <t>LOS CISNES</t>
  </si>
  <si>
    <t>LOS COCOS</t>
  </si>
  <si>
    <t>LOS CONDORES</t>
  </si>
  <si>
    <t>Dos establecimientos educativos con redes internas</t>
  </si>
  <si>
    <t>Jardin de Infantes  y Primaria- Ingeniero Alfredo Ebelot
Centro Educativo - Ingeniero Alfredo Ebelot</t>
  </si>
  <si>
    <t>LOS MOLINOS</t>
  </si>
  <si>
    <t>LOS SURGENTES</t>
  </si>
  <si>
    <t>Centro Educativo Narciso Laprida</t>
  </si>
  <si>
    <t>LOS ZORROS</t>
  </si>
  <si>
    <t>LOZADA</t>
  </si>
  <si>
    <t>LUCA</t>
  </si>
  <si>
    <t>LUQUE</t>
  </si>
  <si>
    <t>LUTTI</t>
  </si>
  <si>
    <t>MALAGUEÑO</t>
  </si>
  <si>
    <t>MALENA</t>
  </si>
  <si>
    <t>MANFREDI</t>
  </si>
  <si>
    <t>Red interna de establecimiento educativo obra fisica finalizada</t>
  </si>
  <si>
    <t>IPEM 401 Int. Alejandro Cativelli</t>
  </si>
  <si>
    <t>MARULL</t>
  </si>
  <si>
    <t>MATORRALES</t>
  </si>
  <si>
    <t>MAYU SUMAJ</t>
  </si>
  <si>
    <t>Segunda etapa red de gas habilitada</t>
  </si>
  <si>
    <t>MIRAMAR DE ANSENUZA</t>
  </si>
  <si>
    <t>MONTE BUEY</t>
  </si>
  <si>
    <t>MONTE CRISTO</t>
  </si>
  <si>
    <t>Primera ampliacion de red en desarrollo de proyecto</t>
  </si>
  <si>
    <t>MONTE DE LOS GAUCHOS</t>
  </si>
  <si>
    <t>MONTE LEÑA</t>
  </si>
  <si>
    <t>MONTE MAIZ</t>
  </si>
  <si>
    <t>MONTE RALO</t>
  </si>
  <si>
    <t>MORRISON</t>
  </si>
  <si>
    <t>MORTEROS</t>
  </si>
  <si>
    <t>Segunda ampliacion de red en ejecucion</t>
  </si>
  <si>
    <t>NOETINGER</t>
  </si>
  <si>
    <t>SILVIO PELLICO</t>
  </si>
  <si>
    <t>OLAETA</t>
  </si>
  <si>
    <t>Cuarta etapa de red de gas con expediente en proceso</t>
  </si>
  <si>
    <t>OLIVA</t>
  </si>
  <si>
    <t>OLIVARES DE SAN NICOLAS</t>
  </si>
  <si>
    <t>ONCATIVO</t>
  </si>
  <si>
    <t>ORDOÑEZ</t>
  </si>
  <si>
    <t>PACHECO DE MELO</t>
  </si>
  <si>
    <t>PAMPAYASTA NORTE</t>
  </si>
  <si>
    <t>PAMPAYASTA SUD</t>
  </si>
  <si>
    <t>PASCANAS</t>
  </si>
  <si>
    <t>PASCO</t>
  </si>
  <si>
    <t>Jardín de Infantes Fray Mamerto Esquiu
Fray Mamerto Esquiu</t>
  </si>
  <si>
    <t>PASO DEL DURAZNO</t>
  </si>
  <si>
    <t>PILAR</t>
  </si>
  <si>
    <t>PIQUILLIN</t>
  </si>
  <si>
    <t>Localidad con gas previo, segunda ampliación de red de gas obra fisica finalizada</t>
  </si>
  <si>
    <t>PLAZA LUXARDO</t>
  </si>
  <si>
    <t>PORTEÑA</t>
  </si>
  <si>
    <t>POTRERO DE GARAY</t>
  </si>
  <si>
    <t>POZO DEL MOLLE</t>
  </si>
  <si>
    <t>PUEBLO ITALIANO</t>
  </si>
  <si>
    <t>Centro Educativo Manuel Belgrano</t>
  </si>
  <si>
    <t>PUNTA DEL AGUA</t>
  </si>
  <si>
    <t>QUEBRACHO HERRADO</t>
  </si>
  <si>
    <t>RAFAEL GARCIA</t>
  </si>
  <si>
    <t>Centro Educativo de Nivel Inicial Manuel Belgrano</t>
  </si>
  <si>
    <t>REDUCCION</t>
  </si>
  <si>
    <t>RINCON</t>
  </si>
  <si>
    <t>RIO BAMBA</t>
  </si>
  <si>
    <t>Red interna de tres establecimientos educativos con expediente en proceso</t>
  </si>
  <si>
    <t>Centro Educativo Provincia de Buenos Aires
Centro Educativo Dalmacio Vélez Sarsfield
Instituto Privado de Enseñanza Quilino (IPEQ)</t>
  </si>
  <si>
    <t>RIO CEBALLOS</t>
  </si>
  <si>
    <t>RIO DE LOS SAUCES</t>
  </si>
  <si>
    <t>RIO TERCERO</t>
  </si>
  <si>
    <t>Instituto de Enseñanza Privada Quilino (IPEQ)</t>
  </si>
  <si>
    <t>ROSARIO DEL SALADILLO</t>
  </si>
  <si>
    <t>SACANTA</t>
  </si>
  <si>
    <t>VILLA GUTIERREZ</t>
  </si>
  <si>
    <t>SAGRADA FAMILIA</t>
  </si>
  <si>
    <t>SAIRA</t>
  </si>
  <si>
    <t>Dos establecimientos educativos inaugurados</t>
  </si>
  <si>
    <t>Nivel inicial Margarita Martinez de Suárez
Esc. Primaria Margarita Martinez de Suárez y esc. Secundaria IPEM 340 Horacio Goñi Fierro - Anexo Villa gutierrez</t>
  </si>
  <si>
    <t>SALADILLO</t>
  </si>
  <si>
    <t>SAMPACHO</t>
  </si>
  <si>
    <t>Tercera etapa red de gas inaugurada</t>
  </si>
  <si>
    <t>SAN AGUSTIN</t>
  </si>
  <si>
    <t>SAN ANTONIO DE ARREDONDO</t>
  </si>
  <si>
    <t>SAN ANTONIO DE LITIN</t>
  </si>
  <si>
    <t>SAN BASILIO</t>
  </si>
  <si>
    <t>Segunda etapa de red de gas inaugurada</t>
  </si>
  <si>
    <t>SAN CLEMENTE</t>
  </si>
  <si>
    <t>SAN ESTEBAN</t>
  </si>
  <si>
    <t>SAN FRANCISCO</t>
  </si>
  <si>
    <t>SAN IGNACIO</t>
  </si>
  <si>
    <t>Centro educativo Maria Josefa Gonzalez de Belgrano y Peri</t>
  </si>
  <si>
    <t>SAN JOSE</t>
  </si>
  <si>
    <t>SAN JOSE DE LA DORMIDA</t>
  </si>
  <si>
    <t>SAN JOSE DE LAS SALINAS</t>
  </si>
  <si>
    <t>Tercera etapa de red de gas con obra fisica finalizada</t>
  </si>
  <si>
    <t>SAN MARCOS SIERRAS</t>
  </si>
  <si>
    <t>SAN MARCOS SUD</t>
  </si>
  <si>
    <t>Red interna de dos establecimientos educativos con obra fisica finalizada</t>
  </si>
  <si>
    <t>Jardín de Infantes Domingo Faustino Sarmiento
Establecimiento Educativo Domingo Faustino Sarmiento</t>
  </si>
  <si>
    <t>SAN ROQUE</t>
  </si>
  <si>
    <t>SANTA EUFEMIA</t>
  </si>
  <si>
    <t>Red con gas previo, ampliacion I obra fisica finalizada</t>
  </si>
  <si>
    <t>SANTA MARIA DE PUNILLA</t>
  </si>
  <si>
    <t>SANTA ROSA DE CALAMUCHITA</t>
  </si>
  <si>
    <t>VILLA SANTA ROSA</t>
  </si>
  <si>
    <t>SANTIAGO TEMPLE</t>
  </si>
  <si>
    <t>SATURNINO MARIA LASPIUR</t>
  </si>
  <si>
    <t xml:space="preserve">Red interna de tres establecimientos educativos inaugurados </t>
  </si>
  <si>
    <t>Centro Educativo Elly Poleman de Regensburger
Centro cap. Agrotécnica Tomás Thomas
Jardin de Infantes general San Martín</t>
  </si>
  <si>
    <t>SEBASTIAN ELCANO</t>
  </si>
  <si>
    <t>SEEBER</t>
  </si>
  <si>
    <t>SEGUNDA USINA</t>
  </si>
  <si>
    <t>Centro Educativo General San Martín
Jardín de Infantes Rosario Vera Peñaloza</t>
  </si>
  <si>
    <t>SUCO</t>
  </si>
  <si>
    <t>TALA HUASI</t>
  </si>
  <si>
    <t>TANCACHA</t>
  </si>
  <si>
    <t>TANTI</t>
  </si>
  <si>
    <t>TICINO</t>
  </si>
  <si>
    <t>TINOCO</t>
  </si>
  <si>
    <t>Tercer etapa de red de gas en ejecucion</t>
  </si>
  <si>
    <t>TIO PUJIO</t>
  </si>
  <si>
    <t>TOLEDO</t>
  </si>
  <si>
    <t>TORO PUJIO</t>
  </si>
  <si>
    <t>TOSQUITA</t>
  </si>
  <si>
    <t>Cuarta etapa de red de gas con obra fisica finalizada</t>
  </si>
  <si>
    <t>TRANSITO</t>
  </si>
  <si>
    <t>UCACHA</t>
  </si>
  <si>
    <t>UNQUILLO</t>
  </si>
  <si>
    <t>VALLE DE ANISACATE</t>
  </si>
  <si>
    <t>VALLE HERMOSO</t>
  </si>
  <si>
    <t>Tercera etapa red de gas habilitada</t>
  </si>
  <si>
    <t>VIAMONTE</t>
  </si>
  <si>
    <t>VICUÑA MACKENNA</t>
  </si>
  <si>
    <t>VILLA ALLENDE</t>
  </si>
  <si>
    <t>VILLA ASCASUBI</t>
  </si>
  <si>
    <t>Tercera etapa de red de gas inaugurada</t>
  </si>
  <si>
    <t>VILLA CARLOS PAZ</t>
  </si>
  <si>
    <t>VILLA CERRO AZUL</t>
  </si>
  <si>
    <t>VILLA CIUDAD DE AMERICA</t>
  </si>
  <si>
    <t>Red de un establecimiento educativo en desarrollo de proyecto</t>
  </si>
  <si>
    <t xml:space="preserve">Centro de Capacitación Agrotécnica Tomás Thomas  </t>
  </si>
  <si>
    <t>VILLA CONCEPCION DEL TIO</t>
  </si>
  <si>
    <t>VILLA DE MARIA</t>
  </si>
  <si>
    <t>Cuarta etapa de red de gas en proceso de habilitacion</t>
  </si>
  <si>
    <t>VILLA DEL DIQUE</t>
  </si>
  <si>
    <t>VILLA DEL PRADO</t>
  </si>
  <si>
    <t>VILLA DEL ROSARIO</t>
  </si>
  <si>
    <t>Localidad con gas previo, en desarrollo de proyecto segunda ampliacion</t>
  </si>
  <si>
    <t>VILLA EL CHACAY</t>
  </si>
  <si>
    <t>VILLA ELISA</t>
  </si>
  <si>
    <t>Localidad con tercera etapa de red de gas obra fisica terminada</t>
  </si>
  <si>
    <t>VILLA GIARDINO</t>
  </si>
  <si>
    <t>VILLA LA BOLSA</t>
  </si>
  <si>
    <t>Localidad con gas previo,  primera ampliacion en proceso de habilitación</t>
  </si>
  <si>
    <t>VILLA LOS AROMOS</t>
  </si>
  <si>
    <t>VILLA LOS PATOS</t>
  </si>
  <si>
    <t>VILLA MARIA</t>
  </si>
  <si>
    <t>VILLA NUEVA</t>
  </si>
  <si>
    <t>VILLA PARQUE SANTA ANA</t>
  </si>
  <si>
    <t xml:space="preserve">Localidad con gas previo, ampliacion uno habilitada </t>
  </si>
  <si>
    <t>VILLA PARQUE SIQUIMAN</t>
  </si>
  <si>
    <t>VILLA QUILLINZO</t>
  </si>
  <si>
    <t>VILLA RIO ICHO CRUZ</t>
  </si>
  <si>
    <t>VILLA RUMIPAL</t>
  </si>
  <si>
    <t>VILLA SAN ESTEBAN</t>
  </si>
  <si>
    <t>VILLA SAN ISIDRO</t>
  </si>
  <si>
    <t>VILLA SANTA CRUZ DEL LAGO</t>
  </si>
  <si>
    <t>Localidad con gas previo, primera ampliacion en proceso de habilitación</t>
  </si>
  <si>
    <t>VILLA SARMIENTO (G.R)</t>
  </si>
  <si>
    <t>VILLA SARMIENTO (S.A)</t>
  </si>
  <si>
    <t>VILLA YACANTO</t>
  </si>
  <si>
    <t>Localidad con gas previo, segunda ampliacion avance fisico finalizado</t>
  </si>
  <si>
    <t>WASHINGTON</t>
  </si>
  <si>
    <t>WENCESLAO ESCALANTE</t>
  </si>
  <si>
    <t>PUNTA DEL MONTE</t>
  </si>
  <si>
    <t>LA GILDA</t>
  </si>
  <si>
    <t>SAN AMBROSIO</t>
  </si>
  <si>
    <t>Red interna de un establecimiento educativo habilitado</t>
  </si>
  <si>
    <t>INST. AGROTÉCNICO "Manuel Belgrano"</t>
  </si>
  <si>
    <t>Segunda etapa red de gas inaugurada</t>
  </si>
  <si>
    <t>Escuela Primaria Domingo Faustino Sarmiento</t>
  </si>
  <si>
    <t>Red interna de un establecimiento educativo inaugurado</t>
  </si>
  <si>
    <t>Escuela Paula Albarracin</t>
  </si>
  <si>
    <t xml:space="preserve">Localidad con gas previo, primera ampliacion habilitada </t>
  </si>
  <si>
    <t>Primera ampliacion de red de gas con expediente en proceso</t>
  </si>
  <si>
    <t>Tercera etapa de red en desarrollo de proyecto</t>
  </si>
  <si>
    <t xml:space="preserve">Cuenta con la red interna de un establecimiento educativo inaugurado </t>
  </si>
  <si>
    <t>IPET 170 Padre Jose Gabriel Brochero</t>
  </si>
  <si>
    <t>Segunda y tercera etapa de red de gas inauguradas</t>
  </si>
  <si>
    <t>Cuarta etapa de red de gas inaugurada</t>
  </si>
  <si>
    <t>Readecuación: IPET 170 Padre Jose Gabriel Brochero</t>
  </si>
  <si>
    <t>Red de gas primera etapa inaugurada</t>
  </si>
  <si>
    <t>Red interna de dos establecimientos educativos, jardin obra fisica finalizada, establecimiento en ejecucion</t>
  </si>
  <si>
    <t>Jardin Paula Albarracin - Establecimiento educativo Luis Pasteur</t>
  </si>
  <si>
    <t>Primera etapa de red inaugurada</t>
  </si>
  <si>
    <t>Red de dos establecimientos educativos inaugurados</t>
  </si>
  <si>
    <t>Jardin de infantes y Escuela Primaria - DR. COSME ARGERICH ANEXO - ESTANCIA VIEJA</t>
  </si>
  <si>
    <t>Localidad con gas previo, primera ampliacion inaugurada</t>
  </si>
  <si>
    <t>Segunda etapa de red habilitada finalizando usuarios</t>
  </si>
  <si>
    <t>Finalizando usuarios</t>
  </si>
  <si>
    <t>Localidad con gas previo, tercera y cuarta ampliacion inauguradas</t>
  </si>
  <si>
    <t>SUM de Monto Inversión USD</t>
  </si>
  <si>
    <t>SUM de IMPORTE USD CUMPLIDO Y EJECUCIÓN</t>
  </si>
  <si>
    <t>Campo calculado 1</t>
  </si>
  <si>
    <t>COUNTA de Acción</t>
  </si>
  <si>
    <t>Segunda etapa de red de gas en desarrollo de proyecto</t>
  </si>
  <si>
    <t>Agua y Cloacas</t>
  </si>
  <si>
    <t>Segunda etapa de red inaugurada</t>
  </si>
  <si>
    <t>Segunda etapa de red habilitada</t>
  </si>
  <si>
    <t>Arquitectura y Otras</t>
  </si>
  <si>
    <t>Obras de Gas</t>
  </si>
  <si>
    <t>Localidad con gas previo, ampliacion II en desarrollo de proyecto</t>
  </si>
  <si>
    <t>Obras Eléctricas</t>
  </si>
  <si>
    <t xml:space="preserve">Segunda etapa de red inaugurada </t>
  </si>
  <si>
    <t>Total CRUZ DEL EJE</t>
  </si>
  <si>
    <t>Tercera etapa de red de gas habilitada</t>
  </si>
  <si>
    <t>PROCESO ADJUDICATORIO</t>
  </si>
  <si>
    <t>Suma total</t>
  </si>
  <si>
    <t>Localidad con gas previo, quinta ampliacion obra fisica finalizada</t>
  </si>
  <si>
    <t>Total GENERAL ROCA</t>
  </si>
  <si>
    <t>Segunda ampliacion de red habilitada</t>
  </si>
  <si>
    <t>MINAS, CRUZ DEL EJE</t>
  </si>
  <si>
    <t>Total ISCHILÍN</t>
  </si>
  <si>
    <t>Total MINAS</t>
  </si>
  <si>
    <t>Total MINAS, CRUZ DEL EJE</t>
  </si>
  <si>
    <t>Red interna de dos establecimientos educativos inaugurados</t>
  </si>
  <si>
    <t xml:space="preserve">Jardin de Infantes Esteban Echeverria 
Escuela Primaria Esteban Echeverria </t>
  </si>
  <si>
    <t>Total MULTIDEPARTAMENTAL</t>
  </si>
  <si>
    <t>Total POCHO</t>
  </si>
  <si>
    <t>Red interna de tres establecimientos educativos inaugurados</t>
  </si>
  <si>
    <t>Escuela Mercedes San Martín de Balcarce
Jardín Merceditas San Martín de Balcarce
IPEM 117 Dante Bonati</t>
  </si>
  <si>
    <t>Total Agua y Cloacas</t>
  </si>
  <si>
    <t>Total PRESIDENTE ROQUE SÁENZ PEÑA</t>
  </si>
  <si>
    <t>Jardín de Infantes Dr. Cosme Argerich
Escuela Primaria Dr. Cosme Argerich</t>
  </si>
  <si>
    <t>Total Arquitectura y Otras</t>
  </si>
  <si>
    <t>Total RÍO PRIMERO</t>
  </si>
  <si>
    <t>Establecimiento educativo inaugurado</t>
  </si>
  <si>
    <t>Jardin de Infantes - Jose de San Martin</t>
  </si>
  <si>
    <t>Total Obras de Gas</t>
  </si>
  <si>
    <t>Total RÍO SECO</t>
  </si>
  <si>
    <t>Establecimiento educativo en ejecucion</t>
  </si>
  <si>
    <t>Establec. Educativo Anexo IPEA 343</t>
  </si>
  <si>
    <t>Total SAN ALBERTO</t>
  </si>
  <si>
    <t>Total Obras Eléctricas</t>
  </si>
  <si>
    <t>Red interna de establecimiento educativo habilitada</t>
  </si>
  <si>
    <t>I.P.E.M. N° 29 Santa Teresa</t>
  </si>
  <si>
    <t>Total SAN JAVIER</t>
  </si>
  <si>
    <t>Total Obras Viales</t>
  </si>
  <si>
    <t>Red interna de dos instituciones educativas obra fisica finalizada</t>
  </si>
  <si>
    <t>Total SOBREMONTE</t>
  </si>
  <si>
    <t>Establecimiento Educativo Primario Doctor José Francisco Mieres
Establecimiento Educativo Primario Teniente General Julio Argentino Roca</t>
  </si>
  <si>
    <t>Total TOTORAL</t>
  </si>
  <si>
    <t>Total TULUMBA</t>
  </si>
  <si>
    <t>Establecimiento educativo red interna habilitada</t>
  </si>
  <si>
    <t>IPEM N°421 - Anexo La Cautiva</t>
  </si>
  <si>
    <t xml:space="preserve"> Escuela Primaria Leonila de las Mercedes Lemos </t>
  </si>
  <si>
    <t>Red interna de una institucion educativa en ejecucion</t>
  </si>
  <si>
    <t>Establecimiento Educativo Colegio Superior Pte. Roque Sáenz Peña</t>
  </si>
  <si>
    <t>Cuarta etapa de red de gas Inaugurado</t>
  </si>
  <si>
    <t>Localidad con gas previo, ampliación III de gas inaugurada</t>
  </si>
  <si>
    <t xml:space="preserve">Red interna de 3 establecimientos educativos obra fisica finalizada </t>
  </si>
  <si>
    <t xml:space="preserve">Escuela Primaria Jose de San Martin 
IPEM N°417
Jardin de Infantes Gral José de San Martin </t>
  </si>
  <si>
    <t>Localidad con gas previo, primera ampliación de gas inaugurada</t>
  </si>
  <si>
    <t>planta + red GNL</t>
  </si>
  <si>
    <t>Localidad con gas previo, primera ampliación de gas habilitada</t>
  </si>
  <si>
    <t>Establecimiento educativo habilitado</t>
  </si>
  <si>
    <t>Establecimiento educativo Delia Margarita Auzmendi</t>
  </si>
  <si>
    <t>Establecimiento Educativo Jose Manuel Estrada</t>
  </si>
  <si>
    <t>Establecimiento educativo Inaugurado</t>
  </si>
  <si>
    <t xml:space="preserve">
María Celina Caldecot de Arguello Primaria</t>
  </si>
  <si>
    <t>Jardín de Infantes Remedios de Escalada de San Martín
Escuela Primaria Remedios de Escalada de San Martín</t>
  </si>
  <si>
    <t>ID</t>
  </si>
  <si>
    <t>Cuatro establecimientos educativos inaugurados</t>
  </si>
  <si>
    <t xml:space="preserve">Escuela Primaria Dr. Dalmacio Vélez Sarsfield - Jardín de Infantes Mariano Fragueiro -Escuela Mariano Fragueiro y Jardín de Infantes Gabriela Mistral </t>
  </si>
  <si>
    <t>IMPORTE EN DÓLAR</t>
  </si>
  <si>
    <t>IMPORTE DE OBRA EN MILLONES</t>
  </si>
  <si>
    <t>DPV-119</t>
  </si>
  <si>
    <t>DPV-124</t>
  </si>
  <si>
    <t>Si</t>
  </si>
  <si>
    <t>Tres establecimientos educativos con red interna inaugurados</t>
  </si>
  <si>
    <t>DPV-126</t>
  </si>
  <si>
    <t>Centro Educativo Fray Mamerto Esquiú - IPET Nº58 Gral Mosconi - Jardín de Infantes Fray Mamerto Esquiú</t>
  </si>
  <si>
    <t>DPV-127</t>
  </si>
  <si>
    <t>DPV-130</t>
  </si>
  <si>
    <t>PAVIMENTACIÓN RUTA PROVINCIAL S-400. TRAMO: LA HIGUERA - RUMI HUASI. DPTO.: MINAS.</t>
  </si>
  <si>
    <t>DPV-131</t>
  </si>
  <si>
    <t>DPV-133</t>
  </si>
  <si>
    <t>0045-023906/2022</t>
  </si>
  <si>
    <t>DPV-139</t>
  </si>
  <si>
    <t>DPV-143</t>
  </si>
  <si>
    <t>DPV-146</t>
  </si>
  <si>
    <t>REHABILITACIÓN RPN°15- TR: TRES ARBOLES-LA HIGUERA Y CONSERVACIÓN DE RUTAS ALEDAÑAS</t>
  </si>
  <si>
    <t>0045-023723/2022</t>
  </si>
  <si>
    <t>DPV-147</t>
  </si>
  <si>
    <t>DPV-148</t>
  </si>
  <si>
    <t>PAVIMENTACION CAMINO T367-20/T367-15 (Perilago Cruz del Eje)</t>
  </si>
  <si>
    <t>DPV-149</t>
  </si>
  <si>
    <t>0045-027067/2025</t>
  </si>
  <si>
    <t>DPV-150</t>
  </si>
  <si>
    <t>REHABILITACION RPN°15- TR: LA HIGUERA- SAN CARLOS MINAS</t>
  </si>
  <si>
    <t>0045-026467/2024</t>
  </si>
  <si>
    <t>DPV-151</t>
  </si>
  <si>
    <t>DPV-152</t>
  </si>
  <si>
    <t>PAVIMENTACION R.P. S-400 RUMI HUASI - CIENAGA DEL CORO ( 6 KM)</t>
  </si>
  <si>
    <t>DPV-153</t>
  </si>
  <si>
    <t>0045-026525/2024</t>
  </si>
  <si>
    <t>DPV-154</t>
  </si>
  <si>
    <t>DPV-155</t>
  </si>
  <si>
    <t>PAVIMENTACION R.P. A-175 MEDIA NARANJA - ALTOS LOS QUEBRACHOS + bañados de soto</t>
  </si>
  <si>
    <t>0045-025688/2023</t>
  </si>
  <si>
    <t>DPV-156</t>
  </si>
  <si>
    <t>DPV-157</t>
  </si>
  <si>
    <t>CONVENIO CON VILLA HUIDOBRO - COMPRA DE MATERIALES EJ. PAVIMENTO URBANO EN CALLES INDEPENDENCIA - LIBERTAD</t>
  </si>
  <si>
    <t>0045-026210/2024</t>
  </si>
  <si>
    <t>DPV-158</t>
  </si>
  <si>
    <t>DPV-159</t>
  </si>
  <si>
    <t>CONVENIO CON MUNICIPALIDAD DE VILLA DOLORES -EJECUCIÓN CORDÓN CUNETA EN AV. CHAMPAQUÍ  Y CONVENIO CON MUNICIPALIDAD DE VILLA DOLORES -CORDÓN CUNETA EN AV. COSTANERA</t>
  </si>
  <si>
    <t>DPV-160</t>
  </si>
  <si>
    <t>0045-026374/2024</t>
  </si>
  <si>
    <t>DPV-161</t>
  </si>
  <si>
    <t>DPV-162</t>
  </si>
  <si>
    <t>PAVIMENTACION COLECTORA OESTE DE RUTA NACIONAL N° 60 EN LA CIUDAD DE DEAN FUNES DEPARTAMENTO: ISCHILIN</t>
  </si>
  <si>
    <t>0045-026406/2024</t>
  </si>
  <si>
    <t>DPV-164</t>
  </si>
  <si>
    <t>DPV-167</t>
  </si>
  <si>
    <t xml:space="preserve"> Jardin de infantes Leonila Lemos </t>
  </si>
  <si>
    <t>CONSTRUCCIÓN NUEVO EDIFICIO ESCUELA SECUNDARIA DE OFICIOS EN LABOULAYE - PROG 100 ESCUELAS</t>
  </si>
  <si>
    <t>0047-000275/2025</t>
  </si>
  <si>
    <t>DPV-168</t>
  </si>
  <si>
    <t>DPV-174</t>
  </si>
  <si>
    <t>READECUACIÓN DEL SISTEMA DE PROVISIÓN DE AGUA POTABLE DE LA LOCALIDAD DE CRUZ DEL EJE - PRIMERA ETAPA (DPTO. CRUZ DEL EJE)</t>
  </si>
  <si>
    <t>DPV-175</t>
  </si>
  <si>
    <t>DPV-176</t>
  </si>
  <si>
    <t>0733-008506/2024</t>
  </si>
  <si>
    <t>DPV-177</t>
  </si>
  <si>
    <t>Localidad con gas previo, ampliación IV obra fisica finalizada</t>
  </si>
  <si>
    <t>DPV-178</t>
  </si>
  <si>
    <t xml:space="preserve">REFUERZO DEL SISTEMA DE PROVISIÓN DE AGUA POTABLE DE VILLA DE SOTO </t>
  </si>
  <si>
    <t>0733-008837/2025</t>
  </si>
  <si>
    <t>DPV-179</t>
  </si>
  <si>
    <t>DPV-180</t>
  </si>
  <si>
    <t>DPV-181</t>
  </si>
  <si>
    <t>OBRA BASICA DE SANEAMIENTO – PERILAGO DIQUE CRUZ DEL EJE (PRIMERA ETAPA – SECTOR NORTE)</t>
  </si>
  <si>
    <t>0733-008127/2024</t>
  </si>
  <si>
    <t>DPV-182</t>
  </si>
  <si>
    <t>DPV-184</t>
  </si>
  <si>
    <t>ACUEDUCTO SANTA ELENA - SAN FRANCISCO DEL CHAÑAR (DPTOS. RÍO SECO Y SOBREMONTE)</t>
  </si>
  <si>
    <t>0733-004342/2022</t>
  </si>
  <si>
    <t>DPV-185</t>
  </si>
  <si>
    <t>DPV-186</t>
  </si>
  <si>
    <t>Localidad con gas previo, segunda ampliación de gas obra fisica finalizada</t>
  </si>
  <si>
    <t>GAS POR RENGLON 3 - CRUZ DEL EJE</t>
  </si>
  <si>
    <t>DPV-187</t>
  </si>
  <si>
    <t>0632-005432/2022</t>
  </si>
  <si>
    <t>DPV-188</t>
  </si>
  <si>
    <t>DPV-189</t>
  </si>
  <si>
    <t>DPV-190</t>
  </si>
  <si>
    <t>DPV-191</t>
  </si>
  <si>
    <t>4 - 3º CONVOCATORIA PEQUEÑO APROVECHAMIENTO HIDROELECTRICO CRUZ DEL EJE</t>
  </si>
  <si>
    <t>DPV-192</t>
  </si>
  <si>
    <t>DPV-193</t>
  </si>
  <si>
    <t>DPV-194</t>
  </si>
  <si>
    <t>DPV-195</t>
  </si>
  <si>
    <t>REPOTENCIACIÓN ET. VILLA DE SOTO 66/13,2 KV, REEMPLAZO DE TRANSFORMADOR TC1 1X2,5 MVA POR 1X16/22 MVA</t>
  </si>
  <si>
    <t>DPV-196</t>
  </si>
  <si>
    <t>DPV-198</t>
  </si>
  <si>
    <t>CONSTRUCCIÓN LAT 132 KV, E.T. LA FALDA - E.T. CRUZ DEL EJE</t>
  </si>
  <si>
    <t>DPV-199</t>
  </si>
  <si>
    <t>DPV-200</t>
  </si>
  <si>
    <t>DPV-201</t>
  </si>
  <si>
    <t>DPV-202</t>
  </si>
  <si>
    <t>AMPLIACIÓN REDES DE GAS - IPEM 170 - SALSACATE</t>
  </si>
  <si>
    <t>DPV-203</t>
  </si>
  <si>
    <t>HYG-127</t>
  </si>
  <si>
    <t>HYG-135</t>
  </si>
  <si>
    <t>LINEA PERILAGO - HOTEL CRUZ DEL EJE</t>
  </si>
  <si>
    <t>HYG-139</t>
  </si>
  <si>
    <t>HYG-143</t>
  </si>
  <si>
    <t>AMPLIACIÓN DEL EDIFICIO Y REMODELACIÓN INTEGRAL DEL HOSPITAL DR. RENÉ FAVALORO IN MEMORIAN, CALLE URUGUAY N° 537 ESQUINA ALEMANIA ¿ BARRIO NORTE - LOCALIDAD HUINCA RENANCÓ - DEPARTAMENTO GENERAL ROCA</t>
  </si>
  <si>
    <t>0047-000209/2021</t>
  </si>
  <si>
    <t>HYG-144</t>
  </si>
  <si>
    <t>HYG-145</t>
  </si>
  <si>
    <t>REPARACIÓN, AMPLIACIÓN Y RE FUNCIONALIZACIÓN DE LA NUEVA SEDE DE GOBIERNO DE CRUZ DEL EJE, LOC. CRUZ DEL EJE, DPTO. CRUZ DEL EJE</t>
  </si>
  <si>
    <t>0047-002230/2024</t>
  </si>
  <si>
    <t>HYG-147</t>
  </si>
  <si>
    <t>HYG-150</t>
  </si>
  <si>
    <t xml:space="preserve">Primera etapa de red inaugurada </t>
  </si>
  <si>
    <t>HYG-151</t>
  </si>
  <si>
    <t>Construcción De Subestaciones Transformadoras Aereas Inteligentes   En La Provincia De Cordoba - Etapa 2"  TULUMBA</t>
  </si>
  <si>
    <t>HYG-152</t>
  </si>
  <si>
    <t>HYG-153</t>
  </si>
  <si>
    <t>0660-002686/2025</t>
  </si>
  <si>
    <t>HYG-154</t>
  </si>
  <si>
    <t>HYG-155</t>
  </si>
  <si>
    <t>HYG-156</t>
  </si>
  <si>
    <t>HYG-157</t>
  </si>
  <si>
    <t>HYG-158</t>
  </si>
  <si>
    <t>Segunda etapa de red de gas en proceso de habilitación</t>
  </si>
  <si>
    <t>HYG-159</t>
  </si>
  <si>
    <t>PROVISIÓN DE KITS DE SEGURIDAD ELECTRICA - SAN JOSÉ DE LA DORMIDA -  TULUMBA</t>
  </si>
  <si>
    <t>0660-001157/2024</t>
  </si>
  <si>
    <t>HYG-160</t>
  </si>
  <si>
    <t>HYG-161</t>
  </si>
  <si>
    <t>HYG-162</t>
  </si>
  <si>
    <t>HYG-163</t>
  </si>
  <si>
    <t>HYG-164</t>
  </si>
  <si>
    <t>INSTALACIÓN DE RECONECTADORES EN EL SISTEMA ELÉCTRICO PROVINCIAL DE MEDIA TENSIÓN PARA MITIGACIÓN DE INCENDIOS RURALES  SAN JOSÉ DE LA DORMIDA -  TULUMBA</t>
  </si>
  <si>
    <t>Primera etapa de red habilitada</t>
  </si>
  <si>
    <t>$5,348.75</t>
  </si>
  <si>
    <t>HYG-165</t>
  </si>
  <si>
    <t>$6,875.00</t>
  </si>
  <si>
    <t>HYG-166</t>
  </si>
  <si>
    <t>$4,812.50</t>
  </si>
  <si>
    <t>HYG-167</t>
  </si>
  <si>
    <t>INSTALACIÓN DE RECONECTADORES EN EL SISTEMA ELÉCTRICO PROVINCIAL DE MEDIA TENSIÓN PARA MITIGACIÓN DE INCENDIOS RURALES (Etapa 3)</t>
  </si>
  <si>
    <t>$7,218.75</t>
  </si>
  <si>
    <t>HYG-168</t>
  </si>
  <si>
    <t>HYG-169</t>
  </si>
  <si>
    <t>INSTALACIÓN DE RECONECTADORES EN EL SISTEMA ELÉCTRICO PROVINCIAL DE MEDIA TENSIÓN PARA MITIGACIÓN DE INCENDIOS RURALES (Etapa 2) - MEDIA NARANJA</t>
  </si>
  <si>
    <t>$5,953.75</t>
  </si>
  <si>
    <t>HYG-170</t>
  </si>
  <si>
    <t>$20,625.00</t>
  </si>
  <si>
    <t>HYG-171</t>
  </si>
  <si>
    <t>INSTALACIÓN DE RECONECTADORES EN EL SISTEMA ELÉCTRICO PROVINCIAL DE MEDIA TENSIÓN PARA MITIGACIÓN DE INCENDIOS RURALES (Etapa 2) - LA CESIRA</t>
  </si>
  <si>
    <t>HYG-172</t>
  </si>
  <si>
    <t>Primario Joaquín Víctor González</t>
  </si>
  <si>
    <t>HYG-173</t>
  </si>
  <si>
    <t>INSTALACIÓN DE RECONECTADORES EN EL SISTEMA ELÉCTRICO PROVINCIAL DE MEDIA TENSIÓN PARA MITIGACIÓN DE INCENDIOS RURALES (Etapa 2) - LAS ARRIAS</t>
  </si>
  <si>
    <t>HYG-174</t>
  </si>
  <si>
    <t>HYG-175</t>
  </si>
  <si>
    <t>HYG-176</t>
  </si>
  <si>
    <t>INSTALACIÓN DE RECONECTADORES EN EL SISTEMA ELÉCTRICO PROVINCIAL DE MEDIA TENSIÓN PARA MITIGACIÓN DE INCENDIOS RURALES (Etapa 2)</t>
  </si>
  <si>
    <t>HYG-177</t>
  </si>
  <si>
    <t>HYG-178</t>
  </si>
  <si>
    <t>INSTALACIÓN DE RECONECTADORES EN EL SISTEMA ELÉCTRICO PROVINCIAL DE MEDIA TENSIÓN PARA MITIGACIÓN DE INCENDIOS RURALES (Etapa 2) - NONO</t>
  </si>
  <si>
    <t>HYG-179</t>
  </si>
  <si>
    <t>HYG-180</t>
  </si>
  <si>
    <t>HYG-181</t>
  </si>
  <si>
    <t>INSTALACIÓN DE RECONECTADORES EN EL SISTEMA ELÉCTRICO PROVINCIAL DE MEDIA TENSIÓN PARA MITIGACIÓN DE INCENDIOS RURALES (Etapa 2) - QUILINO</t>
  </si>
  <si>
    <t>HYG-182</t>
  </si>
  <si>
    <t>HYG-183</t>
  </si>
  <si>
    <t>INSTALACIÓN DE RECONECTADORES EN EL SISTEMA ELÉCTRICO PROVINCIAL DE MEDIA TENSIÓN PARA MITIGACIÓN DE INCENDIOS RURALES (Etapa 2) - SALSACATE</t>
  </si>
  <si>
    <t>HYG-184</t>
  </si>
  <si>
    <t>HYG-185</t>
  </si>
  <si>
    <t>INSTALACIÓN DE RECONECTADORES EN EL SISTEMA ELÉCTRICO PROVINCIAL DE MEDIA TENSIÓN PARA MITIGACIÓN DE INCENDIOS RURALES (Etapa 2) - SAN CARLOS MINAS</t>
  </si>
  <si>
    <t>HYG-186</t>
  </si>
  <si>
    <t>HYG-187</t>
  </si>
  <si>
    <t>HYG-189</t>
  </si>
  <si>
    <t>Establecimiento educativo red interna inaugurada</t>
  </si>
  <si>
    <t>Escuela Domingo Faustino Sarmiento</t>
  </si>
  <si>
    <t>HYG-190</t>
  </si>
  <si>
    <t>INSTALACIÓN DE RECONECTADORES EN EL SISTEMA ELÉCTRICO PROVINCIAL DE MEDIA TENSIÓN PARA MITIGACIÓN DE INCENDIOS RURALES (Etapa 2) - VILLA MARIA</t>
  </si>
  <si>
    <t>HYG-191</t>
  </si>
  <si>
    <t>HYG-193</t>
  </si>
  <si>
    <t>HYG-195</t>
  </si>
  <si>
    <t>REDES DE GAS - ESCUELA 1 - RANQUELES</t>
  </si>
  <si>
    <t>HYG-196</t>
  </si>
  <si>
    <t>HYG-197</t>
  </si>
  <si>
    <t>HYG-198</t>
  </si>
  <si>
    <t>HYG-199</t>
  </si>
  <si>
    <t>HYG-200</t>
  </si>
  <si>
    <t>Dos establecimientos educativos en ejecucion</t>
  </si>
  <si>
    <t xml:space="preserve">CENI Establecimiento Educativo General Guemes - Establecimiento Educativo General Guemes Primario e  IPEM N° 328 Nuestra Señora de los Remedios </t>
  </si>
  <si>
    <t>HYG-203</t>
  </si>
  <si>
    <t>HYG-204</t>
  </si>
  <si>
    <t>HYG-206</t>
  </si>
  <si>
    <t>HYG-207</t>
  </si>
  <si>
    <t>HYG-208</t>
  </si>
  <si>
    <t>HYG-209</t>
  </si>
  <si>
    <t>HYG-210</t>
  </si>
  <si>
    <t>HYG-211</t>
  </si>
  <si>
    <t>HYG-212</t>
  </si>
  <si>
    <t>Establecimiento educativo obra fisica finalizada</t>
  </si>
  <si>
    <t>Escuela Primaria Dr Arturo Capdevilla</t>
  </si>
  <si>
    <t>HYG-213</t>
  </si>
  <si>
    <t>HYG-214</t>
  </si>
  <si>
    <t>HYG-215</t>
  </si>
  <si>
    <t>HYG-216</t>
  </si>
  <si>
    <t>HYG-217</t>
  </si>
  <si>
    <t>HYG-218</t>
  </si>
  <si>
    <t>HYG-219</t>
  </si>
  <si>
    <t>HYG-220</t>
  </si>
  <si>
    <t>HYG-221</t>
  </si>
  <si>
    <t>HYG-222</t>
  </si>
  <si>
    <t>HYG-223</t>
  </si>
  <si>
    <t>HYG-224</t>
  </si>
  <si>
    <t>HYG-225</t>
  </si>
  <si>
    <t>HYG-226</t>
  </si>
  <si>
    <t>HYG-227</t>
  </si>
  <si>
    <t>HYG-228</t>
  </si>
  <si>
    <t xml:space="preserve">Segunda etapa de red habilitada </t>
  </si>
  <si>
    <t>HYG-229</t>
  </si>
  <si>
    <t>HYG-230</t>
  </si>
  <si>
    <t>HYG-231</t>
  </si>
  <si>
    <t>HYG-232</t>
  </si>
  <si>
    <t>HYG-233</t>
  </si>
  <si>
    <t>HYG-234</t>
  </si>
  <si>
    <t>HYG-235</t>
  </si>
  <si>
    <t>HYG-236</t>
  </si>
  <si>
    <t>Primera etapa inaugurada</t>
  </si>
  <si>
    <t>HYG-237</t>
  </si>
  <si>
    <t>HYG-238</t>
  </si>
  <si>
    <t>HYG-239</t>
  </si>
  <si>
    <t>HYG-240</t>
  </si>
  <si>
    <t>HYG-241</t>
  </si>
  <si>
    <t>HYG-242</t>
  </si>
  <si>
    <t>HYG-243</t>
  </si>
  <si>
    <t>HYG-244</t>
  </si>
  <si>
    <t>María Celina Caldecot de Arguello Jardín de Infantes</t>
  </si>
  <si>
    <t>HYG-245</t>
  </si>
  <si>
    <t>HYG-246</t>
  </si>
  <si>
    <t>HYG-247</t>
  </si>
  <si>
    <t>HYG-248</t>
  </si>
  <si>
    <t>HYG-249</t>
  </si>
  <si>
    <t>HYG-250</t>
  </si>
  <si>
    <t>HYG-251</t>
  </si>
  <si>
    <t>HYG-252</t>
  </si>
  <si>
    <t>Segunda etapa de red en ejecucion</t>
  </si>
  <si>
    <t>HYG-253</t>
  </si>
  <si>
    <t>HYG-254</t>
  </si>
  <si>
    <t>HYG-255</t>
  </si>
  <si>
    <t>HYG-256</t>
  </si>
  <si>
    <t>HYG-257</t>
  </si>
  <si>
    <t>HYG-258</t>
  </si>
  <si>
    <t>HYG-259</t>
  </si>
  <si>
    <t>Primer etapa de red inaugurada</t>
  </si>
  <si>
    <t>HYG-260</t>
  </si>
  <si>
    <t>HYG-261</t>
  </si>
  <si>
    <t>HYG-262</t>
  </si>
  <si>
    <t>HYG-263</t>
  </si>
  <si>
    <t>HYG-264</t>
  </si>
  <si>
    <t>HYG-265</t>
  </si>
  <si>
    <t>HYG-266</t>
  </si>
  <si>
    <t>HYG-267</t>
  </si>
  <si>
    <t>Primera etapa de red de gas con expediente en proceso</t>
  </si>
  <si>
    <t>HYG-268</t>
  </si>
  <si>
    <t>HYG-269</t>
  </si>
  <si>
    <t>HYG-270</t>
  </si>
  <si>
    <t>HYG-271</t>
  </si>
  <si>
    <t>HYG-274</t>
  </si>
  <si>
    <t>HYG-275</t>
  </si>
  <si>
    <t>HYG-276</t>
  </si>
  <si>
    <t>HYG-277</t>
  </si>
  <si>
    <t>Red interna de una institucion educativa inaugurada</t>
  </si>
  <si>
    <t>Primaria Leopoldo Lugones y Jardin de Infantes sala Anexa Francisco Benchetrit</t>
  </si>
  <si>
    <t>HYG-278</t>
  </si>
  <si>
    <t>HYG-279</t>
  </si>
  <si>
    <t>HYG-280</t>
  </si>
  <si>
    <t>NO ENCONTRADA: "EUFRACIO LOZA"</t>
  </si>
  <si>
    <t>HYG-281</t>
  </si>
  <si>
    <t>HYG-282</t>
  </si>
  <si>
    <t>HYG-283</t>
  </si>
  <si>
    <t>HYG-284</t>
  </si>
  <si>
    <t>HYG-285</t>
  </si>
  <si>
    <t>HYG-286</t>
  </si>
  <si>
    <t>HYG-287</t>
  </si>
  <si>
    <t>Primera etapa de red en ejecucion</t>
  </si>
  <si>
    <t>HYG-288</t>
  </si>
  <si>
    <t>HYG-289</t>
  </si>
  <si>
    <t>HYG-290</t>
  </si>
  <si>
    <t>HYG-291</t>
  </si>
  <si>
    <t>HYG-292</t>
  </si>
  <si>
    <t>HYG-293</t>
  </si>
  <si>
    <t>HYG-294</t>
  </si>
  <si>
    <t>HYG-295</t>
  </si>
  <si>
    <t>Escuela Primaria Ricardo Gutierrez</t>
  </si>
  <si>
    <t>HYG-296</t>
  </si>
  <si>
    <t>HYG-297</t>
  </si>
  <si>
    <t>HYG-298</t>
  </si>
  <si>
    <t>HYG-299</t>
  </si>
  <si>
    <t>HYG-300</t>
  </si>
  <si>
    <t>HYG-301</t>
  </si>
  <si>
    <t>HYG-302</t>
  </si>
  <si>
    <t>HYG-303</t>
  </si>
  <si>
    <t>HYG-304</t>
  </si>
  <si>
    <t>HYG-305</t>
  </si>
  <si>
    <t>Establecimiento educativo con red inaugurada</t>
  </si>
  <si>
    <t>HYG-306</t>
  </si>
  <si>
    <t>Primaria Estanislao del Campillo</t>
  </si>
  <si>
    <t>HYG-307</t>
  </si>
  <si>
    <t>HYG-308</t>
  </si>
  <si>
    <t>HYG-309</t>
  </si>
  <si>
    <t>HYG-310</t>
  </si>
  <si>
    <t>Segunda ampliación habilitada</t>
  </si>
  <si>
    <t>HYG-311</t>
  </si>
  <si>
    <t>HYG-312</t>
  </si>
  <si>
    <t>HYG-313</t>
  </si>
  <si>
    <t>HYG-314</t>
  </si>
  <si>
    <t>HYG-315</t>
  </si>
  <si>
    <t>HYG-316</t>
  </si>
  <si>
    <t>Establecimiento educativo con red interna habilitada</t>
  </si>
  <si>
    <t xml:space="preserve"> Escuela primaria Narciso Laprida</t>
  </si>
  <si>
    <t>HYG-317</t>
  </si>
  <si>
    <t>HYG-318</t>
  </si>
  <si>
    <t>HYG-319</t>
  </si>
  <si>
    <t>HYG-320</t>
  </si>
  <si>
    <t>HYG-321</t>
  </si>
  <si>
    <t>"IPET Nº 148 José María Paz Anexo Capilla del Carmen</t>
  </si>
  <si>
    <t>HYG-322</t>
  </si>
  <si>
    <t>HYG-323</t>
  </si>
  <si>
    <t>HYG-324</t>
  </si>
  <si>
    <t>HYG-325</t>
  </si>
  <si>
    <t>HYG-326</t>
  </si>
  <si>
    <t xml:space="preserve">Establecimiento con red habilitada </t>
  </si>
  <si>
    <t>Jardín de Infantes Narciso Laprida</t>
  </si>
  <si>
    <t>HYG-327</t>
  </si>
  <si>
    <t>HYG-328</t>
  </si>
  <si>
    <t>HYG-329</t>
  </si>
  <si>
    <t>HYG-330</t>
  </si>
  <si>
    <t xml:space="preserve">Primera etapa de red habilitada </t>
  </si>
  <si>
    <t>HYG-331</t>
  </si>
  <si>
    <t>HYG-332</t>
  </si>
  <si>
    <t>HYG-333</t>
  </si>
  <si>
    <t>HYG-334</t>
  </si>
  <si>
    <t>HYG-335</t>
  </si>
  <si>
    <t>Tres establecimientos educativos obra fisica finalizada</t>
  </si>
  <si>
    <t>HYG-336</t>
  </si>
  <si>
    <t>Establecimiento Educativo José Manuel Estrada - I.P.E.A. N° 288 San Isidro Labrador - Jardín de Infantes Marta Esther Cueto Fontana</t>
  </si>
  <si>
    <t>HYG-337</t>
  </si>
  <si>
    <t>HYG-338</t>
  </si>
  <si>
    <t>HYG-339</t>
  </si>
  <si>
    <t>HYG-341</t>
  </si>
  <si>
    <t>HYG-342</t>
  </si>
  <si>
    <t xml:space="preserve">Localidad con gas previo, Primera ampliación de red habilitada </t>
  </si>
  <si>
    <t>HYG-343</t>
  </si>
  <si>
    <t>HYG-344</t>
  </si>
  <si>
    <t>HYG-345</t>
  </si>
  <si>
    <t>HYG-346</t>
  </si>
  <si>
    <t>Localidad con gas previo, Segunda ampliacion de red habilitada</t>
  </si>
  <si>
    <t>HYG-347</t>
  </si>
  <si>
    <t>HYG-348</t>
  </si>
  <si>
    <t>HYG-349</t>
  </si>
  <si>
    <t>HYG-350</t>
  </si>
  <si>
    <t>HYG-351</t>
  </si>
  <si>
    <t>HYG-352</t>
  </si>
  <si>
    <t>HYG-353</t>
  </si>
  <si>
    <t>HYG-354</t>
  </si>
  <si>
    <t>HYG-355</t>
  </si>
  <si>
    <t>HYG-356</t>
  </si>
  <si>
    <t xml:space="preserve">Localidad con gas previo, Primera ampliacion de red habilitada </t>
  </si>
  <si>
    <t>HYG-357</t>
  </si>
  <si>
    <t>HYG-358</t>
  </si>
  <si>
    <t>HYG-359</t>
  </si>
  <si>
    <t>HYG-360</t>
  </si>
  <si>
    <t>HYG-361</t>
  </si>
  <si>
    <t>HYG-362</t>
  </si>
  <si>
    <t xml:space="preserve">Localidad con gas previo, Primera ampliacion de red inaugurada </t>
  </si>
  <si>
    <t>HYG-363</t>
  </si>
  <si>
    <t>HYG-364</t>
  </si>
  <si>
    <t>HYG-365</t>
  </si>
  <si>
    <t>HYG-366</t>
  </si>
  <si>
    <t>HYG-367</t>
  </si>
  <si>
    <t>Localidad con gas previo, segunda amplicion de red habilitada</t>
  </si>
  <si>
    <t>HYG-368</t>
  </si>
  <si>
    <t>HYG-369</t>
  </si>
  <si>
    <t>HYG-370</t>
  </si>
  <si>
    <t>HYG-371</t>
  </si>
  <si>
    <t>HYG-372</t>
  </si>
  <si>
    <t>IPEM N° 243 Eduardo Olivera</t>
  </si>
  <si>
    <t>HYG-373</t>
  </si>
  <si>
    <t>HYG-374</t>
  </si>
  <si>
    <t>HYG-375</t>
  </si>
  <si>
    <t>HYG-376</t>
  </si>
  <si>
    <t>HYG-377</t>
  </si>
  <si>
    <t xml:space="preserve">Localidad con gas previo, Tercera ampliacion de red habilitada </t>
  </si>
  <si>
    <t>HYG-378</t>
  </si>
  <si>
    <t>HYG-379</t>
  </si>
  <si>
    <t>ARQ-93</t>
  </si>
  <si>
    <t>ARQ-94</t>
  </si>
  <si>
    <t>Red interna de una institucion educativa obra fisica finalizada</t>
  </si>
  <si>
    <t>ARQ-95</t>
  </si>
  <si>
    <t>Jardín de infantes y Escuela Primaria Luciano Arguello</t>
  </si>
  <si>
    <t>ARQ-96</t>
  </si>
  <si>
    <t>ARQ-97</t>
  </si>
  <si>
    <t>ARQ-98</t>
  </si>
  <si>
    <t>ARQ-99</t>
  </si>
  <si>
    <t>Localidad con gas previo, tercera ampliacion expediente en proceso</t>
  </si>
  <si>
    <t>ARQ-100</t>
  </si>
  <si>
    <t>ARQ-101</t>
  </si>
  <si>
    <t>ARQ-102</t>
  </si>
  <si>
    <t>ARQ-103</t>
  </si>
  <si>
    <t>ARQ-104</t>
  </si>
  <si>
    <t>ARQ-105</t>
  </si>
  <si>
    <t>Jardín de infantes y Centro educativo Ing. Federico Neher 
IPEM N° 371 Mariano Moreno - Anexo Santa Elena</t>
  </si>
  <si>
    <t>ARQ-106</t>
  </si>
  <si>
    <t>ARQ-107</t>
  </si>
  <si>
    <t>ARQ-108</t>
  </si>
  <si>
    <t>ARQ-109</t>
  </si>
  <si>
    <t>ARQ-110</t>
  </si>
  <si>
    <t>ARQ-111</t>
  </si>
  <si>
    <t>ARQ-112</t>
  </si>
  <si>
    <t>ARQ-113</t>
  </si>
  <si>
    <t>Establecimiento educativo con expediente en proceso</t>
  </si>
  <si>
    <t>Primario Nicolas Avellaneda</t>
  </si>
  <si>
    <t>ARQ-114</t>
  </si>
  <si>
    <t>ARQ-115</t>
  </si>
  <si>
    <t>ARQ-117</t>
  </si>
  <si>
    <t>ARQ-118</t>
  </si>
  <si>
    <t>ARQ-119</t>
  </si>
  <si>
    <t>Jardín Y Primaria Cnel Arturo H. Acosta
IPEM N° 112 - Dr. Cesar Iñiguez Montenegro</t>
  </si>
  <si>
    <t>ARQ-120</t>
  </si>
  <si>
    <t>ARQ-121</t>
  </si>
  <si>
    <t>ARQ-122</t>
  </si>
  <si>
    <t>ARQ-123</t>
  </si>
  <si>
    <t>Primera ampliación de red habilitada</t>
  </si>
  <si>
    <t>ARQ-124</t>
  </si>
  <si>
    <t>ARQ-125</t>
  </si>
  <si>
    <t>ARQ-126</t>
  </si>
  <si>
    <t>ARQ-127</t>
  </si>
  <si>
    <t>Primera etapa de red de gas habilitada</t>
  </si>
  <si>
    <t>ARQ-128</t>
  </si>
  <si>
    <t>ARQ-129</t>
  </si>
  <si>
    <t>ARQ-130</t>
  </si>
  <si>
    <t>ARQ-131</t>
  </si>
  <si>
    <t>ARQ-152</t>
  </si>
  <si>
    <t>Un Establecimiento educativo con red interna habilitada</t>
  </si>
  <si>
    <t>Jardín de Infantes Juan Pascual Pringles</t>
  </si>
  <si>
    <t>ARQ-154</t>
  </si>
  <si>
    <t>ARQ-155</t>
  </si>
  <si>
    <t>ARQ-156</t>
  </si>
  <si>
    <t>ARQ-157</t>
  </si>
  <si>
    <t>ARQ-158</t>
  </si>
  <si>
    <t>Localidad con gas previo, Segunda ampliación habilitada finalizando usuarios</t>
  </si>
  <si>
    <t>ARQ-159</t>
  </si>
  <si>
    <t>ARQ-160</t>
  </si>
  <si>
    <t>ARQ-162</t>
  </si>
  <si>
    <t>ARQ-163</t>
  </si>
  <si>
    <t>ARQ-166</t>
  </si>
  <si>
    <t>Localidad con gas previo, Segunda ampliacion de red en ejecucion</t>
  </si>
  <si>
    <t>ARQ-167</t>
  </si>
  <si>
    <t>ARQ-168</t>
  </si>
  <si>
    <t>ARQ-169</t>
  </si>
  <si>
    <t>ARQ-170</t>
  </si>
  <si>
    <t>Establecimiento educativo red interna en ejecucion</t>
  </si>
  <si>
    <t>ARQ-171</t>
  </si>
  <si>
    <t>ARQ-172</t>
  </si>
  <si>
    <t>Establecimiento Educativo IPEM N° 399 Heroes de Malvinas</t>
  </si>
  <si>
    <t>ARQ-173</t>
  </si>
  <si>
    <t>ARQ-174</t>
  </si>
  <si>
    <t>ARQ-175</t>
  </si>
  <si>
    <t>ARQ-176</t>
  </si>
  <si>
    <t>ARQ-177</t>
  </si>
  <si>
    <t>ARQ-178</t>
  </si>
  <si>
    <t>ARQ-179</t>
  </si>
  <si>
    <t>Localidad con gas previo, Segunda ampliación de red en ejecucion</t>
  </si>
  <si>
    <t>ARQ-180</t>
  </si>
  <si>
    <t>ARQ-181</t>
  </si>
  <si>
    <t>ARQ-182</t>
  </si>
  <si>
    <t>ARQ-183</t>
  </si>
  <si>
    <t xml:space="preserve">Red interna de Un establecimiento inaugurado </t>
  </si>
  <si>
    <t>Escuela Primaria Domingo F. Sarmiento</t>
  </si>
  <si>
    <t>ARQ-184</t>
  </si>
  <si>
    <t>Dos establecimientos educativos con red en proceso de habilitación</t>
  </si>
  <si>
    <t>Escuela Primaria Coronel Pringles - Instituto de Estudios Secundarios Santiago Temple</t>
  </si>
  <si>
    <t>ARQ-185</t>
  </si>
  <si>
    <t>ARQ-186</t>
  </si>
  <si>
    <t>ARQ-187</t>
  </si>
  <si>
    <t>ARQ-188</t>
  </si>
  <si>
    <t>ARQ-189</t>
  </si>
  <si>
    <t>Red interna de establecimiento educativo inaugurada</t>
  </si>
  <si>
    <t>Escuela José de San Martín</t>
  </si>
  <si>
    <t>ARQ-190</t>
  </si>
  <si>
    <t>ARQ-191</t>
  </si>
  <si>
    <t>ARQ-192</t>
  </si>
  <si>
    <t>ARQ-193</t>
  </si>
  <si>
    <t>Establecimientos educativos red interna habilitada</t>
  </si>
  <si>
    <t>ARQ-194</t>
  </si>
  <si>
    <t>Jardin de infantes Mariano Moreno anexo - Primaria Francisco Narciso Laprida - IPEM 368 Anexo Giuseppe Paschetta</t>
  </si>
  <si>
    <t>ARQ-195</t>
  </si>
  <si>
    <t>ARQ-196</t>
  </si>
  <si>
    <t>ARQ-197</t>
  </si>
  <si>
    <t>ARQ-198</t>
  </si>
  <si>
    <t>Esc Luis Tessandori</t>
  </si>
  <si>
    <t>ARQ-199</t>
  </si>
  <si>
    <t>ARQ-200</t>
  </si>
  <si>
    <t>ARQ-201</t>
  </si>
  <si>
    <t>ARQ-202</t>
  </si>
  <si>
    <t>ARQ-203</t>
  </si>
  <si>
    <t>Cuarta ampliacion de red en desarrollo de proyecto</t>
  </si>
  <si>
    <t>ARQ-204</t>
  </si>
  <si>
    <t>ARQ-205</t>
  </si>
  <si>
    <t>ELE-4</t>
  </si>
  <si>
    <t>ELE-5</t>
  </si>
  <si>
    <t>ELE-6</t>
  </si>
  <si>
    <t>Primera ampliacion de red de gas en desarrollo de proyecto</t>
  </si>
  <si>
    <t>ELE-7</t>
  </si>
  <si>
    <t>ELE-8</t>
  </si>
  <si>
    <t>ELE-9</t>
  </si>
  <si>
    <t>ELE-10</t>
  </si>
  <si>
    <t>Red interna de 4 instituciones educativas</t>
  </si>
  <si>
    <t>ELE-11</t>
  </si>
  <si>
    <t>Jardin de infantes y escuela primaria Jose Maria Paz
Jardin de infantes y escuela primaria Mariano Moreno
Jardin de infantes y escuela primaria Adolfo Kapelusz
IPEM N° 137 Carolina Lucero de Funes</t>
  </si>
  <si>
    <t>ELE-13</t>
  </si>
  <si>
    <t>ELE-14</t>
  </si>
  <si>
    <t>ELE-15</t>
  </si>
  <si>
    <t>ELE-16</t>
  </si>
  <si>
    <t>Escuela Primaria Primera Junta</t>
  </si>
  <si>
    <t>ELE-17</t>
  </si>
  <si>
    <t>ELE-18</t>
  </si>
  <si>
    <t>ELE-19</t>
  </si>
  <si>
    <t>ELE-20</t>
  </si>
  <si>
    <t xml:space="preserve">Red interna de establecimiento educativo inaugurado </t>
  </si>
  <si>
    <t>ELE-21</t>
  </si>
  <si>
    <t>Florentino Ameghino Nivel Inicial</t>
  </si>
  <si>
    <t>ELE-22</t>
  </si>
  <si>
    <t>ELE-23</t>
  </si>
  <si>
    <t>ELE-24</t>
  </si>
  <si>
    <t>ELE-25</t>
  </si>
  <si>
    <t>ELE-26</t>
  </si>
  <si>
    <t>Red interna de tres instituciones educativas inauguradas</t>
  </si>
  <si>
    <t>Instituto privado secundario La Tordilla - Jardín de infantes Alfredo Jorge Cersosimo - Escuela primaria Margarita Latorre Mercado</t>
  </si>
  <si>
    <t>ELE-27</t>
  </si>
  <si>
    <t>ELE-28</t>
  </si>
  <si>
    <t>ELE-29</t>
  </si>
  <si>
    <t>ELE-30</t>
  </si>
  <si>
    <t>Jardin de infantes Domingo Faustino Sarmiento
I.P.E.M. N° 135 Felix Recalde Sarmiento</t>
  </si>
  <si>
    <t>ELE-31</t>
  </si>
  <si>
    <t>ELE-33</t>
  </si>
  <si>
    <t>ELE-34</t>
  </si>
  <si>
    <t>ELE-35</t>
  </si>
  <si>
    <t>Red interna establecimiento educativo habilitada</t>
  </si>
  <si>
    <t>ELE-36</t>
  </si>
  <si>
    <t>Instituto de enseñanza "José Manuel Estrada"</t>
  </si>
  <si>
    <t>ELE-37</t>
  </si>
  <si>
    <t>ELE-38</t>
  </si>
  <si>
    <t>ELE-39</t>
  </si>
  <si>
    <t>ARQ-12</t>
  </si>
  <si>
    <t>Terminada Si/No</t>
  </si>
  <si>
    <t>ARQ-141</t>
  </si>
  <si>
    <t>Primera etapa de red finalizada con cierre administrativo</t>
  </si>
  <si>
    <t>Cierre administrativo</t>
  </si>
  <si>
    <t>Visita / Inauguración</t>
  </si>
  <si>
    <t>Fecha estimada de inauguracion</t>
  </si>
  <si>
    <t>Inauguración/Lanzamiento</t>
  </si>
  <si>
    <t>Categoría</t>
  </si>
  <si>
    <t>Observaciones</t>
  </si>
  <si>
    <t>REALIZADA</t>
  </si>
  <si>
    <t>ARQ-8</t>
  </si>
  <si>
    <t>Inauguración</t>
  </si>
  <si>
    <t>ARQ-19</t>
  </si>
  <si>
    <t>ARQ-20</t>
  </si>
  <si>
    <t>PAVIMENTACIÓN RUTA PROVINCIAL N°16 / TRAMO: LAS ARRIAS - SAN JOSE DE LA DORMIDA / 2da etapa:  PROG. 0 A  11600</t>
  </si>
  <si>
    <t>ARQ-133</t>
  </si>
  <si>
    <t>ARQ-136</t>
  </si>
  <si>
    <t>Visita</t>
  </si>
  <si>
    <t>ARQ-140</t>
  </si>
  <si>
    <t>Rehabilitación RPN°15- Tr: Tres Arboles- La Higuera</t>
  </si>
  <si>
    <t>ARQ-9</t>
  </si>
  <si>
    <t>Avance del 97% - Visitada por Secretario</t>
  </si>
  <si>
    <t>VIGENTE</t>
  </si>
  <si>
    <t>ARQ-149</t>
  </si>
  <si>
    <t>ARQ-91</t>
  </si>
  <si>
    <t>Rehabilitacion Parcial R.P.N° 14-Tr: Los Hornillos- Pg 10 hacia Las Tapias</t>
  </si>
  <si>
    <t>Avance del 83%</t>
  </si>
  <si>
    <t>ARQ-148</t>
  </si>
  <si>
    <t>Localidad con gas previo, Primera ampliación de red en desarrollo de proyecto</t>
  </si>
  <si>
    <t>ARQ-92</t>
  </si>
  <si>
    <t>PAVIMENTACIÓN RUTA PROVINCIAL Nº28 - TRAMO: RUTA PROVINCIAL Nº15 - TALA CAÑADA</t>
  </si>
  <si>
    <t>ARQ-1</t>
  </si>
  <si>
    <t>Avance del 88% - Visitada por Ministro y Secretario</t>
  </si>
  <si>
    <t>ARQ-2</t>
  </si>
  <si>
    <t>ARQ-13</t>
  </si>
  <si>
    <t>Pavimentación RP E-52. Tr.: Pozo del Molle - Los Ucles</t>
  </si>
  <si>
    <t>ARQ-5</t>
  </si>
  <si>
    <t>ARQ-4</t>
  </si>
  <si>
    <t>Rehabilitación RP N° 3 - Tramo: Acceso a Viamonte - La Cesira</t>
  </si>
  <si>
    <t>ARQ-7</t>
  </si>
  <si>
    <t>ARQ-6</t>
  </si>
  <si>
    <t>Pavimentación de Costanera</t>
  </si>
  <si>
    <t>ARQ-3</t>
  </si>
  <si>
    <t>ARQ-139</t>
  </si>
  <si>
    <t>Red interna de una institucion educativa con obra fisica finalizada</t>
  </si>
  <si>
    <t>ARQ-22</t>
  </si>
  <si>
    <t>CONSTRUCCION NUEVO EDIFICIO ESCUELA SECUNDARIA TECNICA EN SINSACATE</t>
  </si>
  <si>
    <t>Establecimiento Educativo Manuel Belgrano y Jardín de Infantes</t>
  </si>
  <si>
    <t>inaugurada</t>
  </si>
  <si>
    <t>ARQ-138</t>
  </si>
  <si>
    <t>ARQ-142</t>
  </si>
  <si>
    <t>Hospital Huinca Renanco</t>
  </si>
  <si>
    <t>ARQ-24</t>
  </si>
  <si>
    <t>ARQ-25</t>
  </si>
  <si>
    <t>Escuela Secundaria de Oficios de Villa las Rosas</t>
  </si>
  <si>
    <t>ARQ-27</t>
  </si>
  <si>
    <t>lista , no se entrego a educacion la acaban de conectar</t>
  </si>
  <si>
    <t>Red interna de establecimiento educativo habilitado</t>
  </si>
  <si>
    <t>IPEM N°326 Mariano Moreno</t>
  </si>
  <si>
    <t>ARQ-30</t>
  </si>
  <si>
    <t>Escuela Secundaria de oficios de El Brete</t>
  </si>
  <si>
    <t>ARQ-29</t>
  </si>
  <si>
    <t>EPEC debe terminar trabajos de nexos</t>
  </si>
  <si>
    <t>ARQ-28</t>
  </si>
  <si>
    <t>Escuela Proa Huinca renanco</t>
  </si>
  <si>
    <t>ARQ-34</t>
  </si>
  <si>
    <t>ARQ-35</t>
  </si>
  <si>
    <t>Tercera etapa de red inaugurada</t>
  </si>
  <si>
    <t>Escuela Proa Mina Clavero</t>
  </si>
  <si>
    <t>ARQ-147</t>
  </si>
  <si>
    <t>ARQ-146</t>
  </si>
  <si>
    <t>Escuela Proa San Pedro</t>
  </si>
  <si>
    <t>ARQ-145</t>
  </si>
  <si>
    <t>ARQ-36</t>
  </si>
  <si>
    <t>Escuela Proa Villa Dolores</t>
  </si>
  <si>
    <t>ARQ-37</t>
  </si>
  <si>
    <t>Jardin de infantes Gral Jose Maria Paz - Escuela primaria Vicenta Tello de Lima</t>
  </si>
  <si>
    <t>ARQ-38</t>
  </si>
  <si>
    <t>ARQ-39</t>
  </si>
  <si>
    <t>ARQ-40</t>
  </si>
  <si>
    <t>PARAJE OJOS DE AGUA</t>
  </si>
  <si>
    <t>ARQ-42</t>
  </si>
  <si>
    <t>PLAN DE DESARROLLO DEL NORTE: DPTO. MINAS- PARAJE: LOS OJOS DE AGUA</t>
  </si>
  <si>
    <t>FINALIZADA JULIO-2024</t>
  </si>
  <si>
    <t>ARQ-41</t>
  </si>
  <si>
    <t>ARQ-44</t>
  </si>
  <si>
    <t>Red interna de dos establecimientos educativos obra fisica finalizada</t>
  </si>
  <si>
    <t>LP 5250- CONSTRUCCIÓN LÍNEAS AÉREAS MT 33 KV, LOS POZOS - VILLA DOLORES Y CURA BROCHERO - E.T. MINA CLAVERO</t>
  </si>
  <si>
    <t>IPEM 364 Malvinas Argentinas - Jardin de infantes General San Martin</t>
  </si>
  <si>
    <t>ARQ-49</t>
  </si>
  <si>
    <t>FINALIZADO SEPTIEMBRE - 2024
Departamentos beneficiados: San Alberto y San Javier. 
Localidades beneficiadas: VILLA CURA BROCHERO, MINA CLAVERO, VILLA DOLORES, LOS POZOS</t>
  </si>
  <si>
    <t>ARQ-51</t>
  </si>
  <si>
    <t>LP 5153 - PLAN DE OBRAS DE DISTRIBUCIÓN 2021 - INTERIOR - OBRA: CONSTRUCCION DE LINEA MEDIA TENSIÓN APTA PARA 33 KV LOS POZOS - MINA CLAVERO</t>
  </si>
  <si>
    <t>ARQ-46</t>
  </si>
  <si>
    <t>FINALIZADA AGOSTO - 2024</t>
  </si>
  <si>
    <t>ARQ-50</t>
  </si>
  <si>
    <t>ARQ-55</t>
  </si>
  <si>
    <t>SISTEMA DE PROVISION DE AGUA POTABLE EL TUSCAL</t>
  </si>
  <si>
    <t xml:space="preserve">Red interna de dos instituciones educativas habilitadas </t>
  </si>
  <si>
    <t>-</t>
  </si>
  <si>
    <t>Esc Primaria Mariano Moreno - Jardin de Infantes Mariano Moreno</t>
  </si>
  <si>
    <t>ARQ-53</t>
  </si>
  <si>
    <t>ARQ-56</t>
  </si>
  <si>
    <t>ARQ-45</t>
  </si>
  <si>
    <t>ARQ-48</t>
  </si>
  <si>
    <t>CONTINGENCIAS</t>
  </si>
  <si>
    <t>Esta adquisición está orientada a garantizar el suministro de materiales esenciales para la respuesta inmediata ante emergencias provocadas por incendios rurales y catástrofes ambientales en localidades que forman parte del Sistema Eléctrico Provincial</t>
  </si>
  <si>
    <t>ARQ-47</t>
  </si>
  <si>
    <t>Localidad con gas previo, Segunda ampliacion obra fisica finalizada</t>
  </si>
  <si>
    <t>Entrega</t>
  </si>
  <si>
    <t>ARQ-52</t>
  </si>
  <si>
    <t>RECONECTADORES</t>
  </si>
  <si>
    <t>ARQ-58</t>
  </si>
  <si>
    <t>La adquisición tiene como objetivo mejorar la calidad del servicio eléctrico y minimizar el riesgo de incendios por desperfectos en líneas rurales, lo que contribuirá a incrementar la productividad agrícola y fortalecer el Sistema Eléctrico Provincial.</t>
  </si>
  <si>
    <t>ARQ-54</t>
  </si>
  <si>
    <t>ARQ-57</t>
  </si>
  <si>
    <t>ARQ-43</t>
  </si>
  <si>
    <t>Establecimiento educativo red interna con obra fisica finalizada</t>
  </si>
  <si>
    <t>Instituto secundario de enseñanza media Manuel Dorrego</t>
  </si>
  <si>
    <t>ARQ-61</t>
  </si>
  <si>
    <t>ARQ-62</t>
  </si>
  <si>
    <t>ARQ-60</t>
  </si>
  <si>
    <t>ARQ-64</t>
  </si>
  <si>
    <t>ARQ-59</t>
  </si>
  <si>
    <t>ARQ-63</t>
  </si>
  <si>
    <t>ARQ-65</t>
  </si>
  <si>
    <t>Cinco establecimientos con red interna finalizada</t>
  </si>
  <si>
    <t xml:space="preserve">Secundaria IPET 89 PAULA ALBARRACIN - Jardín de Infantes Arturo Barbero - Jardín de Infantes Domingo F. Sarmiento - Escuela Primaria Carlos Justo Florit - Escuela Primaria Domingo F. Sarmiento </t>
  </si>
  <si>
    <t>ARQ-67</t>
  </si>
  <si>
    <t>ARQ-68</t>
  </si>
  <si>
    <t>ARQ-66</t>
  </si>
  <si>
    <t>ARQ-69</t>
  </si>
  <si>
    <t>ARQ-71</t>
  </si>
  <si>
    <t>ARQ-70</t>
  </si>
  <si>
    <t>ARQ-72</t>
  </si>
  <si>
    <t>ARQ-73</t>
  </si>
  <si>
    <t>ARQ-75</t>
  </si>
  <si>
    <t>Red interna de dos instituciones educativas inauguradas y una institución habilitada</t>
  </si>
  <si>
    <t xml:space="preserve">Establecimiento educativo Escuela Dalmacio Velez Sarsfield
Establecimiento educativo C.E.N.I. Dalmacio Velez Sarsfield
Establecimiento educativo C.E.I.J.A. N° 6 </t>
  </si>
  <si>
    <t>ARQ-74</t>
  </si>
  <si>
    <t>Por inaugurar CEIJA Nº6</t>
  </si>
  <si>
    <t>ARQ-77</t>
  </si>
  <si>
    <t>ARQ-80</t>
  </si>
  <si>
    <t>ARQ-81</t>
  </si>
  <si>
    <t>ARQ-79</t>
  </si>
  <si>
    <t>ARQ-76</t>
  </si>
  <si>
    <t>ARQ-78</t>
  </si>
  <si>
    <t>EXPEDIENTE</t>
  </si>
  <si>
    <t>ARQ-85</t>
  </si>
  <si>
    <t>ARQ-82</t>
  </si>
  <si>
    <t>DIVISIÓN</t>
  </si>
  <si>
    <t>Red interna de dos instituciones educativas inaugurada</t>
  </si>
  <si>
    <t>ARQ-88</t>
  </si>
  <si>
    <t>CENI Dalmacio Velez Sarsfield 
CENMA Dr. Francisco Ravetti Anexo Laspiur</t>
  </si>
  <si>
    <t>NOMBRE DE OBRA</t>
  </si>
  <si>
    <t>ARQ-86</t>
  </si>
  <si>
    <t>T. OBRA</t>
  </si>
  <si>
    <t>SUB-TIPO DE OBRA</t>
  </si>
  <si>
    <t>ARQ-87</t>
  </si>
  <si>
    <t>CONTRATISTA</t>
  </si>
  <si>
    <t>DPV-10</t>
  </si>
  <si>
    <t>ESTADO DE OBRA</t>
  </si>
  <si>
    <t>AVANCE</t>
  </si>
  <si>
    <t>DPV-7</t>
  </si>
  <si>
    <t>REPLA. INICIAL</t>
  </si>
  <si>
    <t>DPV-5</t>
  </si>
  <si>
    <t>FECHA LIC</t>
  </si>
  <si>
    <t>VENCIMIENTO</t>
  </si>
  <si>
    <t>DPV-17</t>
  </si>
  <si>
    <t>DPV-21</t>
  </si>
  <si>
    <t>DPV-4</t>
  </si>
  <si>
    <t>DPV-2</t>
  </si>
  <si>
    <t>DPV-1</t>
  </si>
  <si>
    <t>DPV-18</t>
  </si>
  <si>
    <t>PLAZO VIGENTE EN DÍAS</t>
  </si>
  <si>
    <t>DPV-3</t>
  </si>
  <si>
    <t>PLAZO ORIGINAL</t>
  </si>
  <si>
    <t>DPV-9</t>
  </si>
  <si>
    <t>CONTRATO BASE</t>
  </si>
  <si>
    <t>AMPLIACION</t>
  </si>
  <si>
    <t>DPV-8</t>
  </si>
  <si>
    <t>ENMIENDA</t>
  </si>
  <si>
    <t>IMPORTE DE OBRA ACTUALIZADO</t>
  </si>
  <si>
    <t>DPV-20</t>
  </si>
  <si>
    <t>DPV-43</t>
  </si>
  <si>
    <t>DPV-15</t>
  </si>
  <si>
    <t>DPV-14</t>
  </si>
  <si>
    <t>DPV-6</t>
  </si>
  <si>
    <t>CATEGORIA</t>
  </si>
  <si>
    <t>REGION</t>
  </si>
  <si>
    <t>DPV-11</t>
  </si>
  <si>
    <t>AUTORIZADA 2025</t>
  </si>
  <si>
    <t>DEPARTAMENTO MAPA</t>
  </si>
  <si>
    <t>DPV-12</t>
  </si>
  <si>
    <t>Segunda etapa de red de gas con expediente en proceso</t>
  </si>
  <si>
    <t>ID-DEPARTAMENTO</t>
  </si>
  <si>
    <t>DPV-13</t>
  </si>
  <si>
    <t>PIT</t>
  </si>
  <si>
    <t>ESTADO-RESUMEN</t>
  </si>
  <si>
    <t>DPV-16</t>
  </si>
  <si>
    <t>DPV-19</t>
  </si>
  <si>
    <t>DPV-22</t>
  </si>
  <si>
    <t>DPV-23</t>
  </si>
  <si>
    <t>DPV-24</t>
  </si>
  <si>
    <t>Cuarta etapa de red avance fisico finalizado</t>
  </si>
  <si>
    <t>DPV-25</t>
  </si>
  <si>
    <t>0045-025708/2023</t>
  </si>
  <si>
    <t>DPV-26</t>
  </si>
  <si>
    <t>DPV-27</t>
  </si>
  <si>
    <t>DPV-28</t>
  </si>
  <si>
    <t>ACCESO A VILLA CONCEPCIÓN DEL TIO</t>
  </si>
  <si>
    <t>ACCESO</t>
  </si>
  <si>
    <t>DPV-29</t>
  </si>
  <si>
    <t>A- OBRAS VIALES</t>
  </si>
  <si>
    <t xml:space="preserve">Red interna de una institucion educativa inaugurada </t>
  </si>
  <si>
    <t>DPV-30</t>
  </si>
  <si>
    <t>CORBE S.R.L.</t>
  </si>
  <si>
    <t>Escuela Primaria General Manuel Belgrano</t>
  </si>
  <si>
    <t>DPV-31</t>
  </si>
  <si>
    <t>VILLA CONCEPCIÓN DEL TÍO</t>
  </si>
  <si>
    <t>DPV-32</t>
  </si>
  <si>
    <t>DPV-33</t>
  </si>
  <si>
    <t>DPV-34</t>
  </si>
  <si>
    <t>DPV-35</t>
  </si>
  <si>
    <t>Escuela Primaria Bernardino Rivadavia</t>
  </si>
  <si>
    <t>DPV-36</t>
  </si>
  <si>
    <t>DPV-37</t>
  </si>
  <si>
    <t>DPV-38</t>
  </si>
  <si>
    <t>DPV-39</t>
  </si>
  <si>
    <t>DPV-40</t>
  </si>
  <si>
    <t>Segunda etapa de red de gas habilitada finalizando usuarios</t>
  </si>
  <si>
    <t>DPV-41</t>
  </si>
  <si>
    <t>CENTRO</t>
  </si>
  <si>
    <t>SI</t>
  </si>
  <si>
    <t>NO PIT</t>
  </si>
  <si>
    <t>EN EJECUCIÓN</t>
  </si>
  <si>
    <t>IPEM N°82 Intendente Santiago Penna</t>
  </si>
  <si>
    <t>DPV-42</t>
  </si>
  <si>
    <t>0045-025566/2023</t>
  </si>
  <si>
    <t>DPV-44</t>
  </si>
  <si>
    <t>OBRA. PAVIMENTACIÓN RUTA PROVINCIAL N°28 TRAMO: INTERSECCIÓN R.P. S-269 - INGRESO RESERVA CERRO BLANCO</t>
  </si>
  <si>
    <t>DPV-45</t>
  </si>
  <si>
    <t>RUTA</t>
  </si>
  <si>
    <t>AFEMA S.A.</t>
  </si>
  <si>
    <t>DPV-46</t>
  </si>
  <si>
    <t>TANTI - EL DURAZNO</t>
  </si>
  <si>
    <t>DPV-47</t>
  </si>
  <si>
    <t>DPV-48</t>
  </si>
  <si>
    <t>DPV-49</t>
  </si>
  <si>
    <t>DPV-50</t>
  </si>
  <si>
    <t>DPV-51</t>
  </si>
  <si>
    <t>Cuarta etapa de red inaugurada</t>
  </si>
  <si>
    <t>DPV-52</t>
  </si>
  <si>
    <t>DPV-53</t>
  </si>
  <si>
    <t>DPV-54</t>
  </si>
  <si>
    <t>DPV-55</t>
  </si>
  <si>
    <t>Segunda etapa obra fisica finalizada</t>
  </si>
  <si>
    <t>DPV-56</t>
  </si>
  <si>
    <t>DPV-57</t>
  </si>
  <si>
    <t>DPV-58</t>
  </si>
  <si>
    <t>DPV-59</t>
  </si>
  <si>
    <t>DPV-60</t>
  </si>
  <si>
    <t>DPV-61</t>
  </si>
  <si>
    <t>0045-025549/2023</t>
  </si>
  <si>
    <t>DPV-62</t>
  </si>
  <si>
    <t>PAVIMENTACION R.P. S-152. TRAMO: LAS GRAMILLAS- INTERSECCION R.P E-52- DEPARTAMENTO: RIO PRIMERO</t>
  </si>
  <si>
    <t>DPV-63</t>
  </si>
  <si>
    <t>DPV-64</t>
  </si>
  <si>
    <t>A.PE. S.A.</t>
  </si>
  <si>
    <t>DPV-65</t>
  </si>
  <si>
    <t>LAS GRAMILLAS-TORRO PUJIO</t>
  </si>
  <si>
    <t>Primera etapa de red de gas inaugurada</t>
  </si>
  <si>
    <t>DPV-66</t>
  </si>
  <si>
    <t>L-188</t>
  </si>
  <si>
    <t>DPV-67</t>
  </si>
  <si>
    <t>HYG-1</t>
  </si>
  <si>
    <t>HYG-2</t>
  </si>
  <si>
    <t>HYG-3</t>
  </si>
  <si>
    <t>RÍO CUARTO</t>
  </si>
  <si>
    <t>Red interna de una institucion educativa habilitada</t>
  </si>
  <si>
    <t>HYG-4</t>
  </si>
  <si>
    <t>Jardin de infantes General Manuel Belgrano</t>
  </si>
  <si>
    <t>0045-023722/2022</t>
  </si>
  <si>
    <t>HYG-5</t>
  </si>
  <si>
    <t>MUN</t>
  </si>
  <si>
    <t>OBRA: PAVIMENTACIÓN R.P. N°28 - TRAMO: INTERSECCIÓN R.P. N°15 - TALA CAÑADA - DEPARTAMENTO: POCHO</t>
  </si>
  <si>
    <t>HYG-6</t>
  </si>
  <si>
    <t>HYG-7</t>
  </si>
  <si>
    <t>HYG-8</t>
  </si>
  <si>
    <t>HYG-9</t>
  </si>
  <si>
    <t>L-189</t>
  </si>
  <si>
    <t>Tercera etapa de red habilitada finalizando usuarios</t>
  </si>
  <si>
    <t>ADELIA MARÍA</t>
  </si>
  <si>
    <t>HYG-10</t>
  </si>
  <si>
    <t>HYG-11</t>
  </si>
  <si>
    <t>L-026</t>
  </si>
  <si>
    <t>COLÓN</t>
  </si>
  <si>
    <t>0045-025535/2023</t>
  </si>
  <si>
    <t>REHABILITACIÓN PARCIAL RPN°14- TR: LOS HORNILLOS-PROG 10,00 HACIA LAS TAPIAS Y MANTENIMIENTO DE RUTAS ALEDAÑAS</t>
  </si>
  <si>
    <t>L-190</t>
  </si>
  <si>
    <t>ALCIRA GIGENA</t>
  </si>
  <si>
    <t>VIAL RG S.A.</t>
  </si>
  <si>
    <t>LAS TAPIAS - LOS HORNILLOS</t>
  </si>
  <si>
    <t>HYG-12</t>
  </si>
  <si>
    <t>L-401</t>
  </si>
  <si>
    <t>ALDEA SANTA MARÍA</t>
  </si>
  <si>
    <t>UNIÓN</t>
  </si>
  <si>
    <t>COM</t>
  </si>
  <si>
    <t>HYG-13</t>
  </si>
  <si>
    <t>L-100</t>
  </si>
  <si>
    <t>HYG-14</t>
  </si>
  <si>
    <t xml:space="preserve"> Secundaria IPEA 240 Santiago Carrizo</t>
  </si>
  <si>
    <t>HYG-15</t>
  </si>
  <si>
    <t>HYG-16</t>
  </si>
  <si>
    <t>L-117</t>
  </si>
  <si>
    <t>MARCOS JUÁREZ</t>
  </si>
  <si>
    <t>HYG-17</t>
  </si>
  <si>
    <t>HYG-18</t>
  </si>
  <si>
    <t>L-299</t>
  </si>
  <si>
    <t>HYG-19</t>
  </si>
  <si>
    <t>0045-025540/2023</t>
  </si>
  <si>
    <t>HYG-20</t>
  </si>
  <si>
    <t>REHABILITACIÓN RPN°6- TR: RÍO III- TANCACHA Y MANTENIMIENTO DE RUTAS ALEDAÑAS</t>
  </si>
  <si>
    <t>Jardin de infantes D. Silvio Juan Bertea</t>
  </si>
  <si>
    <t>HYG-21</t>
  </si>
  <si>
    <t>L-365</t>
  </si>
  <si>
    <t>HYG-22</t>
  </si>
  <si>
    <t>RÍO TERCERO</t>
  </si>
  <si>
    <t>HYG-23</t>
  </si>
  <si>
    <t>L-191</t>
  </si>
  <si>
    <t>HYG-24</t>
  </si>
  <si>
    <t>HYG-25</t>
  </si>
  <si>
    <t>L-337</t>
  </si>
  <si>
    <t>HYG-26</t>
  </si>
  <si>
    <t>SANTA MARÍA</t>
  </si>
  <si>
    <t>Segunda etapa de red de gas con obra fisica finalizada</t>
  </si>
  <si>
    <t>HYG-27</t>
  </si>
  <si>
    <t>L-402</t>
  </si>
  <si>
    <t>HYG-28</t>
  </si>
  <si>
    <t>0045-025681/2023</t>
  </si>
  <si>
    <t>HYG-29</t>
  </si>
  <si>
    <t>L-046</t>
  </si>
  <si>
    <t>HYG-30</t>
  </si>
  <si>
    <t>BACHEO ZONA OESTE</t>
  </si>
  <si>
    <t>HYG-31</t>
  </si>
  <si>
    <t>L-300</t>
  </si>
  <si>
    <t>HYG-32</t>
  </si>
  <si>
    <t>HYG-33</t>
  </si>
  <si>
    <t>HYG-34</t>
  </si>
  <si>
    <t>L-001</t>
  </si>
  <si>
    <t>HYG-35</t>
  </si>
  <si>
    <t>HYG-36</t>
  </si>
  <si>
    <t>L-275</t>
  </si>
  <si>
    <t>HYG-37</t>
  </si>
  <si>
    <t>Redes internas de dos instituciones educativas habilitadas</t>
  </si>
  <si>
    <t>IPEM N° 107 Reino de España
Establecimiento Educativo Juan Bautista Alberdi</t>
  </si>
  <si>
    <t>HYG-38</t>
  </si>
  <si>
    <t>ELE-1</t>
  </si>
  <si>
    <t>L-403</t>
  </si>
  <si>
    <t>ANA ZUMARÁN</t>
  </si>
  <si>
    <t>0045-023724/2022</t>
  </si>
  <si>
    <t>HYG-39</t>
  </si>
  <si>
    <t>ILUMINACIÓN DE LA RUTA PROVINCIAL C-45 ENTRE RN N°20 Y RP N°34</t>
  </si>
  <si>
    <t>HYG-40</t>
  </si>
  <si>
    <t>AUTOVÍA</t>
  </si>
  <si>
    <t>L-338</t>
  </si>
  <si>
    <t>HYG-41</t>
  </si>
  <si>
    <t>GIECO S.A. - MARTINEZ LUMELLO CONSTRUCCIONES S.A. - CONSORCIO DE COOPERACION</t>
  </si>
  <si>
    <t>HYG-42</t>
  </si>
  <si>
    <t>L-118</t>
  </si>
  <si>
    <t>HYG-43</t>
  </si>
  <si>
    <t>HYG-44</t>
  </si>
  <si>
    <t>L-301</t>
  </si>
  <si>
    <t>HYG-45</t>
  </si>
  <si>
    <t>NO ENCONTRADA: "VALLE DE ANISACATE"</t>
  </si>
  <si>
    <t>HYG-46</t>
  </si>
  <si>
    <t>L-076</t>
  </si>
  <si>
    <t>HYG-47</t>
  </si>
  <si>
    <t>ARROYO ALGODÓN</t>
  </si>
  <si>
    <t>GENERAL SAN MARTÍN</t>
  </si>
  <si>
    <t>HYG-48</t>
  </si>
  <si>
    <t>HYG-49</t>
  </si>
  <si>
    <t>0045-023725/2022</t>
  </si>
  <si>
    <t>Redes internas de dos instituciones educativas inaugurada</t>
  </si>
  <si>
    <t>L-077</t>
  </si>
  <si>
    <t>Establecimiento educativo Joaquin V. Gonzalez Nivel Inicial
Establecimiento educativo Joaquin V. Gonzalez</t>
  </si>
  <si>
    <t>HYG-50</t>
  </si>
  <si>
    <t>PUENTE EN CALLE PERITO MORENO EN LA CIUDAD DE BELL VILLE</t>
  </si>
  <si>
    <t>PUENTE</t>
  </si>
  <si>
    <t>HYG-51</t>
  </si>
  <si>
    <t>L-276</t>
  </si>
  <si>
    <t>HYG-52</t>
  </si>
  <si>
    <t>HYG-53</t>
  </si>
  <si>
    <t>L-101</t>
  </si>
  <si>
    <t>HYG-54</t>
  </si>
  <si>
    <t>HYG-55</t>
  </si>
  <si>
    <t>L-217</t>
  </si>
  <si>
    <t>HYG-56</t>
  </si>
  <si>
    <t>HYG-57</t>
  </si>
  <si>
    <t>HYG-58</t>
  </si>
  <si>
    <t>L-078</t>
  </si>
  <si>
    <t>HYG-59</t>
  </si>
  <si>
    <t>HYG-60</t>
  </si>
  <si>
    <t>Tercera etapa de red de gas en desarrollo de proyecto</t>
  </si>
  <si>
    <t>L-091</t>
  </si>
  <si>
    <t>HYG-61</t>
  </si>
  <si>
    <t>HYG-62</t>
  </si>
  <si>
    <t>L-404</t>
  </si>
  <si>
    <t>HYG-63</t>
  </si>
  <si>
    <t>RUMI HUASI - LA HIGUERA</t>
  </si>
  <si>
    <t>HYG-64</t>
  </si>
  <si>
    <t>L-405</t>
  </si>
  <si>
    <t>HYG-65</t>
  </si>
  <si>
    <t>Quinta etapa de red de gas obra fisica finalizada</t>
  </si>
  <si>
    <t>HYG-66</t>
  </si>
  <si>
    <t>ARQ-165</t>
  </si>
  <si>
    <t>L-302</t>
  </si>
  <si>
    <t>HYG-70</t>
  </si>
  <si>
    <t>ARQ-134</t>
  </si>
  <si>
    <t>L-047</t>
  </si>
  <si>
    <t>HYG-71</t>
  </si>
  <si>
    <t>0045-025686/2023</t>
  </si>
  <si>
    <t>HYG-72</t>
  </si>
  <si>
    <t>Redes internas de tres instituciones educativas obra fisica finalizada</t>
  </si>
  <si>
    <t>L-406</t>
  </si>
  <si>
    <t>BACHEO ZONA ESTE</t>
  </si>
  <si>
    <t>HYG-73</t>
  </si>
  <si>
    <t>Establecimiento Educativo Secundario IPEM N° 408 "María Elena Walsh"
Establecimiento Educativo Primario Martín Miguel de Guemes
C.E.N.I. Martín Miguel de Guemes</t>
  </si>
  <si>
    <t>HYG-74</t>
  </si>
  <si>
    <t>L-102</t>
  </si>
  <si>
    <t>HYG-75</t>
  </si>
  <si>
    <t>DPV-68</t>
  </si>
  <si>
    <t>L-407</t>
  </si>
  <si>
    <t>HYG-76</t>
  </si>
  <si>
    <t>BENJAMÍN GOULD</t>
  </si>
  <si>
    <t>DPV-69</t>
  </si>
  <si>
    <t>Jardín de Infantes "Sin Nombre"
Escuela Primaria Alfonsina Storni
IPEM N°32 Estancia Potrero de Garay</t>
  </si>
  <si>
    <t>DPV-70</t>
  </si>
  <si>
    <t>L-192</t>
  </si>
  <si>
    <t>HYG-77</t>
  </si>
  <si>
    <t>HYG-78</t>
  </si>
  <si>
    <t>L-163</t>
  </si>
  <si>
    <t>BIALET MASSÉ</t>
  </si>
  <si>
    <t>0045-023855/2022</t>
  </si>
  <si>
    <t>HYG-79</t>
  </si>
  <si>
    <t>REHABILITACIÓN PARCIAL RPN°10-TR: LAS JUNTURAS-COLAZO-INTERSECCIÓN RPN°10 Y E-87 Y MANTENIMIENTO DE RUTAS ALEDAÑAS</t>
  </si>
  <si>
    <t>HYG-80</t>
  </si>
  <si>
    <t>L-339</t>
  </si>
  <si>
    <t>Primera etapa de red de gas en proceso de habilitación</t>
  </si>
  <si>
    <t>BOR-COM SOCIEDAD ANONIMA</t>
  </si>
  <si>
    <t>HYG-81</t>
  </si>
  <si>
    <t>CAÑADA DE MACHADO - COLAZO - LAS JUNTURAS - VILLA DEL ROSARIO</t>
  </si>
  <si>
    <t>HYG-82</t>
  </si>
  <si>
    <t>L-303</t>
  </si>
  <si>
    <t>HYG-83</t>
  </si>
  <si>
    <t>HYG-84</t>
  </si>
  <si>
    <t>L-063</t>
  </si>
  <si>
    <t>HYG-85</t>
  </si>
  <si>
    <t>HYG-86</t>
  </si>
  <si>
    <t>Tercera etapa en desarrollo de proyecto</t>
  </si>
  <si>
    <t>L-193</t>
  </si>
  <si>
    <t>HYG-87</t>
  </si>
  <si>
    <t>HYG-88</t>
  </si>
  <si>
    <t>L-164</t>
  </si>
  <si>
    <t>HYG-89</t>
  </si>
  <si>
    <t>0045-024373/2022</t>
  </si>
  <si>
    <t>HYG-90</t>
  </si>
  <si>
    <t>REHABILITACIÓN DE R.P. N° 11 - TRAMO: ISLA VERDE - INT. R.P. N° 12 (SUR ) Y RUTAS ALEDAÑAS</t>
  </si>
  <si>
    <t>HYG-91</t>
  </si>
  <si>
    <t>L-254</t>
  </si>
  <si>
    <t>VIAL AGRO S.A.</t>
  </si>
  <si>
    <t>RÍO SEGUNDO</t>
  </si>
  <si>
    <t>Cuarta etapa de red habilitada</t>
  </si>
  <si>
    <t>HYG-92</t>
  </si>
  <si>
    <t>ISLA VERDE Y OTRAS</t>
  </si>
  <si>
    <t>HYG-93</t>
  </si>
  <si>
    <t>L-255</t>
  </si>
  <si>
    <t>HYG-94</t>
  </si>
  <si>
    <t>HYG-95</t>
  </si>
  <si>
    <t>L-002</t>
  </si>
  <si>
    <t>DPV-71</t>
  </si>
  <si>
    <t>L-119</t>
  </si>
  <si>
    <t>HYG-96</t>
  </si>
  <si>
    <t>HYG-97</t>
  </si>
  <si>
    <t>L-361</t>
  </si>
  <si>
    <t>HYG-98</t>
  </si>
  <si>
    <t>0045-023990/2022</t>
  </si>
  <si>
    <t>HYG-99</t>
  </si>
  <si>
    <t>REPAVIMENTACIÓN PISTA AERODROMO DE MARCOS JUÁREZ-DPTO MARCOS JUÁREZ</t>
  </si>
  <si>
    <t>L-408</t>
  </si>
  <si>
    <t>HYG-100</t>
  </si>
  <si>
    <t>HYG-101</t>
  </si>
  <si>
    <t>L-382</t>
  </si>
  <si>
    <t>DPV-72</t>
  </si>
  <si>
    <t>DPV-73</t>
  </si>
  <si>
    <t>L-383</t>
  </si>
  <si>
    <t>HYG-102</t>
  </si>
  <si>
    <t>DPV-74</t>
  </si>
  <si>
    <t>L-218</t>
  </si>
  <si>
    <t>Localidad con gas previo, tercera ampliacion habilitada</t>
  </si>
  <si>
    <t>DPV-75</t>
  </si>
  <si>
    <t>DPV-76</t>
  </si>
  <si>
    <t>L-092</t>
  </si>
  <si>
    <t>DPV-77</t>
  </si>
  <si>
    <t>DPV-78</t>
  </si>
  <si>
    <t>L-003</t>
  </si>
  <si>
    <t>DPV-79</t>
  </si>
  <si>
    <t>DPV-80</t>
  </si>
  <si>
    <t>DPV-81</t>
  </si>
  <si>
    <t>L-219</t>
  </si>
  <si>
    <t>DPV-82</t>
  </si>
  <si>
    <t>DPV-83</t>
  </si>
  <si>
    <t>0045-023808/2022</t>
  </si>
  <si>
    <t>L-384</t>
  </si>
  <si>
    <t>DPV-84</t>
  </si>
  <si>
    <t>PAVIMENTACIÓN RUTA PROVINCIAL S-528. TRAMO: R.P. N° 23 - LAS ALBAHACAS - VILLA EL CHACAY. DPTO.: RIO CUARTO</t>
  </si>
  <si>
    <t>DPV-85</t>
  </si>
  <si>
    <t>LUCIANO S.A.</t>
  </si>
  <si>
    <t>L-256</t>
  </si>
  <si>
    <t>DPV-86</t>
  </si>
  <si>
    <t xml:space="preserve">Primera ampliacion de red con expediente en proceso </t>
  </si>
  <si>
    <t>DPV-87</t>
  </si>
  <si>
    <t>DPV-88</t>
  </si>
  <si>
    <t>L-165</t>
  </si>
  <si>
    <t>DPV-89</t>
  </si>
  <si>
    <t>DPV-90</t>
  </si>
  <si>
    <t>L-120</t>
  </si>
  <si>
    <t>CAPITÁN GENERAL BERNARDO O´HIGGINS</t>
  </si>
  <si>
    <t>ELE-2</t>
  </si>
  <si>
    <t>DPV-91</t>
  </si>
  <si>
    <t>L-103</t>
  </si>
  <si>
    <t>0045-025542/2023</t>
  </si>
  <si>
    <t>L-257</t>
  </si>
  <si>
    <t>Red interna de dos instituciones educativas inauguradas</t>
  </si>
  <si>
    <t>REHABILITACION R.P. N° 6 - TRAMO ZONA URBANA INRIVILLE</t>
  </si>
  <si>
    <t>Escuela Primaria Jhon F. Kennedy
Jardín de Infantes  Federico Froebel</t>
  </si>
  <si>
    <t>ROVIAL SA</t>
  </si>
  <si>
    <t>L-166</t>
  </si>
  <si>
    <t>CASA GRANDE - MOLINARI</t>
  </si>
  <si>
    <t>DPV-92</t>
  </si>
  <si>
    <t>DPV-93</t>
  </si>
  <si>
    <t>L-121</t>
  </si>
  <si>
    <t>DPV-94</t>
  </si>
  <si>
    <t>DPV-95</t>
  </si>
  <si>
    <t>Escuela primaria San Martin y Gomez -Secundaria IPEM 340</t>
  </si>
  <si>
    <t>L-242</t>
  </si>
  <si>
    <t>DPV-96</t>
  </si>
  <si>
    <t>ELE-3</t>
  </si>
  <si>
    <t>DPV-97</t>
  </si>
  <si>
    <t>L-194</t>
  </si>
  <si>
    <t>CHAJÁN</t>
  </si>
  <si>
    <t>DPV-98</t>
  </si>
  <si>
    <t>0045-024396/2022</t>
  </si>
  <si>
    <t>DPV-99</t>
  </si>
  <si>
    <t>L-220</t>
  </si>
  <si>
    <t>PAVIMENTACIÓN DE RPN° S-409- TR: PROG 5,0- SAN JOSÉ- DPTO SAN JAVIER</t>
  </si>
  <si>
    <t>DPV-100</t>
  </si>
  <si>
    <t>I.P.E.M. N° 419 Hugo Plinio Pucheta
Primaria Domingo Faustino Sarmiento
Jardín de Infantes Los Aromitos</t>
  </si>
  <si>
    <t>COMUNIDAD REGIONAL DEL DEPARTAMENTO SAN JAVIER</t>
  </si>
  <si>
    <t>HYG-103</t>
  </si>
  <si>
    <t>L-146</t>
  </si>
  <si>
    <t>HYG-104</t>
  </si>
  <si>
    <t>DPV-101</t>
  </si>
  <si>
    <t>L-243</t>
  </si>
  <si>
    <t>HYG-105</t>
  </si>
  <si>
    <t>L-167</t>
  </si>
  <si>
    <t>HYG-106</t>
  </si>
  <si>
    <t>HYG-107</t>
  </si>
  <si>
    <t>DPV-121</t>
  </si>
  <si>
    <t>L-104</t>
  </si>
  <si>
    <t>0045-024209/2022</t>
  </si>
  <si>
    <t>HYG-108</t>
  </si>
  <si>
    <t>ROTONDA ACCESO OESTE A LA CIUDAD DE SAN FRANCISCO</t>
  </si>
  <si>
    <t>HYG-109</t>
  </si>
  <si>
    <t>CRUCE</t>
  </si>
  <si>
    <t>L-079</t>
  </si>
  <si>
    <t>HYG-110</t>
  </si>
  <si>
    <t>DPV-165</t>
  </si>
  <si>
    <t>L-409</t>
  </si>
  <si>
    <t>HYG-111</t>
  </si>
  <si>
    <t>L-195</t>
  </si>
  <si>
    <t>HYG-112</t>
  </si>
  <si>
    <t>HYG-113</t>
  </si>
  <si>
    <t>L-093</t>
  </si>
  <si>
    <t>HYG-114</t>
  </si>
  <si>
    <t>Red interna de una institucion educativa en desarrollo de proyecto</t>
  </si>
  <si>
    <t>DPV-166</t>
  </si>
  <si>
    <t>Establecimiento Educativo Escuela French y Berutti</t>
  </si>
  <si>
    <t>L-362</t>
  </si>
  <si>
    <t>DPV-132</t>
  </si>
  <si>
    <t>0045-025360/2023</t>
  </si>
  <si>
    <t>HYG-115</t>
  </si>
  <si>
    <t>DUPLICACIÓN DE CALZADA AV. DE CIRCUNVALACIÓN DE RIO CUARTO (A-005) - TRAMO: RN N°8 - CALLE GENERAL MOLINA - DPTO: RIO CUARTO</t>
  </si>
  <si>
    <t>HYG-116</t>
  </si>
  <si>
    <t>CIRCUNVALACIÓN</t>
  </si>
  <si>
    <t>L-392</t>
  </si>
  <si>
    <t>DPV-128</t>
  </si>
  <si>
    <t>DPV-170</t>
  </si>
  <si>
    <t>L-138</t>
  </si>
  <si>
    <t>DPV-172</t>
  </si>
  <si>
    <t>Establecimiento educativo red interna obra fisica finalizada</t>
  </si>
  <si>
    <t>Jardin CENI y escuela primaria Vicente López y Planes - Escuela Secundaria IPETYM N°63 Anexo Caminiaga</t>
  </si>
  <si>
    <t>DPV-171</t>
  </si>
  <si>
    <t>L-410</t>
  </si>
  <si>
    <t>HYG-132</t>
  </si>
  <si>
    <t>HYG-136</t>
  </si>
  <si>
    <t>DPV-169</t>
  </si>
  <si>
    <t>L-258</t>
  </si>
  <si>
    <t>HYG-149</t>
  </si>
  <si>
    <t>L-366</t>
  </si>
  <si>
    <t>0045-024188/2022</t>
  </si>
  <si>
    <t>Redes internas de tres instituciones educativas con avances fisicos finalizados</t>
  </si>
  <si>
    <t>HYG-142</t>
  </si>
  <si>
    <t>I.P.E.M. N° 299 
Establecimiento educativo Escuela Justo Abel Cartas
Establecimiento educativo Jardin Justo Abel Cartas</t>
  </si>
  <si>
    <t>PASARELA PEATONAL EN PARQUE LAS HERAS</t>
  </si>
  <si>
    <t>HYG-137</t>
  </si>
  <si>
    <t>L-304</t>
  </si>
  <si>
    <t>CONSORCIOS COOPERACION PASARELA PEATONAL LAS HERAS</t>
  </si>
  <si>
    <t>CÓRDOBA</t>
  </si>
  <si>
    <t>DPV-129</t>
  </si>
  <si>
    <t>L-122</t>
  </si>
  <si>
    <t>HYG-131</t>
  </si>
  <si>
    <t>Escuela Publica Primaria Ramon J Carcano</t>
  </si>
  <si>
    <t>HYG-130</t>
  </si>
  <si>
    <t>L-411</t>
  </si>
  <si>
    <t>DPV-141</t>
  </si>
  <si>
    <t>DPV-134</t>
  </si>
  <si>
    <t>L-412</t>
  </si>
  <si>
    <t>HYG-141</t>
  </si>
  <si>
    <t>0045-025727/2023</t>
  </si>
  <si>
    <t>DPV-137</t>
  </si>
  <si>
    <t>L-027</t>
  </si>
  <si>
    <t>DUPLICACIÓN RUTA PROVINCIAL Nº 30 - TRAMO: BV. CIRCUNVALACIÓN OESTE - CALLE 18 DE MARZO - DPTO. RÍO CUARTO</t>
  </si>
  <si>
    <t>DPV-144</t>
  </si>
  <si>
    <t>HYG-194</t>
  </si>
  <si>
    <t>ANKA-LOO CONSTRUCCIONES S.R.L.</t>
  </si>
  <si>
    <t>HYG-140</t>
  </si>
  <si>
    <t>L-123</t>
  </si>
  <si>
    <t xml:space="preserve"> Esc Centro educativo Primario 24 de Septiembre</t>
  </si>
  <si>
    <t>L-305</t>
  </si>
  <si>
    <t>DPV-123</t>
  </si>
  <si>
    <t>DPV-173</t>
  </si>
  <si>
    <t>NO ENCONTRADA: "CAPILLA DEL SITON"</t>
  </si>
  <si>
    <t>L-221</t>
  </si>
  <si>
    <t>DPV-136</t>
  </si>
  <si>
    <t>L-306</t>
  </si>
  <si>
    <t>HYG-201</t>
  </si>
  <si>
    <t>0045-023987/2022</t>
  </si>
  <si>
    <t>Red interna de institucion educativa obra fisica finalizada</t>
  </si>
  <si>
    <t>Establecimiento Escolar Pedro N. Arias</t>
  </si>
  <si>
    <t>CIRCUNVALACION SUR - ESTE DE VILLA MARIA. TRAMO: R.P. N 4 - R.N. N 9. DEPARTAMENTO: GRAL. SAN MARTIN</t>
  </si>
  <si>
    <t>L-307</t>
  </si>
  <si>
    <t>HYG-148</t>
  </si>
  <si>
    <t>PABLO FEDERICO E HIJOS SA</t>
  </si>
  <si>
    <t>HYG-129</t>
  </si>
  <si>
    <t>VILLA MARÍA</t>
  </si>
  <si>
    <t>L-308</t>
  </si>
  <si>
    <t>ELE-12</t>
  </si>
  <si>
    <t>L-309</t>
  </si>
  <si>
    <t>HYG-128</t>
  </si>
  <si>
    <t>COLONIA SAN BARTOLOMÉ</t>
  </si>
  <si>
    <t>Escuela Primaria Francisco Narciso Laprida
Jardín de Infantes Francisco Narciso Laprida
I.P.E.A. N°223 Ramón Quinteros</t>
  </si>
  <si>
    <t>HYG-146</t>
  </si>
  <si>
    <t>L-310</t>
  </si>
  <si>
    <t>HYG-133</t>
  </si>
  <si>
    <t>HYG-134</t>
  </si>
  <si>
    <t>0045-025558/2023</t>
  </si>
  <si>
    <t>L-028</t>
  </si>
  <si>
    <t>Red interna de institucion educativa en ejecucion</t>
  </si>
  <si>
    <t>DPV-122</t>
  </si>
  <si>
    <t>Jardin de infantes Sala Anexa Federico Froebel</t>
  </si>
  <si>
    <t>REHABILITACIÓN RPN° S-271- TR: LOS REARTES- VA. GRAL. BELGRANO Y RPN° S-495- TR: VA. CIUDAD AMÉRICA-POTRERO DE GARAY Y CONSERVACIÓN DE RUTAS ALEDAÑAS</t>
  </si>
  <si>
    <t>DPV-145</t>
  </si>
  <si>
    <t>L-311</t>
  </si>
  <si>
    <t>PAOLINI HNOS. S.A.</t>
  </si>
  <si>
    <t>HYG-138</t>
  </si>
  <si>
    <t>DPV-125</t>
  </si>
  <si>
    <t>L-029</t>
  </si>
  <si>
    <t>HYG-205</t>
  </si>
  <si>
    <t>COLONIA VICENTE AGÜERO</t>
  </si>
  <si>
    <t>EPEC-1</t>
  </si>
  <si>
    <t>Jardin y Escuela Primaria Jose Manuel Estrada 
Escuela Secundaria - IPET N° 34</t>
  </si>
  <si>
    <t>L-259</t>
  </si>
  <si>
    <t>EPEC-2</t>
  </si>
  <si>
    <t>EPEC-3</t>
  </si>
  <si>
    <t>EPEC-4</t>
  </si>
  <si>
    <t>L-312</t>
  </si>
  <si>
    <t>EPEC-5</t>
  </si>
  <si>
    <t>0045-025541/2023</t>
  </si>
  <si>
    <t>EPEC-6</t>
  </si>
  <si>
    <t>L-222</t>
  </si>
  <si>
    <t>REHABILITACIÓN RPN°2- TR: VILLA MARÍA- ANA ZUMARÁN Y MANTENIMIENTO DE RUTAS ALEDAÑAS</t>
  </si>
  <si>
    <t>EPEC-7</t>
  </si>
  <si>
    <t>EPEC-8</t>
  </si>
  <si>
    <t>L-288</t>
  </si>
  <si>
    <t>EPEC-9</t>
  </si>
  <si>
    <t>EPEC-10</t>
  </si>
  <si>
    <t>L-094</t>
  </si>
  <si>
    <t>EPEC-11</t>
  </si>
  <si>
    <t>Escuela Primaria  Florentino Ameghino</t>
  </si>
  <si>
    <t>EPEC-12</t>
  </si>
  <si>
    <t>L-025</t>
  </si>
  <si>
    <t>EPEC-13</t>
  </si>
  <si>
    <t>EPEC-14</t>
  </si>
  <si>
    <t>L-196</t>
  </si>
  <si>
    <t>EPEC-15</t>
  </si>
  <si>
    <t>0045-025594/2023</t>
  </si>
  <si>
    <t>EPEC-16</t>
  </si>
  <si>
    <t>L-197</t>
  </si>
  <si>
    <t>BACHEO ZONA SUR</t>
  </si>
  <si>
    <t>EPEC-17</t>
  </si>
  <si>
    <t>EPEC-18</t>
  </si>
  <si>
    <t>L-124</t>
  </si>
  <si>
    <t>EPEC-19</t>
  </si>
  <si>
    <t>EPEC-20</t>
  </si>
  <si>
    <t>L-367</t>
  </si>
  <si>
    <t>EPEC-21</t>
  </si>
  <si>
    <t>EPEC-22</t>
  </si>
  <si>
    <t>Escuela Primaria C.E. Obispo Olegario Correa</t>
  </si>
  <si>
    <t>L-168</t>
  </si>
  <si>
    <t>COSQUÍN</t>
  </si>
  <si>
    <t>EPEC-23</t>
  </si>
  <si>
    <t>EPEC-24</t>
  </si>
  <si>
    <t>L-260</t>
  </si>
  <si>
    <t>EPEC-25</t>
  </si>
  <si>
    <t>COSTASACATE</t>
  </si>
  <si>
    <t>0045-023970/2022</t>
  </si>
  <si>
    <t>EPEC-26</t>
  </si>
  <si>
    <t>ILUMINACION RUTA PCIAL U-201 -(CAMINO CHACRA DE LA MERCED) Y AV. SAN MARTIN EN MALVINAS ARGENTINAS. - DEPARTAMENTO: CAPITAL - COLON</t>
  </si>
  <si>
    <t>EPEC-27</t>
  </si>
  <si>
    <t>L-125</t>
  </si>
  <si>
    <t>Establecimiento educativo con red de gas inaugurada</t>
  </si>
  <si>
    <t>INGENIA GRUPO CONSULTOR S.A.</t>
  </si>
  <si>
    <t>Escuela Primaria Ramón Lorenzo Falcón</t>
  </si>
  <si>
    <t>EPEC-28</t>
  </si>
  <si>
    <t>CORDOBA CAPITAL</t>
  </si>
  <si>
    <t>EPEC-29</t>
  </si>
  <si>
    <t>L-048</t>
  </si>
  <si>
    <t>EPEC-30</t>
  </si>
  <si>
    <t>EPEC-31</t>
  </si>
  <si>
    <t>L-049</t>
  </si>
  <si>
    <t>EPEC-32</t>
  </si>
  <si>
    <t>EPEC-33</t>
  </si>
  <si>
    <t>Red interna de gas de Establecimiento educativo habilitado</t>
  </si>
  <si>
    <t>L-169</t>
  </si>
  <si>
    <t>Primario Dr. José Garcia González</t>
  </si>
  <si>
    <t>EPEC-34</t>
  </si>
  <si>
    <t>0045-025531/2023</t>
  </si>
  <si>
    <t>EPEC-35</t>
  </si>
  <si>
    <t>REHABILITACIÓN RPN°27- TR: JOVITA- MATTALDI Y MANTENIMIENTO DE RUTAS ALEDAÑAS</t>
  </si>
  <si>
    <t>L-368</t>
  </si>
  <si>
    <t>EPEC-36</t>
  </si>
  <si>
    <t>DALMACIO VÉLEZ</t>
  </si>
  <si>
    <t>EPEC-37</t>
  </si>
  <si>
    <t>JOVITA-MATTALDI</t>
  </si>
  <si>
    <t>EPEC-38</t>
  </si>
  <si>
    <t>EPEC-39</t>
  </si>
  <si>
    <t>L-095</t>
  </si>
  <si>
    <t>EPEC-40</t>
  </si>
  <si>
    <t>EPEC-41</t>
  </si>
  <si>
    <t>L-064</t>
  </si>
  <si>
    <t>EPEC-42</t>
  </si>
  <si>
    <t>Ampliación en desarrollo de proyecto</t>
  </si>
  <si>
    <t>EPEC-43</t>
  </si>
  <si>
    <t>0045-023978/2022</t>
  </si>
  <si>
    <t>L-340</t>
  </si>
  <si>
    <t>RECONSTRUCCION AVENIDA COSTANERA SUR DEL RIO SUQUIA</t>
  </si>
  <si>
    <t>EPEC-44</t>
  </si>
  <si>
    <t>L-313</t>
  </si>
  <si>
    <t>EPEC-45</t>
  </si>
  <si>
    <t>EPEC-46</t>
  </si>
  <si>
    <t>L-223</t>
  </si>
  <si>
    <t>EPEC-47</t>
  </si>
  <si>
    <t>EPEC-48</t>
  </si>
  <si>
    <t>L-341</t>
  </si>
  <si>
    <t>EPEC-49</t>
  </si>
  <si>
    <t>EPEC-50</t>
  </si>
  <si>
    <t>EPEC-51</t>
  </si>
  <si>
    <t>EPEC-52</t>
  </si>
  <si>
    <t>EPEC-53</t>
  </si>
  <si>
    <t>TRES ARBOLES - LA HIGUERA</t>
  </si>
  <si>
    <t>EPEC-54</t>
  </si>
  <si>
    <t>EPEC-55</t>
  </si>
  <si>
    <t>"Convenio de colaboración entre la provincia de Córdoba y la municipalidad de Sinsacate para optimizar y mejorar el servicio de gas natural"  Obra de red gasoducto y prp - Obra a realizar privada con contribución de la provincia para materiales</t>
  </si>
  <si>
    <t>EPEC-56</t>
  </si>
  <si>
    <t>EPEC-57</t>
  </si>
  <si>
    <t>EPEC-58</t>
  </si>
  <si>
    <t>L-314</t>
  </si>
  <si>
    <t>EPEC-59</t>
  </si>
  <si>
    <t>0045-023154/2021</t>
  </si>
  <si>
    <t>PAVIMENTACIÓN RUTA PROVINCIAL A-175. TRAMO: MEDIA NARANJA - ALTO DE LOS QUEBRACHOS. DEPARTAMENTO: CRUZ DEL EJE.</t>
  </si>
  <si>
    <t>EPEC-60</t>
  </si>
  <si>
    <t>LUIS LOSI S.A.</t>
  </si>
  <si>
    <t>L-050</t>
  </si>
  <si>
    <t>Escuela primaria Martin Miguel de Guemes</t>
  </si>
  <si>
    <t>EPEC-61</t>
  </si>
  <si>
    <t>ALTO DE LOS QUEBRACHOS - MEDIA NARANJA</t>
  </si>
  <si>
    <t>EPEC-62</t>
  </si>
  <si>
    <t>L-139</t>
  </si>
  <si>
    <t>EPEC-63</t>
  </si>
  <si>
    <t>EPEC-64</t>
  </si>
  <si>
    <t>L-224</t>
  </si>
  <si>
    <t>EPEC-65</t>
  </si>
  <si>
    <t>0045-024308/2022</t>
  </si>
  <si>
    <t>EPEC-66</t>
  </si>
  <si>
    <t>ROTONDA EN INTERSECCIÓN ENTRE RPN°11 Y RPN°12- DPTO MARCOS JUÁREZ</t>
  </si>
  <si>
    <t>Establecimiento educativo Domingo Faustino Sarmiento</t>
  </si>
  <si>
    <t>ROTONDA</t>
  </si>
  <si>
    <t>THEBA SOCIEDAD DE RESPONSABILIDAD LIMITADA</t>
  </si>
  <si>
    <t>EPEC-67</t>
  </si>
  <si>
    <t>L-315</t>
  </si>
  <si>
    <t>EL FORTÍN</t>
  </si>
  <si>
    <t>EPEC-68</t>
  </si>
  <si>
    <t>EPEC-69</t>
  </si>
  <si>
    <t>L-030</t>
  </si>
  <si>
    <t>EPEC-70</t>
  </si>
  <si>
    <t>EPEC-71</t>
  </si>
  <si>
    <t>EPEC-72</t>
  </si>
  <si>
    <t>L-105</t>
  </si>
  <si>
    <t>0045-023575/2021</t>
  </si>
  <si>
    <t>REHABILITACIÓN RPN°4- TR: ETRURIA-CHAZÓN YCONSERVACIÓN DE RUTAS ALEDAÑAS</t>
  </si>
  <si>
    <t>EPEC-73</t>
  </si>
  <si>
    <t>EPEC-74</t>
  </si>
  <si>
    <t>L-393</t>
  </si>
  <si>
    <t>CHAZON - ETRURIA</t>
  </si>
  <si>
    <t>EPEC-75</t>
  </si>
  <si>
    <t>EPEC-76</t>
  </si>
  <si>
    <t>Cuarta etapa de red de gas en desarrollo de proyecto</t>
  </si>
  <si>
    <t>L-316</t>
  </si>
  <si>
    <t>EPEC-77</t>
  </si>
  <si>
    <t>EL TÍO</t>
  </si>
  <si>
    <t>EPEC-78</t>
  </si>
  <si>
    <t>EPEC-79</t>
  </si>
  <si>
    <t>L-198</t>
  </si>
  <si>
    <t>0045-023800/2022</t>
  </si>
  <si>
    <t>EPEC-80</t>
  </si>
  <si>
    <t>DUPLICACIÓN RUTA PROVINCIAL N°30 - TRAMO: RUTA NACIONAL A005 - BOULEVARD CIRCUNVALACIÓN OESTE</t>
  </si>
  <si>
    <t>EPEC-81</t>
  </si>
  <si>
    <t>L-004</t>
  </si>
  <si>
    <t>EPEC-82</t>
  </si>
  <si>
    <t>Tercer etapa de red de gas habilitada e inaugurada</t>
  </si>
  <si>
    <t>EPEC-83</t>
  </si>
  <si>
    <t>L-225</t>
  </si>
  <si>
    <t>EPEC-84</t>
  </si>
  <si>
    <t>EPEC-85</t>
  </si>
  <si>
    <t>L-031</t>
  </si>
  <si>
    <t>EPEC-86</t>
  </si>
  <si>
    <t>ESTACIÓN GENERAL PAZ</t>
  </si>
  <si>
    <t>0045-023712/2022</t>
  </si>
  <si>
    <t>OBRAS DE EMERGENCIAS EN RUTAS PAVIMENTADAS DE MONTAÑA DE LA PROVINCIA DE CÓRDOBA</t>
  </si>
  <si>
    <t>EPEC-87</t>
  </si>
  <si>
    <t>L-032</t>
  </si>
  <si>
    <t>EPEC-88</t>
  </si>
  <si>
    <t>Tercer etapa de red de gas desarrollo de proyecto</t>
  </si>
  <si>
    <t>ESTACIÓN JUÁREZ CELMAN</t>
  </si>
  <si>
    <t>EPEC-89</t>
  </si>
  <si>
    <t>EPEC-90</t>
  </si>
  <si>
    <t>L-140</t>
  </si>
  <si>
    <t>EPEC-91</t>
  </si>
  <si>
    <t>EPEC-92</t>
  </si>
  <si>
    <t>L-170</t>
  </si>
  <si>
    <t>EPEC-93</t>
  </si>
  <si>
    <t>0045-024225/2022</t>
  </si>
  <si>
    <t>EPEC-94</t>
  </si>
  <si>
    <t>REHABILITACION DE R.P. N° 6- TRAMO: ORDOÑEZ - INTERSECCION R.P. N° 3</t>
  </si>
  <si>
    <t>L-080</t>
  </si>
  <si>
    <t>EPEC-95</t>
  </si>
  <si>
    <t>EPEC-96</t>
  </si>
  <si>
    <t>L-244</t>
  </si>
  <si>
    <t>EPEC-97</t>
  </si>
  <si>
    <t>EPEC-98</t>
  </si>
  <si>
    <t>L-342</t>
  </si>
  <si>
    <t>EPEC-99</t>
  </si>
  <si>
    <t>EPEC-100</t>
  </si>
  <si>
    <t>0045-023236/2021</t>
  </si>
  <si>
    <t>L-317</t>
  </si>
  <si>
    <t>EPEC-101</t>
  </si>
  <si>
    <t>PAVIMENTACIÓN RUTA PROVINCIAL N°16 / TRAMO: LAS ARRIAS - SAN JOSE DE LA DORMIDA / PRIMERA ETAPA DE PAVIMENTACIÓN: DESDE PROGRESIVA 11600 A PROGRESIVA 33541</t>
  </si>
  <si>
    <t>BENITO ROGGIO E HIJOS S.A.</t>
  </si>
  <si>
    <t>EPEC-102</t>
  </si>
  <si>
    <t>LAS ARRIAS - SAN JOSÉ DE LA DORMIDA</t>
  </si>
  <si>
    <t>L-126</t>
  </si>
  <si>
    <t>EPEC-103</t>
  </si>
  <si>
    <t>Establecimiento educativo con red de gas habilitada</t>
  </si>
  <si>
    <t>Remedios de Escalada de San Martin</t>
  </si>
  <si>
    <t>EPEC-104</t>
  </si>
  <si>
    <t>L-106</t>
  </si>
  <si>
    <t>EPEC-105</t>
  </si>
  <si>
    <t>EPEC-106</t>
  </si>
  <si>
    <t>L-107</t>
  </si>
  <si>
    <t>EPEC-107</t>
  </si>
  <si>
    <t>0045-025570/2023</t>
  </si>
  <si>
    <t>EPEC-108</t>
  </si>
  <si>
    <t>REHABILITACIÓN RPN°3- TR: ACCESO VIAMONTE- LA CESIRA Y MANTENIMIENTO DE RUTAS ALEDAÑAS</t>
  </si>
  <si>
    <t>Quinta etapa de red de gas habilitada</t>
  </si>
  <si>
    <t>EPEC-109</t>
  </si>
  <si>
    <t>L-369</t>
  </si>
  <si>
    <t>EPEC-110</t>
  </si>
  <si>
    <t>L-153</t>
  </si>
  <si>
    <t>EPEC-111</t>
  </si>
  <si>
    <t>L-127</t>
  </si>
  <si>
    <t>Dos establecimiento educativo con red de gas fisicamente finalizadas - Jardin Habilitado</t>
  </si>
  <si>
    <t>EPEC-112</t>
  </si>
  <si>
    <t>Jardin Benito Quinquela Martin - Establecimiento educativo Benito Quinquela Martin J.C.A.A.</t>
  </si>
  <si>
    <t>0045-023495/2021</t>
  </si>
  <si>
    <t>PASO SOBRE NIVEL RUTA NACIONAL N°9 SOBRE CALLE SAN MARTIN - JESUS MARÍA - DEPARTAMENTO: COLÓN</t>
  </si>
  <si>
    <t>EPEC-113</t>
  </si>
  <si>
    <t>L-051</t>
  </si>
  <si>
    <t>EPEC-114</t>
  </si>
  <si>
    <t>JESÚS MARÍA</t>
  </si>
  <si>
    <t>EPEC-115</t>
  </si>
  <si>
    <t>L-141</t>
  </si>
  <si>
    <t>EPEC-116</t>
  </si>
  <si>
    <t xml:space="preserve">Establecimiento educativo con red de gas habilitada </t>
  </si>
  <si>
    <t>EPEC-117</t>
  </si>
  <si>
    <t>Centro Educativo Nicolás Avellaneda</t>
  </si>
  <si>
    <t>L-128</t>
  </si>
  <si>
    <t>EPEC-118</t>
  </si>
  <si>
    <t>EPEC-119</t>
  </si>
  <si>
    <t>0045-023651/2021</t>
  </si>
  <si>
    <t>SEGURIDAD VIAL REGIÓN "C"-RED PAVIMENTADA DE LA PCIA.- DPTOS: CALAMUCHITA- RIOIV-GRAL. SAN MARTÍN-ROQUE SAENZ PEÑA-JUAREZ CELMAN-MARCOS JUAREZ-TERCERO ARRIBA-RÍO II</t>
  </si>
  <si>
    <t>EPEC-120</t>
  </si>
  <si>
    <t>L-245</t>
  </si>
  <si>
    <t>VAWA S.A. CICI</t>
  </si>
  <si>
    <t>EPEC-121</t>
  </si>
  <si>
    <t>EPEC-122</t>
  </si>
  <si>
    <t>Primera ampliacion de red de gas habilitada</t>
  </si>
  <si>
    <t>L-370</t>
  </si>
  <si>
    <t>EPEC-123</t>
  </si>
  <si>
    <t>EPEC-124</t>
  </si>
  <si>
    <t>L-108</t>
  </si>
  <si>
    <t>EPEC-125</t>
  </si>
  <si>
    <t>0045-025196/2023</t>
  </si>
  <si>
    <t>PAVIMENTACIÓN COSTANERA VILLA CURA BROCHERO DESDE PUENTE AMARILLO HASTA R.P. N° 15 Y EJECUCIÓN DE INTERSECCIÓN DE COSTANERA VILLA CURA BROCHERO Y R.P. N° 15. DEPARTAMENTO SAN ALBERTO</t>
  </si>
  <si>
    <t>EPEC-126</t>
  </si>
  <si>
    <t>L-171</t>
  </si>
  <si>
    <t>COMUNIDAD REGIONAL DEPARTAMENTO SAN ALBERTO</t>
  </si>
  <si>
    <t>Dos establecimientos educativos redes internas inauguradas</t>
  </si>
  <si>
    <t>Jardín de Infantes Juan Bautista Alberdi - I.P.E.M. N° 324 José Manuel Estrada</t>
  </si>
  <si>
    <t>EPEC-127</t>
  </si>
  <si>
    <t>EPEC-128</t>
  </si>
  <si>
    <t>L-065</t>
  </si>
  <si>
    <t>EPEC-132</t>
  </si>
  <si>
    <t>EPEC-133</t>
  </si>
  <si>
    <t>L-413</t>
  </si>
  <si>
    <t>EPEC-134</t>
  </si>
  <si>
    <t>0045-024384/2022</t>
  </si>
  <si>
    <t>PAVIMENTACIÓN ACCESO SUR - MUNICIPALIDAD DE SAN ANTONIO DE ARREDONDO</t>
  </si>
  <si>
    <t>L-261</t>
  </si>
  <si>
    <t>EPEC-135</t>
  </si>
  <si>
    <t>VADIEG S.A.</t>
  </si>
  <si>
    <t>EPEC-136</t>
  </si>
  <si>
    <t>EPEC-137</t>
  </si>
  <si>
    <t>L-129</t>
  </si>
  <si>
    <t>EPEC-138</t>
  </si>
  <si>
    <t>EPEC-139</t>
  </si>
  <si>
    <t>L-130</t>
  </si>
  <si>
    <t>Dos establecimientos educativos con red de gas en desarrollo de proyecto</t>
  </si>
  <si>
    <t>EPEC-140</t>
  </si>
  <si>
    <t>Establecimiento Educativo Almafuerte - Jardín de infantes "Anexo José Hernández"</t>
  </si>
  <si>
    <t>EPEC-141</t>
  </si>
  <si>
    <t>L-066</t>
  </si>
  <si>
    <t>EPEC-142</t>
  </si>
  <si>
    <t>EPEC-143</t>
  </si>
  <si>
    <t>L-371</t>
  </si>
  <si>
    <t>EPEC-144</t>
  </si>
  <si>
    <t>EPEC-145</t>
  </si>
  <si>
    <t>Localidad con gas previo, Primera ampliación de red de gas  con expediente en proceso</t>
  </si>
  <si>
    <t>L-033</t>
  </si>
  <si>
    <t>EPEC-146</t>
  </si>
  <si>
    <t>0045-023356/2021</t>
  </si>
  <si>
    <t>EPEC-147</t>
  </si>
  <si>
    <t>INTERSECCIÓN DE R.N. N°38 CON R.P. N°54 Y COSTANERA DE COSQUÍN - DEPARTAMENTO: PUNILLA</t>
  </si>
  <si>
    <t>EPEC-148</t>
  </si>
  <si>
    <t>L-067</t>
  </si>
  <si>
    <t>EPEC-149</t>
  </si>
  <si>
    <t>EPEC-150</t>
  </si>
  <si>
    <t>Localidad con gas previo, Tercera ampliación de red de gas  con expediente en proceso</t>
  </si>
  <si>
    <t>L-414</t>
  </si>
  <si>
    <t>EPEC-151</t>
  </si>
  <si>
    <t>EPEC-152</t>
  </si>
  <si>
    <t>L-226</t>
  </si>
  <si>
    <t>KILÓMETRO 658 (PEDRO E. VIVAS)</t>
  </si>
  <si>
    <t>EPEC-153</t>
  </si>
  <si>
    <t>0045-023237/2021</t>
  </si>
  <si>
    <t>EPEC-154</t>
  </si>
  <si>
    <t>SISTEMATIZACIÓN DE ACCESOS SOBRE RUTA NACIONAL N°9 EN JESUS MARIA</t>
  </si>
  <si>
    <t>L-052</t>
  </si>
  <si>
    <t>EPEC-155</t>
  </si>
  <si>
    <t>EPEC-156</t>
  </si>
  <si>
    <t>L-034</t>
  </si>
  <si>
    <t>EPEC-157</t>
  </si>
  <si>
    <t>L-109</t>
  </si>
  <si>
    <t>EPEC-158</t>
  </si>
  <si>
    <t>0045-022875/2020</t>
  </si>
  <si>
    <t>Localidad con gas previo, Primera ampliación de red de gas en desarrollo de proyecto</t>
  </si>
  <si>
    <t>PAVIMENTACION DE ACCESO A IMPIRA CAMINO T 182</t>
  </si>
  <si>
    <t>EPEC-159</t>
  </si>
  <si>
    <t>L-199</t>
  </si>
  <si>
    <t>LA CAROLINA - EL POTOSÍ</t>
  </si>
  <si>
    <t>EPEC-160</t>
  </si>
  <si>
    <t>EPEC-161</t>
  </si>
  <si>
    <t>L-200</t>
  </si>
  <si>
    <t>EPEC-162</t>
  </si>
  <si>
    <t>EPEC-163</t>
  </si>
  <si>
    <t>Localidad con gas previo, Primera ampliación de red de gas habilitada</t>
  </si>
  <si>
    <t>EPEC-164</t>
  </si>
  <si>
    <t>L-154</t>
  </si>
  <si>
    <t>EPEC-165</t>
  </si>
  <si>
    <t>0045-023436/2021</t>
  </si>
  <si>
    <t>EPEC-166</t>
  </si>
  <si>
    <t>OBRA: PAVIMENTACIÓN T211-14 CAMINO INTERCOUNTRY - SINSACATE. TRAMO: PTE. RIO JESÚS MARÍA - AV. LEOPOLDO REYNA. DEPARTAMENTO: COLON- TOTORAL.</t>
  </si>
  <si>
    <t>L-005</t>
  </si>
  <si>
    <t>EDECAR CONSTRUCTORA SA - DAVID SESTOPAL CONSORCIO DE COOPERACION</t>
  </si>
  <si>
    <t>EPEC-167</t>
  </si>
  <si>
    <t>EPEC-168</t>
  </si>
  <si>
    <t>L-172</t>
  </si>
  <si>
    <t>EPEC-169</t>
  </si>
  <si>
    <t>Tercera etapa de red de gas obra fisica finalizada</t>
  </si>
  <si>
    <t>EPEC-170</t>
  </si>
  <si>
    <t>L-006</t>
  </si>
  <si>
    <t>EPEC-171</t>
  </si>
  <si>
    <t>0045-023986/2022</t>
  </si>
  <si>
    <t>PAVIMENTACIÓN CALLES HOSPITAL REGIONAL JOSÉ A. CEBALLOS Y REPAVIMENTACIÓN PISTA AERÓDROMO DE BELL VILLE</t>
  </si>
  <si>
    <t>EPEC-172</t>
  </si>
  <si>
    <t>L-173</t>
  </si>
  <si>
    <t>EPEC-173</t>
  </si>
  <si>
    <t>Primer etapa de red de gas habilitada</t>
  </si>
  <si>
    <t>EPEC-174</t>
  </si>
  <si>
    <t>L-318</t>
  </si>
  <si>
    <t>EPEC-175</t>
  </si>
  <si>
    <t>EPEC-176</t>
  </si>
  <si>
    <t>L-035</t>
  </si>
  <si>
    <t>0045-023802/2022</t>
  </si>
  <si>
    <t>REHABILITACIÓN PARCIAL R.P. N° 11 TRAMO : CORRAL DE BUSTOS - LIMITE CON SANTA FE Y MANTENIMIENTO DE RUTAS ALEDAÑAS</t>
  </si>
  <si>
    <t>EPEC-177</t>
  </si>
  <si>
    <t>L-053</t>
  </si>
  <si>
    <t>EPEC-178</t>
  </si>
  <si>
    <t>CAS-28</t>
  </si>
  <si>
    <t>CAS-29</t>
  </si>
  <si>
    <t>L-081</t>
  </si>
  <si>
    <t>CAS-30</t>
  </si>
  <si>
    <t>0045-023475/2021</t>
  </si>
  <si>
    <t>L-343</t>
  </si>
  <si>
    <t>CAS-31</t>
  </si>
  <si>
    <t>REHABILITACION DE R.P. N° A-170 TRAMO: GUATIMOZIN - CAVANAGH Y CONSERVACION DE RUTAS ALEDAÑAS</t>
  </si>
  <si>
    <t>CAS-32</t>
  </si>
  <si>
    <t>CAVANAGH - GUATIMOZIN</t>
  </si>
  <si>
    <t>L-082</t>
  </si>
  <si>
    <t>CAS-33</t>
  </si>
  <si>
    <t>CAS-34</t>
  </si>
  <si>
    <t>L-385</t>
  </si>
  <si>
    <t>CAS-35</t>
  </si>
  <si>
    <t>CAS-36</t>
  </si>
  <si>
    <t>0045-023649/2021</t>
  </si>
  <si>
    <t>L-319</t>
  </si>
  <si>
    <t>CAS-37</t>
  </si>
  <si>
    <t>SEGURIDAD VIAL REGIÓN "A"-RED PAVIMENTADA DE LA PCIA.-DPTOS; CAPITAL-CALAMUCHITA-COLÓN-S MARÍA-PUNILLA-SAN ALBERTO-SAN JAVIER-POCHO-MINAS-C DEL EJE-ISCHILÍN-SOBREMONTE-TULUMBA-RÍO SECO-TOTORAL</t>
  </si>
  <si>
    <t>CAS-38</t>
  </si>
  <si>
    <t>L-227</t>
  </si>
  <si>
    <t>CAS-39</t>
  </si>
  <si>
    <t>CAS-40</t>
  </si>
  <si>
    <t>CAS-41</t>
  </si>
  <si>
    <t>L-289</t>
  </si>
  <si>
    <t>CAS-42</t>
  </si>
  <si>
    <t>L-142</t>
  </si>
  <si>
    <t>0045-023690/2021</t>
  </si>
  <si>
    <t>CAS-43</t>
  </si>
  <si>
    <t>PAVIMENTACIÓN RUTA PROVINCIAL N°16 / TRAMO: LAS ARRIAS - SAN JOSE DE LA DORMIDA / SEGUNDA ETAPA DE PAVIMENTACIÓN: DESDE PROGRESIVA 0 A PROGRESIVA 11600</t>
  </si>
  <si>
    <t>CAS-44</t>
  </si>
  <si>
    <t>L-083</t>
  </si>
  <si>
    <t>CAS-45</t>
  </si>
  <si>
    <t>CAS-46</t>
  </si>
  <si>
    <t>L-290</t>
  </si>
  <si>
    <t>CAS-47</t>
  </si>
  <si>
    <t>0045-023652/2021</t>
  </si>
  <si>
    <t>L-228</t>
  </si>
  <si>
    <t>CAS-48</t>
  </si>
  <si>
    <t>TRABAJOS DE BACHEO EN REGÍÓN CENTRO -DPTOS: TERCERO ARRIBA-CALAMUCHITA- RÍO IV-GRAL. SAN MARTÍN-RIO II-JUÁREZ CELMAN</t>
  </si>
  <si>
    <t>CAS-49</t>
  </si>
  <si>
    <t>L-229</t>
  </si>
  <si>
    <t>CAS-50</t>
  </si>
  <si>
    <t>CAS-51</t>
  </si>
  <si>
    <t>L-230</t>
  </si>
  <si>
    <t>CAS-52</t>
  </si>
  <si>
    <t>0045-021754/18</t>
  </si>
  <si>
    <t>CAS-53</t>
  </si>
  <si>
    <t>OBRA DE PROTECCION HIDRAULICA Y ESTABILIZACION DE TALUDES Y CONTRATALUDES EN RUTAS PROVINCIALES DE MONTAÑA DE LA PROVINCIA DE CORDOBA.</t>
  </si>
  <si>
    <t>L-344</t>
  </si>
  <si>
    <t>CAS-54</t>
  </si>
  <si>
    <t>LA RANCHERITA Y LAS CASCADAS</t>
  </si>
  <si>
    <t>CAS-55</t>
  </si>
  <si>
    <t>L-246</t>
  </si>
  <si>
    <t>CAS-56</t>
  </si>
  <si>
    <t>CAS-57</t>
  </si>
  <si>
    <t>CAS-58</t>
  </si>
  <si>
    <t>L-345</t>
  </si>
  <si>
    <t>18 MESES</t>
  </si>
  <si>
    <t>CAS-59</t>
  </si>
  <si>
    <t>CAS-60</t>
  </si>
  <si>
    <t>L-320</t>
  </si>
  <si>
    <t>CAS-61</t>
  </si>
  <si>
    <t>L-415</t>
  </si>
  <si>
    <t>CAS-62</t>
  </si>
  <si>
    <t>0045-023698/2022</t>
  </si>
  <si>
    <t>REHABILITACIÓN RPN°2- TR: INTERS RPN°E-79-RÍO TERCERO Y RPN°E-79- TR: ONCATIVO-COLONIA ALMADA</t>
  </si>
  <si>
    <t>CAS-63</t>
  </si>
  <si>
    <t>COLONIA ALMADA - ONCATIVO - RÍO TERCERO - VILLA ASCASUBI</t>
  </si>
  <si>
    <t>L-155</t>
  </si>
  <si>
    <t>CAS-64</t>
  </si>
  <si>
    <t>L-262</t>
  </si>
  <si>
    <t>CAS-65</t>
  </si>
  <si>
    <t>0045-023682/2021</t>
  </si>
  <si>
    <t>CAS-66</t>
  </si>
  <si>
    <t>L-201</t>
  </si>
  <si>
    <t>REHABILITACIÓN RPN°24-TRAMO: SAN BASILIO-PUENTE SANTA CATALINA Y CONSERVACIÓN DE RUTAS ALEDAÑAS</t>
  </si>
  <si>
    <t>CAS-67</t>
  </si>
  <si>
    <t>SAN BASILIO - SANTA CATALINA HOLMBERG</t>
  </si>
  <si>
    <t>CAS-68</t>
  </si>
  <si>
    <t>L-202</t>
  </si>
  <si>
    <t>CAS-69</t>
  </si>
  <si>
    <t>L-394</t>
  </si>
  <si>
    <t>CAS-70</t>
  </si>
  <si>
    <t>0045-023681/2021</t>
  </si>
  <si>
    <t>L-007</t>
  </si>
  <si>
    <t>CAS-71</t>
  </si>
  <si>
    <t>REHABILITACIÓN EN RPN°30- TR: RÍO CUARTO-BARRANQUITA Y CONSERVACIÓN DE RUTAS ALEDAÑAS</t>
  </si>
  <si>
    <t>CAS-72</t>
  </si>
  <si>
    <t>CAS-73</t>
  </si>
  <si>
    <t>L-008</t>
  </si>
  <si>
    <t>LAS CALERAS</t>
  </si>
  <si>
    <t>CAS-74</t>
  </si>
  <si>
    <t>CAS-75</t>
  </si>
  <si>
    <t>L-277</t>
  </si>
  <si>
    <t>CAS-76</t>
  </si>
  <si>
    <t>CAS-77</t>
  </si>
  <si>
    <t>L-054</t>
  </si>
  <si>
    <t>0045-023155/2021</t>
  </si>
  <si>
    <t>CAS-78</t>
  </si>
  <si>
    <t>REHABILITACIÓN RPN°30-TR: ACHIRAS-LÍMITE CON SAN LUIS Y RPN°11-TR: UCACHA-CHAZÓN Y CONSERVACIÓN DE RUTAS ALEDAÑAS</t>
  </si>
  <si>
    <t>CAS-79</t>
  </si>
  <si>
    <t>ACHIRAS - CHAZÓN - UCACHA</t>
  </si>
  <si>
    <t>L-231</t>
  </si>
  <si>
    <t>CAS-80</t>
  </si>
  <si>
    <t>CAS-81</t>
  </si>
  <si>
    <t>L-203</t>
  </si>
  <si>
    <t>CAS-82</t>
  </si>
  <si>
    <t>CAS-83</t>
  </si>
  <si>
    <t>L-372</t>
  </si>
  <si>
    <t>0045-023977/2022</t>
  </si>
  <si>
    <t>CAS-84</t>
  </si>
  <si>
    <t>PUENTE SOBRE R.P. N°2 Y FERROCARRIL EN EL NUEVO TRAMO DE CIRCUNVALACIÓN DE VILLA MARIA</t>
  </si>
  <si>
    <t>CAS-85</t>
  </si>
  <si>
    <t>CAS-86</t>
  </si>
  <si>
    <t>L-263</t>
  </si>
  <si>
    <t>CAS-87</t>
  </si>
  <si>
    <t>CAS-88</t>
  </si>
  <si>
    <t>L-147</t>
  </si>
  <si>
    <t>CAS-89</t>
  </si>
  <si>
    <t>0045-023996/2022</t>
  </si>
  <si>
    <t>CAS-90</t>
  </si>
  <si>
    <t>L-386</t>
  </si>
  <si>
    <t>SEGURIDAD VIAL REGIÓN "B"-RED PAVIMENTADA DE LA PCIA.-DPTOS: SAN JUSTO- RÍO I- RÍO II- UNIÓN- MARCOS JUÁREZ- JUÁREZ CELMAN- GRAL. SAN MARTÍN- TERCERO ARRIBA-TULUMBA</t>
  </si>
  <si>
    <t>CAS-91</t>
  </si>
  <si>
    <t>L-204</t>
  </si>
  <si>
    <t>CAS-1</t>
  </si>
  <si>
    <t>CAS-2</t>
  </si>
  <si>
    <t>L-373</t>
  </si>
  <si>
    <t>CAS-3</t>
  </si>
  <si>
    <t>0045-023654/2021</t>
  </si>
  <si>
    <t>CAS-4</t>
  </si>
  <si>
    <t>TAREAS DE BACHEO EN REGIÓN NORTE- DPTOS: RÍO SECO-ISCHILÍN-SOBREMONTE-TOTORAL-TULUMBA-RÍO PRIMERO-SAN JUSTO</t>
  </si>
  <si>
    <t>L-055</t>
  </si>
  <si>
    <t>CAS-5</t>
  </si>
  <si>
    <t>CAS-6</t>
  </si>
  <si>
    <t>L-278</t>
  </si>
  <si>
    <t>CAS-7</t>
  </si>
  <si>
    <t>CAS-8</t>
  </si>
  <si>
    <t>L-232</t>
  </si>
  <si>
    <t>CAS-9</t>
  </si>
  <si>
    <t>CAS-10</t>
  </si>
  <si>
    <t>L-291</t>
  </si>
  <si>
    <t>0045-023228/2021</t>
  </si>
  <si>
    <t>CAS-11</t>
  </si>
  <si>
    <t>PAVIMENTACIÓN RUTA PROVINCIAL N°23. TRAMO: RIO DE LOS SAUCES - RUTA PROVINCIAL E-68. DPTO: CALAMUCHITA</t>
  </si>
  <si>
    <t>CAS-12</t>
  </si>
  <si>
    <t>L-321</t>
  </si>
  <si>
    <t>RÍO DE LOS SAUCES</t>
  </si>
  <si>
    <t>CAS-13</t>
  </si>
  <si>
    <t>CAS-14</t>
  </si>
  <si>
    <t>L-322</t>
  </si>
  <si>
    <t>CAS-15</t>
  </si>
  <si>
    <t>CAS-16</t>
  </si>
  <si>
    <t>L-205</t>
  </si>
  <si>
    <t>0045-023427/2021</t>
  </si>
  <si>
    <t>CAS-17</t>
  </si>
  <si>
    <t>PAVIMENTACIÓN RUTA PROVINCIAL N°10 - TRAMO: ADELIA MARIA-GENERAL LEVALLE (PROG. 0+000 A PROG. 10+261) - DEPARTAMENTO: JUAREZ CELMAN</t>
  </si>
  <si>
    <t>CAS-18</t>
  </si>
  <si>
    <t>PAOLINI HNOS S.A-SERVING S.R.L-UNION TRANSITORIA</t>
  </si>
  <si>
    <t>L-156</t>
  </si>
  <si>
    <t>ADELIA MARÍA - GENERAL LEVALLE</t>
  </si>
  <si>
    <t>CAS-19</t>
  </si>
  <si>
    <t>CAS-20</t>
  </si>
  <si>
    <t>CAS-21</t>
  </si>
  <si>
    <t>CAS-22</t>
  </si>
  <si>
    <t>CAS-23</t>
  </si>
  <si>
    <t>0045-025234/2023</t>
  </si>
  <si>
    <t>OBRA:PUENTE LOS CEDROS. TRAMO:CURA BROCHERO. DPTO:SAN ALBERTO.</t>
  </si>
  <si>
    <t>CAS-24</t>
  </si>
  <si>
    <t>MINA CLAVERO - VILLA CURA BROCHERO</t>
  </si>
  <si>
    <t>L-131</t>
  </si>
  <si>
    <t>CAS-25</t>
  </si>
  <si>
    <t>CAS-26</t>
  </si>
  <si>
    <t>L-346</t>
  </si>
  <si>
    <t>CAS-27</t>
  </si>
  <si>
    <t>L-292</t>
  </si>
  <si>
    <t>RED - 1</t>
  </si>
  <si>
    <t>L-056</t>
  </si>
  <si>
    <t>RED - 2</t>
  </si>
  <si>
    <t>RED - 3</t>
  </si>
  <si>
    <t>5621 - CONSTRUCCIÓN - OBRAS COMPLEMENTARIAS. - TRAMO ALTA GRACIA - VILLA CIUDAD DE AMERICA</t>
  </si>
  <si>
    <t>NUEVA - RED VIAL</t>
  </si>
  <si>
    <t>L-264</t>
  </si>
  <si>
    <t>RED - 4</t>
  </si>
  <si>
    <t>RED - 5</t>
  </si>
  <si>
    <t>L-110</t>
  </si>
  <si>
    <t>RED - 6</t>
  </si>
  <si>
    <t>RED - 7</t>
  </si>
  <si>
    <t>L-174</t>
  </si>
  <si>
    <t>RED - 8</t>
  </si>
  <si>
    <t>OBRA CON PRESUPUESTO</t>
  </si>
  <si>
    <t>RED - 10</t>
  </si>
  <si>
    <t>L-009</t>
  </si>
  <si>
    <t>LOS CÓNDORES</t>
  </si>
  <si>
    <t>RED - 11</t>
  </si>
  <si>
    <t>RED - 12</t>
  </si>
  <si>
    <t>L-293</t>
  </si>
  <si>
    <t>DUPLICACIÓN CNO SAN CARLOS</t>
  </si>
  <si>
    <t>RED - 13</t>
  </si>
  <si>
    <t>RED - 15</t>
  </si>
  <si>
    <t>L-247</t>
  </si>
  <si>
    <t>RED - 16</t>
  </si>
  <si>
    <t>L-387</t>
  </si>
  <si>
    <t>RED - 17</t>
  </si>
  <si>
    <t>RED - 18</t>
  </si>
  <si>
    <t>AUTORIZADA POSTERGADA</t>
  </si>
  <si>
    <t>L-010</t>
  </si>
  <si>
    <t>RED - 19</t>
  </si>
  <si>
    <t>RED - 20</t>
  </si>
  <si>
    <t>L-096</t>
  </si>
  <si>
    <t>RED - 21</t>
  </si>
  <si>
    <t>ROTONDA AV. 11 DE SEPTIEMBRE</t>
  </si>
  <si>
    <t>RED - 22</t>
  </si>
  <si>
    <t>L-011</t>
  </si>
  <si>
    <t>RED - 23</t>
  </si>
  <si>
    <t>RED - 24</t>
  </si>
  <si>
    <t>L-132</t>
  </si>
  <si>
    <t>RED - 25</t>
  </si>
  <si>
    <t>RED - 26</t>
  </si>
  <si>
    <t>OBRAS COMPLEMENTARIAS: ALTA GRACIA - VCA: PASARELA LA BOLSA / ADOQUINADO SERRANITA / PASARELA RANCHERITA</t>
  </si>
  <si>
    <t>L-148</t>
  </si>
  <si>
    <t>OBRAS VARIAS</t>
  </si>
  <si>
    <t>RED - 27</t>
  </si>
  <si>
    <t>LA BOLSA</t>
  </si>
  <si>
    <t>RED - 28</t>
  </si>
  <si>
    <t>L-374</t>
  </si>
  <si>
    <t>RED - 29</t>
  </si>
  <si>
    <t>RED - 30</t>
  </si>
  <si>
    <t>L-347</t>
  </si>
  <si>
    <t>RED - 31</t>
  </si>
  <si>
    <t>RED - 32</t>
  </si>
  <si>
    <t>PASARELA PEATONAL CONEXIÓN PARQUE BUSTOS - PARQUE KEMPES
 UBICACIÓN: CALLE PUENTE 15</t>
  </si>
  <si>
    <t>L-084</t>
  </si>
  <si>
    <t>RED - 33</t>
  </si>
  <si>
    <t>RED - 34</t>
  </si>
  <si>
    <t>L-395</t>
  </si>
  <si>
    <t>RED - 35</t>
  </si>
  <si>
    <t>RED - 36</t>
  </si>
  <si>
    <t>RED - 37</t>
  </si>
  <si>
    <t>L-265</t>
  </si>
  <si>
    <t>RED - 38</t>
  </si>
  <si>
    <t>REHABILITACIÓN COLECTORA R20/R38 - INTERSECCIONES CANALIZADAS</t>
  </si>
  <si>
    <t>RED - 39</t>
  </si>
  <si>
    <t>L-012</t>
  </si>
  <si>
    <t>CARLOS PAZ</t>
  </si>
  <si>
    <t>RED - 40</t>
  </si>
  <si>
    <t>RED - 41</t>
  </si>
  <si>
    <t>L-294</t>
  </si>
  <si>
    <t>RED - 42</t>
  </si>
  <si>
    <t>RED - 43</t>
  </si>
  <si>
    <t>L-348</t>
  </si>
  <si>
    <t>RED - 44</t>
  </si>
  <si>
    <t>ILUMINACIÓN DISTRIBUIDOR PIQUILLÍN</t>
  </si>
  <si>
    <t>RED - 45</t>
  </si>
  <si>
    <t>PIQUILLÍN</t>
  </si>
  <si>
    <t>L-206</t>
  </si>
  <si>
    <t>RED - 46</t>
  </si>
  <si>
    <t>RED - 47</t>
  </si>
  <si>
    <t>L-036</t>
  </si>
  <si>
    <t>RED - 48</t>
  </si>
  <si>
    <t>RED - 49</t>
  </si>
  <si>
    <t>L-266</t>
  </si>
  <si>
    <t>READECUACION DISTRIB R38 Y C45 A FALDA DEL CARMEN</t>
  </si>
  <si>
    <t>RED - 50</t>
  </si>
  <si>
    <t>RED - 51</t>
  </si>
  <si>
    <t>L-233</t>
  </si>
  <si>
    <t>RED - 52</t>
  </si>
  <si>
    <t>RED - 53</t>
  </si>
  <si>
    <t>L-133</t>
  </si>
  <si>
    <t>RED - 54</t>
  </si>
  <si>
    <t>RED - 55</t>
  </si>
  <si>
    <t>L-323</t>
  </si>
  <si>
    <t>ILUMINACION R9SUR Y C45 ACCESOS A RIO SEGUNDO</t>
  </si>
  <si>
    <t>RED - 56</t>
  </si>
  <si>
    <t>RED - 57</t>
  </si>
  <si>
    <t>RED - 58</t>
  </si>
  <si>
    <t>L-267</t>
  </si>
  <si>
    <t>RED - 59</t>
  </si>
  <si>
    <t>RED - 60</t>
  </si>
  <si>
    <t>L-068</t>
  </si>
  <si>
    <t>RED - 61</t>
  </si>
  <si>
    <t>RED - 62</t>
  </si>
  <si>
    <t>READECUACIÓN HIDRAULICA RUTA PROVINCIAL 5 KM 22 - BARRIO MITIMAY</t>
  </si>
  <si>
    <t>L-175</t>
  </si>
  <si>
    <t>RED - 63</t>
  </si>
  <si>
    <t>RED - 64</t>
  </si>
  <si>
    <t>RED - 65</t>
  </si>
  <si>
    <t>RED - 66</t>
  </si>
  <si>
    <t>RED - 67</t>
  </si>
  <si>
    <t>READECUACIÓN HIDRAULICA RUTA 9S KM 685 - LA CARBONADA</t>
  </si>
  <si>
    <t>RED - 68</t>
  </si>
  <si>
    <t>LA CARBONADA</t>
  </si>
  <si>
    <t>L-057</t>
  </si>
  <si>
    <t>RED - 69</t>
  </si>
  <si>
    <t>RED - 70</t>
  </si>
  <si>
    <t>L-157</t>
  </si>
  <si>
    <t>RED - 71</t>
  </si>
  <si>
    <t>RED - 72</t>
  </si>
  <si>
    <t>READECUACIPON HIDRAULICA SISTEMA CUENCAS RUTA PROVINCIAL E-53</t>
  </si>
  <si>
    <t>RED - 73</t>
  </si>
  <si>
    <t>L-037</t>
  </si>
  <si>
    <t>RED - 74</t>
  </si>
  <si>
    <t>RED - 75</t>
  </si>
  <si>
    <t>RED - 76</t>
  </si>
  <si>
    <t>RED - 77</t>
  </si>
  <si>
    <t>RED - 78</t>
  </si>
  <si>
    <t>REHABILITACIÓN RUTA 36 - PUENTE LOS CÓNDORES</t>
  </si>
  <si>
    <t>RED - 79</t>
  </si>
  <si>
    <t>RED - 80</t>
  </si>
  <si>
    <t>RED - 81</t>
  </si>
  <si>
    <t>L-038</t>
  </si>
  <si>
    <t>RED - 82</t>
  </si>
  <si>
    <t>OBRAS REHABILITACIÓN Y MEJORAS RUTA E-55 CALERA-DIQUE SAN ROQUE</t>
  </si>
  <si>
    <t>RED - 83</t>
  </si>
  <si>
    <t>L-279</t>
  </si>
  <si>
    <t>RED - 84</t>
  </si>
  <si>
    <t>RED - 85</t>
  </si>
  <si>
    <t>L-324</t>
  </si>
  <si>
    <t>MIRAMAR</t>
  </si>
  <si>
    <t>RED - 86</t>
  </si>
  <si>
    <t>L-134</t>
  </si>
  <si>
    <t>RED - 87</t>
  </si>
  <si>
    <t>RED - 88</t>
  </si>
  <si>
    <t>L-234</t>
  </si>
  <si>
    <t>3 PASARELAS PEATONALES EN TRAVESIA URBANA JESUS MARIA - COLONIA CAROYA</t>
  </si>
  <si>
    <t>RED - 89</t>
  </si>
  <si>
    <t>RED - 90</t>
  </si>
  <si>
    <t>L-207</t>
  </si>
  <si>
    <t>RED - 91</t>
  </si>
  <si>
    <t>RED - 92</t>
  </si>
  <si>
    <t>L-416</t>
  </si>
  <si>
    <t>RED - 93</t>
  </si>
  <si>
    <t>PARQUE EN AV. FUERZA AÉREA - AV FRANCISCO DE ARTEAGA</t>
  </si>
  <si>
    <t>RED - 94</t>
  </si>
  <si>
    <t>L-417</t>
  </si>
  <si>
    <t>RED - 95</t>
  </si>
  <si>
    <t>RED - 96</t>
  </si>
  <si>
    <t>L-349</t>
  </si>
  <si>
    <t>RED - 97</t>
  </si>
  <si>
    <t>RED - 98</t>
  </si>
  <si>
    <t>L-418</t>
  </si>
  <si>
    <t>RED - 99</t>
  </si>
  <si>
    <t>PAVIMENTACIÓN RUTA PROVINCIA E64, UNION DE RUTA E55 Y RUTA NACIONAL 20</t>
  </si>
  <si>
    <t>L-325</t>
  </si>
  <si>
    <t>L-069</t>
  </si>
  <si>
    <t>RED - 100</t>
  </si>
  <si>
    <t>RED - 101</t>
  </si>
  <si>
    <t>AUTORIZADA EN TRÁMITE CON FINANZAS</t>
  </si>
  <si>
    <t>L-419</t>
  </si>
  <si>
    <t>RED - 102</t>
  </si>
  <si>
    <t>RED - 103</t>
  </si>
  <si>
    <t>DISTRIBUIDOR MERCADO DE ABASTO RAMA NO</t>
  </si>
  <si>
    <t>L-280</t>
  </si>
  <si>
    <t>RED - 104</t>
  </si>
  <si>
    <t>RED - 105</t>
  </si>
  <si>
    <t>L-235</t>
  </si>
  <si>
    <t>RED - 106</t>
  </si>
  <si>
    <t>RED - 107</t>
  </si>
  <si>
    <t>PEDIR AUTORIZACIÓN</t>
  </si>
  <si>
    <t>RED - 108</t>
  </si>
  <si>
    <t>L-111</t>
  </si>
  <si>
    <t>RED - 109</t>
  </si>
  <si>
    <t>COLECTOR GERIÁTRICO AV. FUERZA AÉREA</t>
  </si>
  <si>
    <t>RED - 110</t>
  </si>
  <si>
    <t>L-375</t>
  </si>
  <si>
    <t>RED - 111</t>
  </si>
  <si>
    <t>L-097</t>
  </si>
  <si>
    <t>L-070</t>
  </si>
  <si>
    <t>DPV-115</t>
  </si>
  <si>
    <t>RED - 112</t>
  </si>
  <si>
    <t>TRABAJOS DE EMERGENCIA EN MONTAÑA SOBRE R.P.Nº 28 TRAMO: TUNEL Nº 1 (TANINGA) – ROTONDA DE LOS TÚNELES ETAPA IIDEPARTAMENTO: POCHO- ETAPA 2</t>
  </si>
  <si>
    <t>L-268</t>
  </si>
  <si>
    <t>RED - 113</t>
  </si>
  <si>
    <t>RED - 114</t>
  </si>
  <si>
    <t>L-420</t>
  </si>
  <si>
    <t>PEDIDO 2</t>
  </si>
  <si>
    <t>RED - 115</t>
  </si>
  <si>
    <t>RED - 116</t>
  </si>
  <si>
    <t>L-112</t>
  </si>
  <si>
    <t>0045-026283/2024</t>
  </si>
  <si>
    <t>RED - 117</t>
  </si>
  <si>
    <t>TAREAS PARA FINALIZAR EL PUENTE VADO SOBRE RIO SUQUIA EN PASO SAN RAMON- DEPARTAMENTO: RIO PRIMERO</t>
  </si>
  <si>
    <t>RED - 118</t>
  </si>
  <si>
    <t>PUENTE, REPAVIMENTACIÓN, SEÑALIZACIONES VARIAS</t>
  </si>
  <si>
    <t>L-376</t>
  </si>
  <si>
    <t>PROC. DE ADJUDICACION</t>
  </si>
  <si>
    <t>RED - 119</t>
  </si>
  <si>
    <t>SAN RAMÓN</t>
  </si>
  <si>
    <t>RED - 120</t>
  </si>
  <si>
    <t>RED - 121</t>
  </si>
  <si>
    <t>L-377</t>
  </si>
  <si>
    <t>PEDIDO 1</t>
  </si>
  <si>
    <t>RED - 122</t>
  </si>
  <si>
    <t>RED - 123</t>
  </si>
  <si>
    <t>L-281</t>
  </si>
  <si>
    <t>7605-29</t>
  </si>
  <si>
    <t>RED - 124</t>
  </si>
  <si>
    <t>0045-026599/2024</t>
  </si>
  <si>
    <t>SISTEMATIZACIÓN R.P.5, EN VILLA DEL DIQUE Y V.RUMIPAL(ACCESO A LAS LOCALIDADES DE EMBALSE Y VILLA RUMIPAL)</t>
  </si>
  <si>
    <t>RED - 125</t>
  </si>
  <si>
    <t>L-421</t>
  </si>
  <si>
    <t>EMBALSE - VILLA RUMIPAL</t>
  </si>
  <si>
    <t>RED - 126</t>
  </si>
  <si>
    <t>RED - 127</t>
  </si>
  <si>
    <t>L-085</t>
  </si>
  <si>
    <t>RED - 128</t>
  </si>
  <si>
    <t>RED - 129</t>
  </si>
  <si>
    <t>L-113</t>
  </si>
  <si>
    <t>RED - 130</t>
  </si>
  <si>
    <t>OBRA: PAVIMENTACIÓN CAMINO T367-20/T367-15 DPTO.: CRUZ DEL EJE</t>
  </si>
  <si>
    <t>RED - 131</t>
  </si>
  <si>
    <t>L-058</t>
  </si>
  <si>
    <t>RED - 132</t>
  </si>
  <si>
    <t>RED - 133</t>
  </si>
  <si>
    <t>RED - 134</t>
  </si>
  <si>
    <t>L-269</t>
  </si>
  <si>
    <t>RED - 135</t>
  </si>
  <si>
    <t>7605-31</t>
  </si>
  <si>
    <t>RUTA PROV. N°23. TRAMO: LA CRUZ- ACCESO A VILLA QUILLINZO</t>
  </si>
  <si>
    <t>RED - 136</t>
  </si>
  <si>
    <t>L-071</t>
  </si>
  <si>
    <t>RED - 137</t>
  </si>
  <si>
    <t>LA CRUZ - VA QUILLINZO</t>
  </si>
  <si>
    <t>RED - 138</t>
  </si>
  <si>
    <t>L-236</t>
  </si>
  <si>
    <t>RED - 139</t>
  </si>
  <si>
    <t>RED - 140</t>
  </si>
  <si>
    <t>L-237</t>
  </si>
  <si>
    <t>RED - 141</t>
  </si>
  <si>
    <t>RED - 142</t>
  </si>
  <si>
    <t>L-326</t>
  </si>
  <si>
    <t>RED - 143</t>
  </si>
  <si>
    <t>7605-10.7</t>
  </si>
  <si>
    <t>0045-027083/2025</t>
  </si>
  <si>
    <t>RP 18 - ACCESO SAN PEDRO NORTE (SANTA CRUZ - SAN PEDRO NORTE)</t>
  </si>
  <si>
    <t>RED - 144</t>
  </si>
  <si>
    <t>L-327</t>
  </si>
  <si>
    <t>RED - 145</t>
  </si>
  <si>
    <t>L-350</t>
  </si>
  <si>
    <t>RED - 146</t>
  </si>
  <si>
    <t>OBRA A EJECUTAR - USO DE CREDITO</t>
  </si>
  <si>
    <t>RED - 147</t>
  </si>
  <si>
    <t>L-270</t>
  </si>
  <si>
    <t>7605-10.2</t>
  </si>
  <si>
    <t>ROTONDA RP N 6 ACCESO HERNANDO Y REPAVIMENTACIÓN TRAMO URBANO HERNANDO</t>
  </si>
  <si>
    <t>RED - 148</t>
  </si>
  <si>
    <t>L-363</t>
  </si>
  <si>
    <t>RED - 149</t>
  </si>
  <si>
    <t>RED - 150</t>
  </si>
  <si>
    <t>L-422</t>
  </si>
  <si>
    <t>RED - 151</t>
  </si>
  <si>
    <t>7605-28</t>
  </si>
  <si>
    <t>RED - 152</t>
  </si>
  <si>
    <t>0045-026555/2024</t>
  </si>
  <si>
    <t>L-248</t>
  </si>
  <si>
    <t>ROTONDA INTERSECCIÓN RP N°1 Y RP N°17 CON ILUMINACIÓN</t>
  </si>
  <si>
    <t>RED - 153</t>
  </si>
  <si>
    <t>RED - 154</t>
  </si>
  <si>
    <t>L-378</t>
  </si>
  <si>
    <t>RED - 155</t>
  </si>
  <si>
    <t>RED - 156</t>
  </si>
  <si>
    <t>L-328</t>
  </si>
  <si>
    <t>RED - 157</t>
  </si>
  <si>
    <t>7605-34</t>
  </si>
  <si>
    <t>RED - 158</t>
  </si>
  <si>
    <t>0045-026397/2024</t>
  </si>
  <si>
    <t>REPARACIÓN DE PUENTE VILLA DEL ROSARIO</t>
  </si>
  <si>
    <t>L-098</t>
  </si>
  <si>
    <t>RED - 159</t>
  </si>
  <si>
    <t>RED - 160</t>
  </si>
  <si>
    <t>L-351</t>
  </si>
  <si>
    <t>RED - 161</t>
  </si>
  <si>
    <t>RED - 162</t>
  </si>
  <si>
    <t>L-072</t>
  </si>
  <si>
    <t>RED - 163</t>
  </si>
  <si>
    <t>SISTEMATIZACIÓN E ILUMINACIÓN DEL CAMINO SAN ANTONIO DPTO. CAPITAL</t>
  </si>
  <si>
    <t>RED - 164</t>
  </si>
  <si>
    <t>L-249</t>
  </si>
  <si>
    <t>RED - 165</t>
  </si>
  <si>
    <t>RED - 166</t>
  </si>
  <si>
    <t>L-114</t>
  </si>
  <si>
    <t>REDUCCIÓN</t>
  </si>
  <si>
    <t>RED - 167</t>
  </si>
  <si>
    <t>RED - 168</t>
  </si>
  <si>
    <t>L-271</t>
  </si>
  <si>
    <t>0045-026612/2024</t>
  </si>
  <si>
    <t>RED - 169</t>
  </si>
  <si>
    <t>REHABILITACION RPN°6- TR: TICINO-PASCO</t>
  </si>
  <si>
    <t>RED - 170</t>
  </si>
  <si>
    <t>TICINO - PASCO</t>
  </si>
  <si>
    <t>L-158</t>
  </si>
  <si>
    <t>RED - 171</t>
  </si>
  <si>
    <t>RED - 172</t>
  </si>
  <si>
    <t>L-039</t>
  </si>
  <si>
    <t>RED - 173</t>
  </si>
  <si>
    <t>RÍO CEBALLOS</t>
  </si>
  <si>
    <t>RED - 174</t>
  </si>
  <si>
    <t>0045-026627/2024</t>
  </si>
  <si>
    <t>L-208</t>
  </si>
  <si>
    <t>REHABILITACION RPN°6- TR: ORDOÑEZ-IDIAZABAL</t>
  </si>
  <si>
    <t>RED - 175</t>
  </si>
  <si>
    <t>ORDOÑEZ - IDIAZABAL</t>
  </si>
  <si>
    <t>L-013</t>
  </si>
  <si>
    <t>RED - 176</t>
  </si>
  <si>
    <t>RED - 177</t>
  </si>
  <si>
    <t>RED - 178</t>
  </si>
  <si>
    <t>L-238</t>
  </si>
  <si>
    <t>RED - 179</t>
  </si>
  <si>
    <t>7607-4.4</t>
  </si>
  <si>
    <t>0045-026746/2025</t>
  </si>
  <si>
    <t>RED - 180</t>
  </si>
  <si>
    <t>L-272</t>
  </si>
  <si>
    <t>REHABILITACIÓN RPN°4- TR: PROG 50,00- RUIZ DÍAZ GUZMÁN- PROG 67,00 HACIA LABOULAYE Y MANTENIMIENTO DE RUTAS ALEDAÑAS (TRAMO 4)</t>
  </si>
  <si>
    <t>RED - 181</t>
  </si>
  <si>
    <t>LA CARLOTA/LABOULAYE</t>
  </si>
  <si>
    <t>RED - 182</t>
  </si>
  <si>
    <t>L-379</t>
  </si>
  <si>
    <t>RED - 183</t>
  </si>
  <si>
    <t>RED - 184</t>
  </si>
  <si>
    <t>L-159</t>
  </si>
  <si>
    <t>RED - 185</t>
  </si>
  <si>
    <t>RED - 186</t>
  </si>
  <si>
    <t>L-396</t>
  </si>
  <si>
    <t>7607-4.2</t>
  </si>
  <si>
    <t>RED - 187</t>
  </si>
  <si>
    <t>0045-026689/2024</t>
  </si>
  <si>
    <t>REHABILITACIÓN RPN°4- TR: PROG 20,00- INTERSECCIÓN RPN°24 Y CONSERVACIÓN DE RUTAS ALEDAÑAS (TRAMO 2)</t>
  </si>
  <si>
    <t>L-329</t>
  </si>
  <si>
    <t>RED - 188</t>
  </si>
  <si>
    <t>JUAREZ CELMAN</t>
  </si>
  <si>
    <t>RED - 189</t>
  </si>
  <si>
    <t>RED - 190</t>
  </si>
  <si>
    <t>L-239</t>
  </si>
  <si>
    <t>RED - 191</t>
  </si>
  <si>
    <t>RED - 192</t>
  </si>
  <si>
    <t>L-135</t>
  </si>
  <si>
    <t>7607-4.3</t>
  </si>
  <si>
    <t>0045-026747/2025</t>
  </si>
  <si>
    <t>RED - 193</t>
  </si>
  <si>
    <t>REHABILITACIÓN RPN°4- TR: INTERSECCIÓN RPN°24- PACHECO DE MELO- PROG 50,00 HACIA LABOULAYE Y MANTENIMIENTO DE RUTAS ALEDAÑAS (TRAMO 3)</t>
  </si>
  <si>
    <t>RED - 194</t>
  </si>
  <si>
    <t>L-136</t>
  </si>
  <si>
    <t>RED - 195</t>
  </si>
  <si>
    <t>RED - 196</t>
  </si>
  <si>
    <t>RED - 197</t>
  </si>
  <si>
    <t>L-040</t>
  </si>
  <si>
    <t>RED - 198</t>
  </si>
  <si>
    <t>0045-026368/2024</t>
  </si>
  <si>
    <t>REHABILITACIÓN RPN°34- TR: KM 43-58 Y MANTENIMIENTO DE RUTAS ALEDAÑAS</t>
  </si>
  <si>
    <t>RED - 199</t>
  </si>
  <si>
    <t>VILLA CARLOS PAZ - SAN ANTONIO DE ARREDONDO</t>
  </si>
  <si>
    <t>L-149</t>
  </si>
  <si>
    <t>RED - 200</t>
  </si>
  <si>
    <t>RED - 201</t>
  </si>
  <si>
    <t>L-041</t>
  </si>
  <si>
    <t>RED - 202</t>
  </si>
  <si>
    <t>0045-026588/2024</t>
  </si>
  <si>
    <t>L-209</t>
  </si>
  <si>
    <t>REHABILITACION RPN°26- TR: PINCEN- RANQUELES</t>
  </si>
  <si>
    <t>RED - 203</t>
  </si>
  <si>
    <t>PINCEN - RANQUELES</t>
  </si>
  <si>
    <t>RED - 263</t>
  </si>
  <si>
    <t>L-014</t>
  </si>
  <si>
    <t>RED - 204</t>
  </si>
  <si>
    <t>RED - 205</t>
  </si>
  <si>
    <t>RED - 206</t>
  </si>
  <si>
    <t>L-176</t>
  </si>
  <si>
    <t>RED - 207</t>
  </si>
  <si>
    <t>0045-026791/2025</t>
  </si>
  <si>
    <t>REHABILITACION RPN°17- TR: INTERS RPN°3- MARULL-PROG 10,00 LA PARA-CONSTRUCCION DE CICLOVIA EN R.P.N A-196-PAVIMENTACION COSTANERA ESTE EN MIRAMAR</t>
  </si>
  <si>
    <t>RED - 208</t>
  </si>
  <si>
    <t>L-423</t>
  </si>
  <si>
    <t>RED - 209</t>
  </si>
  <si>
    <t>RED - 210</t>
  </si>
  <si>
    <t>L-210</t>
  </si>
  <si>
    <t>RED - 211</t>
  </si>
  <si>
    <t>L-143</t>
  </si>
  <si>
    <t>RED - 213</t>
  </si>
  <si>
    <t>0045-026381/2024</t>
  </si>
  <si>
    <t>RED - 214</t>
  </si>
  <si>
    <t>REHABILITACIÓN RPN°17- TR: BALNEARIA-INTERSECCIÓN RPN°3- PUENTE RÍO PLUJUNTA Y MANTENIMIENTO DE RUTAS ALEDAÑAS</t>
  </si>
  <si>
    <t>RED - 215</t>
  </si>
  <si>
    <t>L-352</t>
  </si>
  <si>
    <t>RED - 217</t>
  </si>
  <si>
    <t>L-177</t>
  </si>
  <si>
    <t>RED - 218</t>
  </si>
  <si>
    <t>RED - 219</t>
  </si>
  <si>
    <t>L-330</t>
  </si>
  <si>
    <t>RED - 220</t>
  </si>
  <si>
    <t>LA HIGUERA - SAN CARLOS MINAS</t>
  </si>
  <si>
    <t>RED - 221</t>
  </si>
  <si>
    <t>L-364</t>
  </si>
  <si>
    <t>RED - 222</t>
  </si>
  <si>
    <t>L-150</t>
  </si>
  <si>
    <t>RED - 223</t>
  </si>
  <si>
    <t>RED - 224</t>
  </si>
  <si>
    <t>0045-026369/2024</t>
  </si>
  <si>
    <t>L-015</t>
  </si>
  <si>
    <t>RED - 225</t>
  </si>
  <si>
    <t>REHABILITACIÓN RPN° 4- TR: LA CARLOTA- PROG 20,00 HACIA INTERSECCIÓN RPN°24 Y MANTENIMIENTO DE RUTAS ALEDAÑAS (TRAMO I)</t>
  </si>
  <si>
    <t>RED - 226</t>
  </si>
  <si>
    <t>RED - 228</t>
  </si>
  <si>
    <t>L-295</t>
  </si>
  <si>
    <t>RED - 229</t>
  </si>
  <si>
    <t>RED - 230</t>
  </si>
  <si>
    <t>L-160</t>
  </si>
  <si>
    <t>RED - 231</t>
  </si>
  <si>
    <t>0045-026513/2024</t>
  </si>
  <si>
    <t>RED - 232</t>
  </si>
  <si>
    <t>REHABILITACION RP. N° 6 - TR.: INRIVILLE - INTERSECCION RP. N° 12 (NORTE) E INTERSECCION RP. N° 12 (SUR) -LOS SURGENTES - KM 253 HACIA CRUZ ALTA Y CONSERVACION DE RUTAS ALEDAÑAS - DPTO. MARCOS JUAREZ.-</t>
  </si>
  <si>
    <t>L-296</t>
  </si>
  <si>
    <t>RED - 233</t>
  </si>
  <si>
    <t>INRIVILLE -LOS SURGENTES</t>
  </si>
  <si>
    <t>RED - 234</t>
  </si>
  <si>
    <t>L-397</t>
  </si>
  <si>
    <t>RED - 235</t>
  </si>
  <si>
    <t>RED - 236</t>
  </si>
  <si>
    <t>L-398</t>
  </si>
  <si>
    <t>RED - 237</t>
  </si>
  <si>
    <t>0045-026563/2024</t>
  </si>
  <si>
    <t>REHABILITACION RP. N° 30 - TR.: KM 22 - LA BARRANQUITA (KM 29) Y MANTENIMIENTO DE RUTAS ALEDAÑAS</t>
  </si>
  <si>
    <t>RED - 238</t>
  </si>
  <si>
    <t>LA BARRANQUITA</t>
  </si>
  <si>
    <t>RED - 239</t>
  </si>
  <si>
    <t>L-282</t>
  </si>
  <si>
    <t>RED - 240</t>
  </si>
  <si>
    <t>RED - 241</t>
  </si>
  <si>
    <t>L-059</t>
  </si>
  <si>
    <t>RED - 242</t>
  </si>
  <si>
    <t>RED - 243</t>
  </si>
  <si>
    <t>L-424</t>
  </si>
  <si>
    <t>0045-026360/2024</t>
  </si>
  <si>
    <t>RED - 244</t>
  </si>
  <si>
    <t>REHABILITACIÓN RP N° E-61 - TR. EMBALSE - LA CRUZ</t>
  </si>
  <si>
    <t>RED - 245</t>
  </si>
  <si>
    <t>L-283</t>
  </si>
  <si>
    <t>EMBALSE - LA CRUZ</t>
  </si>
  <si>
    <t>RED - 248</t>
  </si>
  <si>
    <t>RED - 249</t>
  </si>
  <si>
    <t>L-399</t>
  </si>
  <si>
    <t>RED - 250</t>
  </si>
  <si>
    <t>RED - 251</t>
  </si>
  <si>
    <t>0045-026380/2024</t>
  </si>
  <si>
    <t>L-178</t>
  </si>
  <si>
    <t>REHABILITACIÓN RP N° 23 - TRAMO: CAÑADA DE ALVAREZ LA CRUZ</t>
  </si>
  <si>
    <t>RED - 252</t>
  </si>
  <si>
    <t>CAÑADA DE ALVAREZ - LA CRUZ</t>
  </si>
  <si>
    <t>RED - 253</t>
  </si>
  <si>
    <t>L-284</t>
  </si>
  <si>
    <t>RED - 254</t>
  </si>
  <si>
    <t>RED - 255</t>
  </si>
  <si>
    <t>L-211</t>
  </si>
  <si>
    <t>SANTA CATALINA HOLMBERG</t>
  </si>
  <si>
    <t>RED - 256</t>
  </si>
  <si>
    <t>REHABILITACIÓN14</t>
  </si>
  <si>
    <t>RED - 258</t>
  </si>
  <si>
    <t>0045-026918/2025</t>
  </si>
  <si>
    <t>L-250</t>
  </si>
  <si>
    <t>REHABILITACION R.P.N°14- TR. INTERSECCION RPE-88- SAN JAVIER Y YACANTO-LA POBLACION Y MANTENIMIENTO DE RUTAS ALEDAÑAS- DEPARTAMENTO SAN JAVIER</t>
  </si>
  <si>
    <t>RED - 259</t>
  </si>
  <si>
    <t>RED - 260</t>
  </si>
  <si>
    <t>L-115</t>
  </si>
  <si>
    <t>RED - 262</t>
  </si>
  <si>
    <t>RED - 14</t>
  </si>
  <si>
    <t>L-179</t>
  </si>
  <si>
    <t>SANTA MARÍA DE PUNILLA</t>
  </si>
  <si>
    <t>L-016</t>
  </si>
  <si>
    <t>RED - 264</t>
  </si>
  <si>
    <t>0045-026361/2024</t>
  </si>
  <si>
    <t>L-240</t>
  </si>
  <si>
    <t>SANTA ROSA DE RÍO PRIMERO</t>
  </si>
  <si>
    <t>REHABILITACIÓN R.P. N° 6 TR: LA LAGUNA - PASCO Y MANTENIMIENTO DE RUTAS ALEDAÑAS</t>
  </si>
  <si>
    <t>L-273</t>
  </si>
  <si>
    <t>RED - 265</t>
  </si>
  <si>
    <t>LA LAGUNA - PASCO</t>
  </si>
  <si>
    <t>L-388</t>
  </si>
  <si>
    <t>RED - 266</t>
  </si>
  <si>
    <t>L-331</t>
  </si>
  <si>
    <t>RED - 267</t>
  </si>
  <si>
    <t>SATURNINO MARÍA LASPIUR</t>
  </si>
  <si>
    <t>RED - 268</t>
  </si>
  <si>
    <t>L-285</t>
  </si>
  <si>
    <t>RED - 270</t>
  </si>
  <si>
    <t>L-251</t>
  </si>
  <si>
    <t>L-332</t>
  </si>
  <si>
    <t>7607-4.5</t>
  </si>
  <si>
    <t>0045-026741/2025</t>
  </si>
  <si>
    <t>REHABILITACIÓN PN°4- TR: PROG 67,00-FRAY CAYETANO RODRIGUEZ-LABOULAYE Y MANTENIMIENTO DE RUTAS ALEDAÑAS (TRAMO 5)</t>
  </si>
  <si>
    <t>L-017</t>
  </si>
  <si>
    <t>L-161</t>
  </si>
  <si>
    <t>L-060</t>
  </si>
  <si>
    <t>RED - 271</t>
  </si>
  <si>
    <t>L-086</t>
  </si>
  <si>
    <t>RED - 272</t>
  </si>
  <si>
    <t>L-389</t>
  </si>
  <si>
    <t>RED - 274</t>
  </si>
  <si>
    <t>REHABILITACION ACCESO A LA LOCALIDAD DE RIO SEGUNDO TRAMO: AU 09 - RUTA NACIONAL 9</t>
  </si>
  <si>
    <t>L-390</t>
  </si>
  <si>
    <t>RED - 275</t>
  </si>
  <si>
    <t>RED - 276</t>
  </si>
  <si>
    <t>L-212</t>
  </si>
  <si>
    <t>RED - 277</t>
  </si>
  <si>
    <t>L-151</t>
  </si>
  <si>
    <t>RED - 278</t>
  </si>
  <si>
    <t>RED - 279</t>
  </si>
  <si>
    <t>L-180</t>
  </si>
  <si>
    <t>7605-33</t>
  </si>
  <si>
    <t>0045-026442/2024</t>
  </si>
  <si>
    <t>RED - 280</t>
  </si>
  <si>
    <t>L-144</t>
  </si>
  <si>
    <t>PUENTE SOBRE EL RÍO TERCERO. TR. ACCESO A BALLESTERO SUD</t>
  </si>
  <si>
    <t>RED - 281</t>
  </si>
  <si>
    <t>L-380</t>
  </si>
  <si>
    <t>RED - 282</t>
  </si>
  <si>
    <t>L-181</t>
  </si>
  <si>
    <t>RED - 287</t>
  </si>
  <si>
    <t>RED - 288</t>
  </si>
  <si>
    <t>L-087</t>
  </si>
  <si>
    <t>RED - 289</t>
  </si>
  <si>
    <t>0045-026387/2024</t>
  </si>
  <si>
    <t>L-042</t>
  </si>
  <si>
    <t>PUENTE EN R.P. S228 Y ACCESOS TRAMO: P.ROASENDA-GIAGETTO.S.R.CALAMUCHITA(PUENTE NUEVO STA ROSA CALAMUCHITA)</t>
  </si>
  <si>
    <t>RED - 290</t>
  </si>
  <si>
    <t>L-088</t>
  </si>
  <si>
    <t>TÍO PUJIO</t>
  </si>
  <si>
    <t>RED - 291</t>
  </si>
  <si>
    <t>L-353</t>
  </si>
  <si>
    <t>RED - 292</t>
  </si>
  <si>
    <t>RED - 293</t>
  </si>
  <si>
    <t>L-333</t>
  </si>
  <si>
    <t>RED - 294</t>
  </si>
  <si>
    <t>L-145</t>
  </si>
  <si>
    <t>RED - 295</t>
  </si>
  <si>
    <t>0045-026083/2024</t>
  </si>
  <si>
    <t>L-213</t>
  </si>
  <si>
    <t>RED - 296</t>
  </si>
  <si>
    <t>PAVIMENTACIÓN RUTA PROVINCIAL S-372 - TRAMO: SANTA ROSA DE CALAMUCHITA – SOCONCHO - DEPARTAMENTO: CALAMUCHITA</t>
  </si>
  <si>
    <t>L-334</t>
  </si>
  <si>
    <t>TRÁNSITO</t>
  </si>
  <si>
    <t>RED - 297</t>
  </si>
  <si>
    <t>L-061</t>
  </si>
  <si>
    <t>RED - 298</t>
  </si>
  <si>
    <t>RED - 299</t>
  </si>
  <si>
    <t>L-116</t>
  </si>
  <si>
    <t>RED - 300</t>
  </si>
  <si>
    <t>7605-21.1</t>
  </si>
  <si>
    <t>L-043</t>
  </si>
  <si>
    <t>PAVIMENTACION RUTA PROVINCIAL N°28- TRAMO: TRAMO: VARIANTE RIO YUSPE- DEPARTAMENTO PUNILLA</t>
  </si>
  <si>
    <t>RED - 301</t>
  </si>
  <si>
    <t>L-354</t>
  </si>
  <si>
    <t>RED - 302</t>
  </si>
  <si>
    <t>RED - 303</t>
  </si>
  <si>
    <t>L-182</t>
  </si>
  <si>
    <t>RED - 304</t>
  </si>
  <si>
    <t>L-425</t>
  </si>
  <si>
    <t>RED - 305</t>
  </si>
  <si>
    <t>L-214</t>
  </si>
  <si>
    <t>RED - 306</t>
  </si>
  <si>
    <t>7605-21.2</t>
  </si>
  <si>
    <t>RED - 307</t>
  </si>
  <si>
    <t>L-044</t>
  </si>
  <si>
    <t>PAVIMENTACION RUTA PROVINCIAL N°28- TRAMO: TRAMO: RIO GUASTA- TALA CAÑADA- DEPARTAMENTO POCHO</t>
  </si>
  <si>
    <t>RED - 308</t>
  </si>
  <si>
    <t>L-018</t>
  </si>
  <si>
    <t>RED - 309</t>
  </si>
  <si>
    <t>L-381</t>
  </si>
  <si>
    <t>RED - 310</t>
  </si>
  <si>
    <t>L-252</t>
  </si>
  <si>
    <t>RED - 311</t>
  </si>
  <si>
    <t>7605-10.6</t>
  </si>
  <si>
    <t>L-183</t>
  </si>
  <si>
    <t>PAVIMENTACION RUTA PROVINCIAL N°27- VILLA VALERIA- LTE SAN LUIS- DEPARTAMENTO GENERAL ROCA (FUERZAS VIVAS)</t>
  </si>
  <si>
    <t>RED - 312</t>
  </si>
  <si>
    <t>RED - 313</t>
  </si>
  <si>
    <t>RED - 314</t>
  </si>
  <si>
    <t>L-045</t>
  </si>
  <si>
    <t>RED - 315</t>
  </si>
  <si>
    <t>L-355</t>
  </si>
  <si>
    <t>VILLA CIUDAD DE AMÉRICA</t>
  </si>
  <si>
    <t>RED - 316</t>
  </si>
  <si>
    <t>L-019</t>
  </si>
  <si>
    <t>RED - 317</t>
  </si>
  <si>
    <t>L-335</t>
  </si>
  <si>
    <t>RED - 318</t>
  </si>
  <si>
    <t>7605-18</t>
  </si>
  <si>
    <t>0045-027046/2025</t>
  </si>
  <si>
    <t>PAVIMENTACION RUTA PROVINCIAL N°10- TRAMO:LAS PERDICES - INT. R.P. N° 11 ETAPA II- DEPARTAMENTO JUAREZ CELMAN</t>
  </si>
  <si>
    <t>RED - 319</t>
  </si>
  <si>
    <t>L-286</t>
  </si>
  <si>
    <t>RED - 320</t>
  </si>
  <si>
    <t>L-297</t>
  </si>
  <si>
    <t>RED - 321</t>
  </si>
  <si>
    <t>RED - 322</t>
  </si>
  <si>
    <t>L-253</t>
  </si>
  <si>
    <t>7605-13.1</t>
  </si>
  <si>
    <t>0045-027045/2025</t>
  </si>
  <si>
    <t>RED - 323</t>
  </si>
  <si>
    <t>PAVIMENTACION RUTA PROVINCIAL N°10- TRAMO:LAS PERDICES - INT. R.P. N° 11 ETAPA I- DEPARTAMENTO JUAREZ CELMAN</t>
  </si>
  <si>
    <t>L-152</t>
  </si>
  <si>
    <t>RED - 324</t>
  </si>
  <si>
    <t>L-062</t>
  </si>
  <si>
    <t>RED - 325</t>
  </si>
  <si>
    <t>RED - 326</t>
  </si>
  <si>
    <t>L-020</t>
  </si>
  <si>
    <t>0045-026616/2024</t>
  </si>
  <si>
    <t>PAVIMENTACION RUTA PROVINCIAL N° 28 - TRAMO: RIO GUASTA – RIO YUSPE - DEPARTAMENTO: CRUZ DEL EJE</t>
  </si>
  <si>
    <t>RED - 327</t>
  </si>
  <si>
    <t>L-356</t>
  </si>
  <si>
    <t>RED - 328</t>
  </si>
  <si>
    <t>L-274</t>
  </si>
  <si>
    <t>RED - 329</t>
  </si>
  <si>
    <t>7605-40</t>
  </si>
  <si>
    <t>RED - 330</t>
  </si>
  <si>
    <t>0045-026775/2025</t>
  </si>
  <si>
    <t>L-391</t>
  </si>
  <si>
    <t>PAVIMENTACION R.P.N° 22- TRAMO: INT, CON RPN°32 - VILLA DE MARIA EUFRACIO LOZA</t>
  </si>
  <si>
    <t>RED - 331</t>
  </si>
  <si>
    <t>L-298</t>
  </si>
  <si>
    <t>RED - 332</t>
  </si>
  <si>
    <t>L-215</t>
  </si>
  <si>
    <t>RED - 333</t>
  </si>
  <si>
    <t>7605-19</t>
  </si>
  <si>
    <t>L-137</t>
  </si>
  <si>
    <t>RUMI HUASI - CIENAGA DEL CORO</t>
  </si>
  <si>
    <t>L-241</t>
  </si>
  <si>
    <t>L-021</t>
  </si>
  <si>
    <t>7605-20</t>
  </si>
  <si>
    <t>0045-026703/2024</t>
  </si>
  <si>
    <t>PAVIMENTACION R.P. N°28 DESDE RESERVA CERRO BLANCO HASTA HOTEL MUNICIPAL TANTI (15 KM) + SOBREPASOS - T1</t>
  </si>
  <si>
    <t>L-184</t>
  </si>
  <si>
    <t>L-099</t>
  </si>
  <si>
    <t>RED - 334</t>
  </si>
  <si>
    <t>L-073</t>
  </si>
  <si>
    <t>0045-026471/2024</t>
  </si>
  <si>
    <t>RED - 335</t>
  </si>
  <si>
    <t>PAVIMENTACION R.P. N° 10 TRAMO: VILLA REDUCCIÓN- INT. RP N°11 (20 KM)</t>
  </si>
  <si>
    <t>L-357</t>
  </si>
  <si>
    <t>RED - 336</t>
  </si>
  <si>
    <t>RED - 337</t>
  </si>
  <si>
    <t>L-358</t>
  </si>
  <si>
    <t>RED - 338</t>
  </si>
  <si>
    <t>L-426</t>
  </si>
  <si>
    <t>PAVIMENTACION R.P. N° 10 - JOVITA - PINCEN</t>
  </si>
  <si>
    <t>RED - 339</t>
  </si>
  <si>
    <t>JOVITA - PINCEN</t>
  </si>
  <si>
    <t>GRAL ROCA</t>
  </si>
  <si>
    <t>L-089</t>
  </si>
  <si>
    <t>RED - 340</t>
  </si>
  <si>
    <t>RED - 341</t>
  </si>
  <si>
    <t>L-090</t>
  </si>
  <si>
    <t>RED - 342</t>
  </si>
  <si>
    <t>L-359</t>
  </si>
  <si>
    <t>PAVIMENTACIÓN R.P. 4 - RUTA 26 A LÍMITE CON LA PAMPA (FUERZAS VIVAS)</t>
  </si>
  <si>
    <t>RED - 343</t>
  </si>
  <si>
    <t>L-185</t>
  </si>
  <si>
    <t>RED - 344</t>
  </si>
  <si>
    <t>L-022</t>
  </si>
  <si>
    <t>RED - 345</t>
  </si>
  <si>
    <t>RED - 346</t>
  </si>
  <si>
    <t>PAVIMENTACIÓN RP. N° 10 PINCEN A LÍMITE CON LA PAMPA</t>
  </si>
  <si>
    <t>L-186</t>
  </si>
  <si>
    <t>VILLA RÍO ICHO CRUZ</t>
  </si>
  <si>
    <t>RED - 347</t>
  </si>
  <si>
    <t>L-162</t>
  </si>
  <si>
    <t>RED - 348</t>
  </si>
  <si>
    <t>L-023</t>
  </si>
  <si>
    <t>RED - 349</t>
  </si>
  <si>
    <t>L-336</t>
  </si>
  <si>
    <t>RED - 350</t>
  </si>
  <si>
    <t>DUPLICACIÓN DE CALZADA RN N° 9 NORTE -TR. JESÚS MARÍA HASTA INT. CON RN N° 60</t>
  </si>
  <si>
    <t>RED - 351</t>
  </si>
  <si>
    <t>L-360</t>
  </si>
  <si>
    <t>RED - 352</t>
  </si>
  <si>
    <t>L-187</t>
  </si>
  <si>
    <t>RED - 353</t>
  </si>
  <si>
    <t>7605-22</t>
  </si>
  <si>
    <t>PAVIMENTACION R.P. A-175 MEDIA NARANJA - ALTOS LOS QUEBRACHOS + BAÑADOS DEL SOTO</t>
  </si>
  <si>
    <t>RED - 354</t>
  </si>
  <si>
    <t>L-074</t>
  </si>
  <si>
    <t>MEDIA NARANJA - ALTOS LOS QUEBRACHOS</t>
  </si>
  <si>
    <t>RED - 355</t>
  </si>
  <si>
    <t>L-287</t>
  </si>
  <si>
    <t>RED - 356</t>
  </si>
  <si>
    <t>L-400</t>
  </si>
  <si>
    <t>7605-25</t>
  </si>
  <si>
    <t>RED - 357</t>
  </si>
  <si>
    <t>PAVIMENTACIÓN CAMINO 60 CUADRAS (6,45KM + 7.8 KM DE RECONSTRUCCIÓN)</t>
  </si>
  <si>
    <t>L-075</t>
  </si>
  <si>
    <t>RED - 358</t>
  </si>
  <si>
    <t>RED - 359</t>
  </si>
  <si>
    <t>L-024</t>
  </si>
  <si>
    <t>RED - 360</t>
  </si>
  <si>
    <t>L-216</t>
  </si>
  <si>
    <t>DPV-116</t>
  </si>
  <si>
    <t>PAV. RUTA S-433- SANTA ROSA HACIA EL OESTE (FUERZAS VIVAS 10 KM)</t>
  </si>
  <si>
    <t>RED - 361</t>
  </si>
  <si>
    <t>STA. ROSA DE RÍO PRIMERO</t>
  </si>
  <si>
    <t>L-427</t>
  </si>
  <si>
    <t>RED - 362</t>
  </si>
  <si>
    <t>RED - 363</t>
  </si>
  <si>
    <t>RED - 364</t>
  </si>
  <si>
    <t>RED - 365</t>
  </si>
  <si>
    <t>0045-026537/2024</t>
  </si>
  <si>
    <t>OBRA: PASARELA PEATONAL VILLA GENERAL BELGRANO –</t>
  </si>
  <si>
    <t>RED - 366</t>
  </si>
  <si>
    <t>RED - 367</t>
  </si>
  <si>
    <t>RED - 368</t>
  </si>
  <si>
    <t>0045-026514/2024</t>
  </si>
  <si>
    <t>RED - 369</t>
  </si>
  <si>
    <t>OBRA: ROTONDA EN RUTA PROV. A-102 (CNO. A 60 CUADRAS) 11 DE SEPTIEMBRE</t>
  </si>
  <si>
    <t>RED - 370</t>
  </si>
  <si>
    <t>7605-10.4</t>
  </si>
  <si>
    <t>0045-026769/2025</t>
  </si>
  <si>
    <t>OBRA: PAVIMENTACIÓN CAMINO SECUNDARIO S-496 -TRAMO: R.P. N° 1 -COLONIA VALTELINA- DEPARTAMENTO SAN JUSTO</t>
  </si>
  <si>
    <t>RED - 371</t>
  </si>
  <si>
    <t>RED - 372</t>
  </si>
  <si>
    <t>NUEVO PUENTE EN CALLE DEL CARMEN SOBRE ARROYO SALDAN- VILLA ALLENDE</t>
  </si>
  <si>
    <t>RED - 373</t>
  </si>
  <si>
    <t>RED - 374</t>
  </si>
  <si>
    <t>RED - 375</t>
  </si>
  <si>
    <t>RED - 376</t>
  </si>
  <si>
    <t>NUEVO PUENTE AV. RAUL SCALABRINI ORTIZ (VILLA MARÍA) - CALLE SAN LUIS (VILLA NUEVA)</t>
  </si>
  <si>
    <t>RED - 377</t>
  </si>
  <si>
    <t>RED - 378</t>
  </si>
  <si>
    <t>RED - 379</t>
  </si>
  <si>
    <t>DPV- 100</t>
  </si>
  <si>
    <t>0045-026676/2024</t>
  </si>
  <si>
    <t>RED - 380</t>
  </si>
  <si>
    <t>MÓDULO DE ILUMINACIÓN ZONA D (CONSERVACIÓN Y REHABILITACIÓN)</t>
  </si>
  <si>
    <t>RED - 381</t>
  </si>
  <si>
    <t>RED - 382</t>
  </si>
  <si>
    <t>RED - 383</t>
  </si>
  <si>
    <t>RED - 384</t>
  </si>
  <si>
    <t>7605-17</t>
  </si>
  <si>
    <t>0045-026550/2024</t>
  </si>
  <si>
    <t>MÓDULO DE ILUMINACIÓN ZONA C (CONSERVACIÓN Y REHABILITACIÓN)</t>
  </si>
  <si>
    <t>RED - 385</t>
  </si>
  <si>
    <t>RED - 386</t>
  </si>
  <si>
    <t>REN-1</t>
  </si>
  <si>
    <t>REN-2</t>
  </si>
  <si>
    <t>7605-16</t>
  </si>
  <si>
    <t>0045-026549/2024</t>
  </si>
  <si>
    <t>MÓDULO DE ILUMINACIÓN ZONA B (CONSERVACIÓN Y REHABILITACIÓN)</t>
  </si>
  <si>
    <t>REN-3</t>
  </si>
  <si>
    <t>REN-4</t>
  </si>
  <si>
    <t>REN-5</t>
  </si>
  <si>
    <t>7605-15</t>
  </si>
  <si>
    <t>0045-026696/2024</t>
  </si>
  <si>
    <t>REN-6</t>
  </si>
  <si>
    <t>MÓDULO DE ILUMINACIÓN ZONA A (CONSERVACIÓN Y REHABILITACIÓN)</t>
  </si>
  <si>
    <t>REN-7</t>
  </si>
  <si>
    <t>0045-026439/2024</t>
  </si>
  <si>
    <t>MANTENIMIENTO ZONA 6 (SUR)</t>
  </si>
  <si>
    <t>0045-026438/2024</t>
  </si>
  <si>
    <t>MANTENIMIENTO ZONA 5 (OESTE)</t>
  </si>
  <si>
    <t>0045-026437/2024</t>
  </si>
  <si>
    <t>MANTENIMIENTO ZONA 4 (SUROESTE)</t>
  </si>
  <si>
    <t>0045-026436/2024</t>
  </si>
  <si>
    <t>MANTENIMIENTO ZONA 3 (ESTE)</t>
  </si>
  <si>
    <t>0045-026435/2024</t>
  </si>
  <si>
    <t>MANTENIMIENTO ZONA 2 (NORESTE )</t>
  </si>
  <si>
    <t>REN-8</t>
  </si>
  <si>
    <t>REN-9</t>
  </si>
  <si>
    <t>REN-10</t>
  </si>
  <si>
    <t>0045-026434/2024</t>
  </si>
  <si>
    <t>MANTENIMIENTO ZONA 1 (CAPITAL)</t>
  </si>
  <si>
    <t>REN-11</t>
  </si>
  <si>
    <t>REN-12</t>
  </si>
  <si>
    <t>REN-13</t>
  </si>
  <si>
    <t>0045-026578/2024</t>
  </si>
  <si>
    <t>INTERCONEXION AU RN N° 19 - R.P. N° 188 - MI GRANJA</t>
  </si>
  <si>
    <t>REN-14</t>
  </si>
  <si>
    <t>REN-15</t>
  </si>
  <si>
    <t>REN-16</t>
  </si>
  <si>
    <t>PUENTES</t>
  </si>
  <si>
    <t>EXPEDIENTE DE REPARACION Y MANTENIMIENTO DE PUENTES</t>
  </si>
  <si>
    <t>REN-17</t>
  </si>
  <si>
    <t>REN-18</t>
  </si>
  <si>
    <t>REN-19</t>
  </si>
  <si>
    <t>REN-20</t>
  </si>
  <si>
    <t>7605-35</t>
  </si>
  <si>
    <t>0045-026819/2025</t>
  </si>
  <si>
    <t>EJECUCIÓN NUEVO PUENTE MONTE LEÑA</t>
  </si>
  <si>
    <t>REN-21</t>
  </si>
  <si>
    <t>REN-22</t>
  </si>
  <si>
    <t>REN-23</t>
  </si>
  <si>
    <t>REN-24</t>
  </si>
  <si>
    <t>0045-026517/2024</t>
  </si>
  <si>
    <t>DUPLICACION R.P.N °2. TRAMO: EMPALME R.P.Nº 2 - AUTOPISTA R.N.Nº 9</t>
  </si>
  <si>
    <t>REN-25</t>
  </si>
  <si>
    <t>REN-26</t>
  </si>
  <si>
    <t>REN-27</t>
  </si>
  <si>
    <t>0045-026598/2024</t>
  </si>
  <si>
    <t>DUPLICACIÓN DE CALZADA EN RUTA NACIONAL Nº158 TRAMO: BOULEVARD ARGENTINO - AUTOPISTA R.N.Nº 9 DEPARTAMENTO: GENERAL SAN MARTÍN</t>
  </si>
  <si>
    <t>REN-28</t>
  </si>
  <si>
    <t>REN-29</t>
  </si>
  <si>
    <t>7605-24</t>
  </si>
  <si>
    <t>REN-30</t>
  </si>
  <si>
    <t>DESVIO DE TRANSITO PESADO A LA LOCALIDAD DE LA PARA</t>
  </si>
  <si>
    <t>REN-31</t>
  </si>
  <si>
    <t>REN-32</t>
  </si>
  <si>
    <t>REN-33</t>
  </si>
  <si>
    <t>0045-026416/2024</t>
  </si>
  <si>
    <t>CULMINACIÓN PUENTE LOS POTREROS EN RÍO TERCERO</t>
  </si>
  <si>
    <t>REN-34</t>
  </si>
  <si>
    <t>REN-35</t>
  </si>
  <si>
    <t>REN-36</t>
  </si>
  <si>
    <t>7605-38</t>
  </si>
  <si>
    <t>REN-37</t>
  </si>
  <si>
    <t>0045-027050/2025</t>
  </si>
  <si>
    <t>CONSTRUCCIÓN DESVIO TRANSITO PESADO INTERSECCION RN. N° 9 Y E-79 - ONCATIVO - DPTO. RIO SEGUNDO (ANUNCIO DEL GOBERNADOR)</t>
  </si>
  <si>
    <t>REN-38</t>
  </si>
  <si>
    <t>REN-39</t>
  </si>
  <si>
    <t>COLECTORA DEAN FUNES SOBRE RUTA 60 - 900 M</t>
  </si>
  <si>
    <t>0045-026699/2024</t>
  </si>
  <si>
    <t>CIRCUNVALACIÓN RIO CUARTO - TRAMO IV - SECCIÓN 5 - INTERCAMBIADOR RUTA NAC. A-005 - RUTA NAC. Nº 36- EN AV. DE CIRCUNVALACION RIO CUARTO</t>
  </si>
  <si>
    <t>7578-4.2</t>
  </si>
  <si>
    <t>0045-026777/2025</t>
  </si>
  <si>
    <t>CIRCUNVALACIÓN RIO CUARTO - TRAMO IV - SECCIÓN 4 - OBRA : CIRCUNVALACIÓN RIO IV - DUPLICACIÓN RUTA NAC. A-005 TRAMO = CALLE MARIANO COBO - INTERCAMBIADOR R.N. Nº36 (NORTE)</t>
  </si>
  <si>
    <t>0045-026692/2024</t>
  </si>
  <si>
    <t>CIRCUNVALACIÓN RIO CUARTO - TRAMO IV - SECCIÓN 3 - DUPLICACION DE CALZADA Y VIADUCTO EN AV. DE CIRCUNVALACION DE RIO CUARTO (A005)- TRAMO: CALLE MARIANO L. COBO - CALLE PCIA. DE LA RIOJA</t>
  </si>
  <si>
    <t>REN-40</t>
  </si>
  <si>
    <t>REN-41</t>
  </si>
  <si>
    <t>REN-42</t>
  </si>
  <si>
    <t>7578-4.1</t>
  </si>
  <si>
    <t>REN-43</t>
  </si>
  <si>
    <t>0045-026691/2024</t>
  </si>
  <si>
    <t>CIRCUNVALACIÓN RIO CUARTO - TRAMO IV - SECCIÓN 2 - DUPLICACIÓN CALZADA Y VIADUCTO EN AV. CIRCUNVALACIÓN DE RIO CUARTO (A-005)</t>
  </si>
  <si>
    <t>Meta</t>
  </si>
  <si>
    <t>REN-44</t>
  </si>
  <si>
    <t>REN-45</t>
  </si>
  <si>
    <t>Fecha de anuncio</t>
  </si>
  <si>
    <t>0045-026781/2025</t>
  </si>
  <si>
    <t>CIRCUNVALACIÓN RIO CUARTO - TRAMO III - ARCO NORTE - TRAMO: INTERCAMBIADOR R.N. Nº158 - AUTOVÍA R.N. Nº36</t>
  </si>
  <si>
    <t>REN-46</t>
  </si>
  <si>
    <t>REN-47</t>
  </si>
  <si>
    <t>Anuncio</t>
  </si>
  <si>
    <t>Detalle del anuncio</t>
  </si>
  <si>
    <t>Estado (desagregado)</t>
  </si>
  <si>
    <t>REN-48</t>
  </si>
  <si>
    <t>Avance</t>
  </si>
  <si>
    <t>REN-49</t>
  </si>
  <si>
    <t>Fuente del anuncio</t>
  </si>
  <si>
    <t>REN-50</t>
  </si>
  <si>
    <t>Fuente de Seguimiento</t>
  </si>
  <si>
    <t>CIRCUNVALACIÓN RIO CUARTO - TRAMO II - ARCO ESTE</t>
  </si>
  <si>
    <t>REN-51</t>
  </si>
  <si>
    <t>REN-52</t>
  </si>
  <si>
    <t>ESP-1</t>
  </si>
  <si>
    <t>ESP-2</t>
  </si>
  <si>
    <t>ESP-3</t>
  </si>
  <si>
    <t>ESP-4</t>
  </si>
  <si>
    <t>Infraestructura y Servicios</t>
  </si>
  <si>
    <t>7578-1,1</t>
  </si>
  <si>
    <t>ESP-5</t>
  </si>
  <si>
    <t>0045-026783/2025</t>
  </si>
  <si>
    <t>ESP-6</t>
  </si>
  <si>
    <t>En Cruz del Eje, Llaryora anunció una inversión de $3.800 millones para la repavimentación de la ruta 15</t>
  </si>
  <si>
    <t>CIRCUNVALACIÓN RIO CUARTO - TRAMO I - SECCIÓN II - OBRA :CIRCUNVALACIÓN RIO IV - DUPLICACIÓN RUTA NAC. Nº 8 / TRAMO = BV. CIRCUNVALACIÓN ESTE - INTERCAMBIADOR R.N. Nº36 (ESTE)</t>
  </si>
  <si>
    <t>La obra se desarrollará en el tramo entre Tres Árboles y La Higuera.</t>
  </si>
  <si>
    <t>ESP-7</t>
  </si>
  <si>
    <t>ESP-8</t>
  </si>
  <si>
    <t>ESP-9</t>
  </si>
  <si>
    <t>ESP-10</t>
  </si>
  <si>
    <r>
      <rPr>
        <rFont val="Arial, sans-serif"/>
        <color rgb="FF1155CC"/>
        <u/>
      </rPr>
      <t>https://prensa.cba.gov.ar/informacion-general/en-cruz-del-eje-llaryora-anuncio-una-inversion-de-3-800-millones-para-la-repavimentacion-de-la-ruta-15/#:~:text=Gobierno%20de%20C%C3%B3rdoba-,En%20Cruz%20del%20Eje%2C%20Llaryora%20anunci%C3%B3%20una%20inversi%C3%B3n%20de%20%243.800,repavimentaci%C3%B3n%20de%20la%20ruta%2015&amp;text=La%20obra%20se%20desarrollar%C3%A1%20en,Provincia%20en%20Cruz%20del%20Eje.</t>
    </r>
  </si>
  <si>
    <t>ESP-11</t>
  </si>
  <si>
    <t>ESP-12</t>
  </si>
  <si>
    <t>ESP-13</t>
  </si>
  <si>
    <t>0045-026782/2025</t>
  </si>
  <si>
    <t>ESP-14</t>
  </si>
  <si>
    <t>CIRCUNVALACIÓN RIO CUARTO - TRAMO I - SECCIÓN I (OBRA = CIRCUNVALACIÓN RIO IV - DUPLICACIÓN RUTA NAC. Nº 8 / TRAMO = AV. AMADEO SABATTINI - BV. CIRCUNVALACIÓN ESTE)</t>
  </si>
  <si>
    <t>ESP-15</t>
  </si>
  <si>
    <t>ESP-16</t>
  </si>
  <si>
    <t>ESP-17</t>
  </si>
  <si>
    <t>ESP-18</t>
  </si>
  <si>
    <t>ESP-19</t>
  </si>
  <si>
    <t>0045-026429/2024</t>
  </si>
  <si>
    <t>BACHEO ZONA 4 (SUROESTE)</t>
  </si>
  <si>
    <t>ESP-20</t>
  </si>
  <si>
    <t>ESP-21</t>
  </si>
  <si>
    <t>ESP-22</t>
  </si>
  <si>
    <t>ESP-23</t>
  </si>
  <si>
    <t>ESP-24</t>
  </si>
  <si>
    <t>0045-026428/2024</t>
  </si>
  <si>
    <t>ESP-25</t>
  </si>
  <si>
    <t>BACHEO ZONA 2 (NORESTE )</t>
  </si>
  <si>
    <t>ESP-26</t>
  </si>
  <si>
    <t>ESP-27</t>
  </si>
  <si>
    <t>ESP-28</t>
  </si>
  <si>
    <t>ESP-29</t>
  </si>
  <si>
    <t>ESP-30</t>
  </si>
  <si>
    <t>0045-026427/2024</t>
  </si>
  <si>
    <t>BACHEO ZONA 1 (CAPITAL)</t>
  </si>
  <si>
    <t>ESP-31</t>
  </si>
  <si>
    <t>ARQ-83</t>
  </si>
  <si>
    <t>ARQ-84</t>
  </si>
  <si>
    <t>DPV-197</t>
  </si>
  <si>
    <t>HYG-188</t>
  </si>
  <si>
    <t>7605-10.1</t>
  </si>
  <si>
    <t>ACCESO A VILLA SARMIENTO S-883 (VILLA SARMIENTO GR - RN 7)</t>
  </si>
  <si>
    <t>HYG-192</t>
  </si>
  <si>
    <t>7605-30</t>
  </si>
  <si>
    <t>ROTONDA EN R.P.Nº5 Y AV.SAN MARTIN-VILLA DEL DIQUE E INTERSECCIÓN CANALIZADA ENTRE R.P.Nº5 Y R.P. E-63</t>
  </si>
  <si>
    <t>PTE. ROQUE SAENZ PEÑA</t>
  </si>
  <si>
    <t>El gobernador Martín Llaryora anunció la construcción de dos puentes en la Ciudad de Laboulaye que el Gobierno Provincial ejecutará con un presupuesto de 7 mil millones de pesos.</t>
  </si>
  <si>
    <t>Uno de los puentes estará sobre las vías del ferrocarril, ubicado sobre la calle Pedro Estanguet y el otro estará sobre las vías del ferrocarril, ubicado en Galo Llorente.La obra incluye la refuncionalización y puesta en valor de un puente ferroviario peatonal.</t>
  </si>
  <si>
    <t>CUMPLIDO</t>
  </si>
  <si>
    <t>Suspendida</t>
  </si>
  <si>
    <r>
      <rPr>
        <rFont val="Arial, sans-serif"/>
        <color rgb="FF1155CC"/>
        <u/>
      </rPr>
      <t>https://prensa.cba.gov.ar/informacion-general/las-vias-ya-no-dividiran-a-laboulaye-la-provincia-construira-dos-nuevos-puentes/</t>
    </r>
  </si>
  <si>
    <t>7605-10.8</t>
  </si>
  <si>
    <t>ACCESO A CAMINIAGA RP 21 - (CERRO COLORADO - CAMINIAGA)</t>
  </si>
  <si>
    <t>FUERZAS VIVAS VIAL 1</t>
  </si>
  <si>
    <t>0045-027086/2025</t>
  </si>
  <si>
    <t>PAVIMENTACIÓN CAMINO S-433: INT A174 DESDE COLONIA CAROYA HASTA TINOCO (FUERZAS VIVAS)</t>
  </si>
  <si>
    <t>FUERZAS VIVAS VIAL 2</t>
  </si>
  <si>
    <t>0045-026973/2025</t>
  </si>
  <si>
    <t>En Villa Huidobro, Llaryora anunció obras de pavimentación</t>
  </si>
  <si>
    <t>REHABILITACION RP N° E-94 - TRAMO: RN N°9 -RAYO CORTADO - LA QUINTA. DPTOS. RIO SECO - RIO PRIMERO</t>
  </si>
  <si>
    <t>Firmó un convenio con la municipalidad para la pavimentación de las calles Libertad, Río Negro y Alemania.</t>
  </si>
  <si>
    <t>RÍO SECO / RÍO PRIMERO</t>
  </si>
  <si>
    <r>
      <rPr>
        <rFont val="Arial, sans-serif"/>
        <color rgb="FF1155CC"/>
        <u/>
      </rPr>
      <t>https://prensa.cba.gov.ar/gobierno/en-villa-huidobro-llaryora-anuncio-obras-de-pavimentacion-e-infraestructura-deportiva-por-mas-de-450-millones-de-pesos/#:~:text=Gobierno%20de%20C%C3%B3rdoba-,En%20Villa%20Huidobro%2C%20Llaryora%20anunci%C3%B3%20obras%20de%20pavimentaci%C3%B3n%20e%20infraestructura,de%20450%20millones%20de%20pesos&amp;text=Firm%C3%B3%20un%20convenio%20con%20la,Polideportivo%20social%20en%20la%20localidad.</t>
    </r>
  </si>
  <si>
    <t>FUERZAS VIVAS VIAL 3</t>
  </si>
  <si>
    <t>PAVIMENTACIÓN DE CAMINO S425 - DESDE CAÑADA DE LUQUE HASTA CAPILLA DE SITÓN (A FUTURO SE PUEDE PROLONGAR HASTA LAS ARRIAS) (FUERZAS VIVAS)</t>
  </si>
  <si>
    <t>5333-22</t>
  </si>
  <si>
    <t>CONVENIO CON MUNICIPALIDAD DE VILLA MARÍA</t>
  </si>
  <si>
    <t>Se firmaron dos convenios entre la Dirección Provincial de Vialidad y la Municipalidad de Villa Dolores, para la ejecución de cordón cuneta en 2.200 metros de la avenida Champaquí y 1.400 metros de la avenida Costanera, con una inversión total de 330 millones de pesos. La Provincia aportará el 70 por ciento del presupuesto, y el Municipio el 30 por ciento restante.</t>
  </si>
  <si>
    <t>En Ejecución</t>
  </si>
  <si>
    <r>
      <rPr>
        <rFont val="Arial, sans-serif"/>
        <color rgb="FF1155CC"/>
        <u/>
      </rPr>
      <t>https://prensa.cba.gov.ar/gobierno/la-provincia-inauguro-un-polideportivo-en-villa-dolores/#:~:text=Tambi%C3%A9n%20anunci%C3%B3%20el%20env%C3%ADo%20de,la%20asistencia%20de%20la%20Provincia.</t>
    </r>
  </si>
  <si>
    <t>REFUERZO</t>
  </si>
  <si>
    <t>REHABILITACIÓN BACHEO ZONA 6</t>
  </si>
  <si>
    <t>REHABILITACIÓN BACHEO ZONA 5</t>
  </si>
  <si>
    <t>La Provincia ejecutará el acueducto Santa Elena- San Francisco del Chañar.</t>
  </si>
  <si>
    <r>
      <rPr>
        <rFont val="Arial, sans-serif"/>
        <color rgb="FF1155CC"/>
        <u/>
      </rPr>
      <t>https://prensa.cba.gov.ar/gobierno/la-provincia-ejecutara-el-acueducto-santa-elena-san-francisco-del-chanar/</t>
    </r>
  </si>
  <si>
    <t>REHABILITACIÓN BACHEO ZONA 3</t>
  </si>
  <si>
    <t>SEÑALIZACIÓN SEGURIDAD VIAL CON CONSERVACIÓN DE ZONA DE CAMINO-REGION A - ZONAS 1 Y 5</t>
  </si>
  <si>
    <t>https://prensa.cba.gov.ar/informacion-general/avanza-la-construccion-del-acueducto-santa-elena-san-francisco-del-chanar/ ; https://prensa.cba.gov.ar/no-home/una-obra-clave-mejorara-el-caudal-de-agua-en-cuatro-localidades-del-noroeste/</t>
  </si>
  <si>
    <t>Se ejecutará la pavimentación de la colectora oeste de la ruta Nacional N°60, lo cual demandará una inversión cercana a los 500 millones.</t>
  </si>
  <si>
    <t>Colectora Oeste de la Ruta Nacional N°60.</t>
  </si>
  <si>
    <t>DPV-204</t>
  </si>
  <si>
    <t>Llamado a Licitación</t>
  </si>
  <si>
    <t>SEÑALIZACIÓN SEGURIDAD VIAL CON CONSERVACIÓN DE ZONA DE CAMINO-REGION B - ZONAS 2 Y 3</t>
  </si>
  <si>
    <r>
      <rPr>
        <rFont val="Arial, sans-serif"/>
        <color rgb="FF1155CC"/>
        <u/>
      </rPr>
      <t>https://prensa.cba.gov.ar/gobernador/dean-funes-llaryora-anuncio-obras-viales-por-750-millones-de-pesos/</t>
    </r>
  </si>
  <si>
    <t>DPV-205</t>
  </si>
  <si>
    <t>SEÑALIZACIÓN SEGURIDAD VIAL CON CONSERVACIÓN DE ZONA DE CAMINO-REGION C - ZONAS 4 Y 6</t>
  </si>
  <si>
    <t>DPV-206</t>
  </si>
  <si>
    <t>SISTEMATIZACION TRAVESIA URBANA ISLA VERDE. DPTO. MARCOS JUAREZ</t>
  </si>
  <si>
    <t>Llaryora anunció otro aporte provincial de cinco millones de pesos que permitirá extender la red interna de gas a las aulas.</t>
  </si>
  <si>
    <t>Se trata de la escuela Gabriel Brochero en la localidad de Salsacate, departamento de Pocho.</t>
  </si>
  <si>
    <t>En proyecto</t>
  </si>
  <si>
    <r>
      <rPr>
        <rFont val="Arial, sans-serif"/>
        <color rgb="FF1155CC"/>
        <u/>
      </rPr>
      <t>https://prensa.cba.gov.ar/gobernador/llaryora-en-tiempos-de-crisis-es-vital-mantener-la-obra-publica-para-sostener-el-empleo/</t>
    </r>
  </si>
  <si>
    <t>DPV-207</t>
  </si>
  <si>
    <t>PAVIMENTACIÓN R.P. U-312 - TR: JUAN B. JUSTO - RP. A-174. DPTO. CAPITAL</t>
  </si>
  <si>
    <t>DPV-208</t>
  </si>
  <si>
    <t>PAVIMENTACION S-471- VILLA QUILLINZO - LUTTI</t>
  </si>
  <si>
    <t>DPV-209</t>
  </si>
  <si>
    <t>ACCESO A VILLA CAÑADA DEL SAUCE</t>
  </si>
  <si>
    <t>El gobernador adelantó también que se abrirá una delegación del Gobierno de la Provincia en Cruz del Eje.</t>
  </si>
  <si>
    <r>
      <rPr>
        <rFont val="Arial, sans-serif"/>
        <color rgb="FF1155CC"/>
        <u/>
      </rPr>
      <t>https://prensa.cba.gov.ar/informacion-general/en-cruz-del-eje-llaryora-anuncio-una-inversion-de-3-800-millones-para-la-repavimentacion-de-la-ruta-15/</t>
    </r>
  </si>
  <si>
    <t>https://prensa.cba.gov.ar/gobernador/cruz-del-eje-tendra-una-sede-del-gobierno-provincial/ ; https://prensa.cba.gov.ar/informacion-general/llaryora-inauguro-el-centro-civico-de-cruz-del-eje-y-anuncio-obras-por-mas-de-60-mil-millones-para-la-region/</t>
  </si>
  <si>
    <t>DPV-210</t>
  </si>
  <si>
    <t>0045-027053/2025</t>
  </si>
  <si>
    <t>REHABILITACIÓN RPN° S-253- TR: ZONA URBANA DE CORRALITO</t>
  </si>
  <si>
    <t>Vamos a construir 4 hospitales nuevos. Referencia: otro será la ampliación del Hospital Huinca Renancó.</t>
  </si>
  <si>
    <r>
      <rPr>
        <rFont val="Arial, sans-serif"/>
        <color rgb="FF1155CC"/>
        <u/>
      </rPr>
      <t>https://prensa.cba.gov.ar/informacion-general/discurso-de-martin-llaryora-sesiones-legislativas/</t>
    </r>
  </si>
  <si>
    <t>0733-009210/2025</t>
  </si>
  <si>
    <t>NUEVAS PERFORACIONES, ACUEDUCTO Y SISTEMA DE DISTRIBUCIÓN DE AGUA POTABLE DE LA LOCALIDAD DE CHUÑA - DPTO. ISCHILIN</t>
  </si>
  <si>
    <t>AGUA POTABLE</t>
  </si>
  <si>
    <t>B- OBRAS DE AGUA Y CLOACA</t>
  </si>
  <si>
    <r>
      <rPr>
        <rFont val="Arial, sans-serif"/>
        <color rgb="FF1155CC"/>
        <u/>
      </rPr>
      <t>https://prensa.cba.gov.ar/obra-publica/huinca-renanco-tendra-un-hospital-de-alta-complejidad/</t>
    </r>
  </si>
  <si>
    <t>0733-009524/2025</t>
  </si>
  <si>
    <t>AMPLIACION DE PLANTA POTABILIZADORA LOS MOLINOS</t>
  </si>
  <si>
    <t>BOUWER - LA CALERA</t>
  </si>
  <si>
    <t>SANTA MARÍA Y CÓLON</t>
  </si>
  <si>
    <t>SPIP 2024: 6481</t>
  </si>
  <si>
    <t>ACUEDUCTO NEXO PLANTA SUQUÍA - C.D. ALTO ALBERDI</t>
  </si>
  <si>
    <t>ACUEDUCTO</t>
  </si>
  <si>
    <t>SIN FINANCIAMIENTO</t>
  </si>
  <si>
    <t>El primer mandatario provincial ratificó la continuidad de la pavimentación de la ruta entre Las Higueras y Rumi Huasi</t>
  </si>
  <si>
    <t>SPIP 2024: 6482</t>
  </si>
  <si>
    <r>
      <rPr>
        <rFont val="Arial, sans-serif"/>
        <color rgb="FF1155CC"/>
        <u/>
      </rPr>
      <t>https://prensa.cba.gov.ar/informacion-general/en-san-carlos-minas-llaryora-anuncio-inversiones-de-la-provincia-por-mas-de-200-millones/</t>
    </r>
  </si>
  <si>
    <t>ACUEDUCTO NEXO PLANTA LOS MOLINOS - C.D. ALTO ALBERDI</t>
  </si>
  <si>
    <t>ACUEDUCTO INTERPROVINCIAL SANTA FE-CÓRDOBA (BLOQUE B)</t>
  </si>
  <si>
    <t>ACUEDUCTO INTERPROVINCIAL SANTA FE-CÓRDOBA (BLOQUE C)</t>
  </si>
  <si>
    <t>El primer mandatario provincial ratificó la prolongación hasta Ciénaga del Coro.</t>
  </si>
  <si>
    <t>SPIP 2024: 6755</t>
  </si>
  <si>
    <t>6755 - SANEAMIENTO - CUENCA - LAGO LOS MOLINOS</t>
  </si>
  <si>
    <t>CLOACAS</t>
  </si>
  <si>
    <t>Proceso administrativo</t>
  </si>
  <si>
    <t>VILLA CIUDAD DE AMÉRICA, VILLA CIUDAD PARQUE, LOS REARTES, POTRERO DE GARAY</t>
  </si>
  <si>
    <r>
      <rPr>
        <rFont val="Arial, sans-serif"/>
        <color rgb="FF1155CC"/>
        <u/>
      </rPr>
      <t>https://prensa.cba.gov.ar/informacion-general/en-san-carlos-minas-llaryora-anuncio-inversiones-de-la-provincia-por-mas-de-200-millones/</t>
    </r>
  </si>
  <si>
    <t>CALAMUCHITA Y SANTA MARÍA</t>
  </si>
  <si>
    <t>CONSTRUCCION MEJORA DE SISTEMA DE AGUA POTABLE. LOCALIDAD DE AGUA DE ORO</t>
  </si>
  <si>
    <t>Llaryora también destacó la inversión provincial de 400 millones de pesos que se está llevando a cabo para la repotenciación del servicio de energía eléctrica.</t>
  </si>
  <si>
    <r>
      <rPr>
        <rFont val="Arial, sans-serif"/>
        <color rgb="FF1155CC"/>
        <u/>
      </rPr>
      <t>https://prensa.cba.gov.ar/informacion-general/las-arrias-y-san-jose-de-la-dormida-quedaron-unidas-por-asfalto/</t>
    </r>
  </si>
  <si>
    <t>0733-008995/2025</t>
  </si>
  <si>
    <t>CONSTRUCCION OBRA DE CAPTACION, REACONDICIONAMIENTO, BOMBEO Y DISTRIBUCION DE AGUA POTABLE CANTERA S EL SAUCE. COMUNA DE EL MANZANO</t>
  </si>
  <si>
    <t>0733-009496/2025</t>
  </si>
  <si>
    <t>SEGUNDA ETAPA DE LA MEJORA DEL SISTEMA DE PROVISION DE AGUA POTABLE DE QUILINO Y VA. QUILINO - RENOVACIÓN DE REDES DE DISTRIBUCIÓN</t>
  </si>
  <si>
    <t>El mandatario cordobés indicó que destinará 1.300 millones de pesos para multiplicar la capacidad eléctrica de la localidad</t>
  </si>
  <si>
    <r>
      <rPr>
        <rFont val="Arial, sans-serif"/>
        <color rgb="FF1155CC"/>
        <u/>
      </rPr>
      <t>https://prensa.cba.gov.ar/informacion-general/llaryora-anuncio-obras-de-infraestructura-por-1-680-millones-para-el-departamento-tulumba/</t>
    </r>
  </si>
  <si>
    <t>NUEVA PERFORACION - BARRIO TAJAMAR - LAS RABONAS</t>
  </si>
  <si>
    <t>REFUERZO DEL SISTEMA DE PROVISIÓN DE AGUA POTABLE DE LA COMUNA DE PASO VIEJO</t>
  </si>
  <si>
    <t>El primer mandatario adelantó la continuidad de la repavimentación de la Ruta 15, que actualmente se ejecuta en un tramo de 13 km entre las localidades de Tres Árboles y La Higuera, con una inversión cercana a los 12.500 millones de pesos.</t>
  </si>
  <si>
    <t>Con otra inversión provincial de más de 17 mil millones de pesos, la repavimentación de la ruta 15 seguirá hasta llegar a San Carlos Minas, superando el total de 30 mil millones de pesos.</t>
  </si>
  <si>
    <r>
      <rPr>
        <rFont val="Arial, sans-serif"/>
        <color rgb="FF1155CC"/>
        <u/>
      </rPr>
      <t>https://prensa.cba.gov.ar/informacion-general/llaryora-inauguro-el-centro-civico-de-cruz-del-eje-y-anuncio-obras-por-mas-de-60-mil-millones-para-la-region/</t>
    </r>
  </si>
  <si>
    <t>PROVISION DE AGUA POTABLE - PARAJE VIRGEN DE LA PEÑA - SERREZUELA</t>
  </si>
  <si>
    <t>PROVISION DE AGUA POTABLE TINOCO</t>
  </si>
  <si>
    <t>0733-009304/2025</t>
  </si>
  <si>
    <t>Al mismo tiempo, el gobernador valoró la inversión de 9 mil millones de pesos para la repotenciación de la central eléctrica.</t>
  </si>
  <si>
    <t>REFUERZO DE SISTEMA DE ABASTECIMIENTO DE AGUA POTABLE A CABANA DESDE CISTERNA VILLA DIAZ -UNQUILLO</t>
  </si>
  <si>
    <r>
      <rPr>
        <rFont val="Arial, sans-serif"/>
        <color rgb="FF1155CC"/>
        <u/>
      </rPr>
      <t>https://prensa.cba.gov.ar/informacion-general/llaryora-inauguro-el-centro-civico-de-cruz-del-eje-y-anuncio-obras-por-mas-de-60-mil-millones-para-la-region/</t>
    </r>
  </si>
  <si>
    <t>El gobernador también se comprometió a impulsar el turismo en el norte cordobés, y para ello se llevará a cabo la ejecución de un perilago y un hotel, con una inversión de 18 mil millones de pesos alrededor del Dique Cruz del Eje.</t>
  </si>
  <si>
    <t>OBRA DE CLOACA</t>
  </si>
  <si>
    <r>
      <rPr>
        <rFont val="Arial, sans-serif"/>
        <color rgb="FF1155CC"/>
        <u/>
      </rPr>
      <t>https://prensa.cba.gov.ar/informacion-general/llaryora-inauguro-el-centro-civico-de-cruz-del-eje-y-anuncio-obras-por-mas-de-60-mil-millones-para-la-region/</t>
    </r>
  </si>
  <si>
    <r>
      <rPr>
        <rFont val="Arial, sans-serif"/>
        <i/>
        <color rgb="FF1155CC"/>
        <u/>
      </rPr>
      <t>https://prensa.cba.gov.ar/gobernador/comenzo-la-construccion-de-la-sede-regional-de-la-upc-en-cruz-del-eje/</t>
    </r>
  </si>
  <si>
    <t>PROVISION DE AGUA POTABLE HUERTA GRANDE</t>
  </si>
  <si>
    <t>OBRAS BÁSICAS DEL SISTEMA DE AGUA POTABLE PARA LA LOCALIDAD DE POTRERO DE GARAY</t>
  </si>
  <si>
    <t>En materia de agua potable, Llaryora le solicitó al municipio de Cruz del Eje, su Concejo Deliberante y la Cooperativa local que avancen en la coordinación y articulación para concretar las obras de redes domiciliarias, y adelantó el apoyo de la Provincia para llevar adelante estos trabajos.</t>
  </si>
  <si>
    <r>
      <rPr>
        <rFont val="Arial, sans-serif"/>
        <color rgb="FF1155CC"/>
        <u/>
      </rPr>
      <t>https://prensa.cba.gov.ar/informacion-general/llaryora-inauguro-el-centro-civico-de-cruz-del-eje-y-anuncio-obras-por-mas-de-60-mil-millones-para-la-region/</t>
    </r>
  </si>
  <si>
    <t>Anunció el llamado a licitación para ejecutar la nueva estación transformadora, con una inversión de 2.700 millones de pesos</t>
  </si>
  <si>
    <t>0733-009561/2025</t>
  </si>
  <si>
    <t>SISTEMA DE PROVISIÓN DE AGUA POTABLE PARA SAN JOSÉ DE LA DORMIDA</t>
  </si>
  <si>
    <r>
      <rPr>
        <rFont val="Arial, sans-serif"/>
        <color rgb="FF1155CC"/>
        <u/>
      </rPr>
      <t>https://prensa.cba.gov.ar/gobernador/en-villa-de-soto-llaryora-anuncio-inversiones-por-3-500-millones-en-energia-electrica-y-agua-potable/</t>
    </r>
  </si>
  <si>
    <t>REFUERZO DEL SISTEMA DE PROVISIÓN DE AGUA POTABLE DE VILLA DE SOTO (ANUNCIO DEL GOBER)</t>
  </si>
  <si>
    <t>PROVISIÓN DE AGUA POTABLE A PUESTO DE CASTRO (DPTO. RÍO SECO)</t>
  </si>
  <si>
    <t>Firmó un convenio con la intendenta María José Acuña para la ejecución de la obra de refuerzo del sistema de provisión de agua potable de la localidad, con una inversión provincial superior a los 754 millones de pesos.</t>
  </si>
  <si>
    <t>El proyecto optimizará y mejorará el suministro de agua potable en el municipio del norte provincial, donde se registró en el último tiempo un crecimiento demográfico que incrementa la demanda del servicio</t>
  </si>
  <si>
    <r>
      <rPr>
        <rFont val="Arial, sans-serif"/>
        <color rgb="FF1155CC"/>
        <u/>
      </rPr>
      <t>https://prensa.cba.gov.ar/gobernador/en-villa-de-soto-llaryora-anuncio-inversiones-por-3-500-millones-en-energia-electrica-y-agua-potable/</t>
    </r>
  </si>
  <si>
    <t>Seguidamente, el gobernador anunció que enviará 60 millones de pesos para llevar el gas natural a tres escuelas locales,</t>
  </si>
  <si>
    <t>CANAL MAESTRO MARGEN IZQUIERDA PICHANAS TRAMO RAMAL 4 - REPRESA DEL ESTADO</t>
  </si>
  <si>
    <t>HÍDRICAS</t>
  </si>
  <si>
    <r>
      <rPr>
        <rFont val="Arial, sans-serif"/>
        <color rgb="FF1155CC"/>
        <u/>
      </rPr>
      <t>https://prensa.cba.gov.ar/gobernador/en-villa-de-soto-llaryora-anuncio-inversiones-por-3-500-millones-en-energia-electrica-y-agua-potable/</t>
    </r>
  </si>
  <si>
    <t>OBRA DE GAS</t>
  </si>
  <si>
    <t>Adjudicada</t>
  </si>
  <si>
    <r>
      <rPr>
        <rFont val="Arial, sans-serif"/>
        <color rgb="FF1155CC"/>
        <u/>
      </rPr>
      <t>https://prensa.cba.gov.ar/informacion-general/llaryora-inauguro-el-centro-civico-de-cruz-del-eje-y-anuncio-obras-por-mas-de-60-mil-millones-para-la-region/</t>
    </r>
  </si>
  <si>
    <t>ACUEDUCTO TRASLASIERRAS (TERCERA ETAPA)</t>
  </si>
  <si>
    <t>OBRA VIAL</t>
  </si>
  <si>
    <r>
      <rPr>
        <rFont val="Arial, sans-serif"/>
        <color rgb="FF1155CC"/>
        <u/>
      </rPr>
      <t>https://prensa.cba.gov.ar/informacion-general/llaryora-inauguro-el-centro-civico-de-cruz-del-eje-y-anuncio-obras-por-mas-de-60-mil-millones-para-la-region/</t>
    </r>
  </si>
  <si>
    <t>OBRA ELÉCTRICA</t>
  </si>
  <si>
    <r>
      <rPr>
        <rFont val="Arial, sans-serif"/>
        <color rgb="FF1155CC"/>
        <u/>
      </rPr>
      <t>https://prensa.cba.gov.ar/informacion-general/llaryora-inauguro-el-centro-civico-de-cruz-del-eje-y-anuncio-obras-por-mas-de-60-mil-millones-para-la-region/</t>
    </r>
  </si>
  <si>
    <t>SANEAMIENTO CLOACAL VILLA RUMIPAL</t>
  </si>
  <si>
    <t>El gobernador adelantó que pronto se publicará el llamado a licitación para la construcción de un nuevo edificio para la escuela vinculada al agro y las tecnologías, con una inversión de 4.000 millones.</t>
  </si>
  <si>
    <t>PROXIMO AÑO</t>
  </si>
  <si>
    <r>
      <rPr>
        <rFont val="Arial, sans-serif"/>
        <color rgb="FF1155CC"/>
        <u/>
      </rPr>
      <t>https://prensa.cba.gov.ar/gobernador/laboulaye-comenzo-la-construccion-de-la-sede-de-la-universidad-provincial/</t>
    </r>
  </si>
  <si>
    <t>OBRAS BASICAS DE SANEAMIENTO DE LA PARA</t>
  </si>
  <si>
    <t>7603-16</t>
  </si>
  <si>
    <t>SANEAMIENTO RIO SEGUNDO</t>
  </si>
  <si>
    <t>7603-19</t>
  </si>
  <si>
    <t>El gobernador adelantó la licitación de una línea de alta tensión de 132 kv, con una inversión de 50 mil millones de pesos;</t>
  </si>
  <si>
    <t>SANEAMIENTO CLOACAL DE LA LOCALIDAD DE OBISPO TREJO</t>
  </si>
  <si>
    <r>
      <rPr>
        <rFont val="Arial, sans-serif"/>
        <color rgb="FF1155CC"/>
        <u/>
      </rPr>
      <t>https://prensa.cba.gov.ar/gobernador/comenzo-la-construccion-de-la-sede-regional-de-la-upc-en-cruz-del-eje/</t>
    </r>
  </si>
  <si>
    <t>El gobernador Martín Llaryora anunció la repavimentación de la ruta A175, que une Cruz del Eje con Media Naranja.</t>
  </si>
  <si>
    <t>Se repavimentarán 16 kilómetros de la ruta A175, entre Cruz del Eje y Media Naranja, pasando por El Brete, con un presupuesto oficial de 9.000 millones de pesos y un plazo de 365 días. Además, se ejecutará bacheo en la zona de influencia</t>
  </si>
  <si>
    <r>
      <rPr>
        <rFont val="Arial, sans-serif"/>
        <color rgb="FF1155CC"/>
        <u/>
      </rPr>
      <t>https://prensa.cba.gov.ar/gobierno/la-provincia-repavimentara-la-ruta-a175-desde-cruz-del-eje-hasta-media-naranja/</t>
    </r>
  </si>
  <si>
    <t>SANEAMIENTO CLOACAL RÍO PRIMERO</t>
  </si>
  <si>
    <t>SANEAMIENTO CLOACAL DE SANTA ROSA DE RÍO PRIMERO</t>
  </si>
  <si>
    <t>SANEAMIENTO CLOACAL LA FRANCIA</t>
  </si>
  <si>
    <t>REFUNCIONALIZACION Y PUESTA EN VALOR DE LA OBRA BASICA DE SANEAMIENTO CLOACAL DE LA CUMBRECITA</t>
  </si>
  <si>
    <t>SANEAMIENTO CLOACAL VILLA DEL DIQUE</t>
  </si>
  <si>
    <t>GASODUCTO VIRTUAL IDIAZABAL</t>
  </si>
  <si>
    <t>GASODUCTOS</t>
  </si>
  <si>
    <t>E- OBRAS DE GAS</t>
  </si>
  <si>
    <t>IDIAZÁBAL</t>
  </si>
  <si>
    <t>GASODUCTO VIRTUAL CIENAGA DEL CORO</t>
  </si>
  <si>
    <t>GASODUCTO VIRTUAL FOTHERINGHAM</t>
  </si>
  <si>
    <t>FOTHERINGHAM</t>
  </si>
  <si>
    <t>GASODUCTO VIRTUAL ACHIRAS</t>
  </si>
  <si>
    <t>GASODUCTO VIRTUAL SAN JOSE DE LAS SALINAS</t>
  </si>
  <si>
    <t>0733-009493/2025</t>
  </si>
  <si>
    <t>OBRA PROTECCIÓN MARGENES DEL RÍO TERCERO LOCALIDAD VILLA NUEVA - TRAMO PUENTE VELEZ SARSFIELD</t>
  </si>
  <si>
    <t>0733-009278/2025</t>
  </si>
  <si>
    <t>REPARACIÓN VERTEDERO LAGUNA ALAS COLORADAS - DPTO JUAREZ CELMAN.</t>
  </si>
  <si>
    <t>0733-009555/2025</t>
  </si>
  <si>
    <t>READECUACION Y MEJORA SISTEMA HIDRÁULICO CUENCA SUR DEPARTAMENTO RIO CUARTO</t>
  </si>
  <si>
    <t>0733-009265/2025</t>
  </si>
  <si>
    <t>PROTECCIÓN DE EROSIÓN Y CRUCE DEL ARROYO CHICO ENTRE LAGUNA DEL TURCO Y ARROYO 630 - DPTO RIO CUARTO.</t>
  </si>
  <si>
    <t>7606-32</t>
  </si>
  <si>
    <t>0733-009528/2025</t>
  </si>
  <si>
    <t>SISTEMATIZACIÓN DE CUENCA TRES COLONIAS Y CANAL SANTA CECILIA</t>
  </si>
  <si>
    <t>0733-009264/2025</t>
  </si>
  <si>
    <t>EJECUCIÓN DERIVACIÓN DESDE ACUEDUCTO PICHANAS – EL CHACHO A PJE. POCITOS - DPTO MINAS.</t>
  </si>
  <si>
    <t>REVESTIMIENTO CANAL MAESTRO MARGEN IZQUIERDA DE PICHANAS TRAMO SANTA ANA - RIO EL TALA</t>
  </si>
  <si>
    <t>REFUNCIONALIZACIÓN CANAL SECUNDARIO N°9 EN EL SISTEMA DE RIEGO DEL DIQUE CRUZ DEL EJE</t>
  </si>
  <si>
    <t>REFUNCIONALIZACION CANAL MAESTRO NORTE SISTEMA DE RIEGO RIO DE LOS SAUCES - VILLA DOLORES</t>
  </si>
  <si>
    <t>MEJORAMIENTO CANAL LAS TAPIAS BAÑADO DE SOTO EN CRUCE CON VILLA DE SOTO (ANUNCIO DEL GOBER)</t>
  </si>
  <si>
    <t>REVESTIMIENTO CANAL MAESTRO DE RIEGO - TRAMO LAS PLAYAS</t>
  </si>
  <si>
    <t>7603-15</t>
  </si>
  <si>
    <t>SANEAMIENTO DESPEÑADEROS - OBRA BASICA Y REDES COLECTORAS</t>
  </si>
  <si>
    <t>NUEVA2</t>
  </si>
  <si>
    <t>0733-008709/2025</t>
  </si>
  <si>
    <t>REEMPLAZO ACUEDUCTO PRINCIPAL EN AVENIDA CÁRCANO Y READECUACIÓN DE CALZADA. TRAMO ENTRE CALLE J. KEPLER Y AV.
 LIBERTAD. VILLA CARLOS PAZ</t>
  </si>
  <si>
    <t>0733-008655/2025</t>
  </si>
  <si>
    <t>ACUEDUCTO OESTE LOCALIDAD DE CRUZ DEL EJE (DPTO. CRUZ DEL EJE) VA DE LA MANO CON: (OBRA DE MEJORA EN LA RED DE DISTRIBUCIÓN DE AGUA POTABLE EN CRUZ DEL EJE - ETAPA 1 (ANUNCIO DEL GOBERNADOR)</t>
  </si>
  <si>
    <t>0733-009554/2025</t>
  </si>
  <si>
    <t>REFUNCIONALIZACIÓN Y ACTUALIZACIÓN EN LAS OBRAS BÁSICAS DE SANEAMIENTO DE LA CIUDAD DE CRUZ DEL EJE</t>
  </si>
  <si>
    <t>0733-009305/2025</t>
  </si>
  <si>
    <t>PROVISIÓN DE AGUA PARA AVIONES HIDRANTES – AERÓDROMO ASCOCHINGA</t>
  </si>
  <si>
    <t>ASCOCHINGA</t>
  </si>
  <si>
    <t>PROVISIÓN DE AGUA POTABLE ESTACIÓN GENERAL PAZ – ETAPA 2</t>
  </si>
  <si>
    <t>NUEVA3</t>
  </si>
  <si>
    <t>OBRA DE RIEGO QUILINO</t>
  </si>
  <si>
    <t>0733-009497/2025</t>
  </si>
  <si>
    <t>MODERNIZACIÓN Y REFUNCIONALIZACIÓN INTEGRAL DEL ACUEDUCTO Y SISTEMA DE PROVISIÓN DE AGUA DE LAS LOCALIDADES DE QUILINO, VILLA QUILINO, SAN JOSÉ DE LAS SALINAS Y LUCIO V. MANSILLA</t>
  </si>
  <si>
    <t>0733-009260/2025</t>
  </si>
  <si>
    <t>REFUNCIONALIZACION SUBCUENCA 1 -TRAMO ENTRE LAS LOCALIDADES CAMILO ALDO Y C. G. B. O`HOGGINS - DEPTO MARCOS JUAREZ.</t>
  </si>
  <si>
    <t>0733-009261/2025</t>
  </si>
  <si>
    <t>READECUACIÓN Aº SAN JOSE - TRAMO T130-28 A RUTA PROVINCIAL Nº4 - DEPTO GRAL SAN MARTIN.</t>
  </si>
  <si>
    <t>0733-009556/2025</t>
  </si>
  <si>
    <t>PROTECCION CONTRA INUNDACIONES CIUDAD DE LA CARLOTA - DEPTO JUAREZ CELMAN.</t>
  </si>
  <si>
    <t>FDA 4</t>
  </si>
  <si>
    <t>SUBSIDIO</t>
  </si>
  <si>
    <t>SUBSIDIO PARA EL FONDO DESARROLLO AGROPECUARIO DE LA PROVINCIA DE CÓRDOBA</t>
  </si>
  <si>
    <t>MEJORA EN EL SISTEMA DE PROVISION DE AGUA POTABLE LOCALIDAD DE CERRO COLORADO - NUEVA PERFORACIÓN PARAJE EL PANTANILLO - DPTO RIO SECO</t>
  </si>
  <si>
    <t>0733-009539/2025</t>
  </si>
  <si>
    <t>SISTEMATIZACIÓN DE LA CUENCA DE COLONIA SEVERINA AL CANAL ESTE DE BALNEARIA - DEPTO. SAN JUSTO</t>
  </si>
  <si>
    <t>DESAGÜE CALLES MADRE SACRAMENTO – ADORATRICES, ZONA SUR CIUDAD DE CÓRDOBA</t>
  </si>
  <si>
    <t>0733-009558/2025</t>
  </si>
  <si>
    <t>PROGRAMA DE DESARROLLO DE REDES COLECTORAS CLOACALES EN ZONAS SERRANAS - CUENCA SAN ROQUE - PRIMERA ETAPA</t>
  </si>
  <si>
    <t>PROGRAMA DE DESARROLLO DE REDES COLECTORAS CLOACALES EN ZONAS SERRANAS - CUENCA ARROYO SALDAN</t>
  </si>
  <si>
    <t>PROGRAMA DE DESARROLLO DE REDES COLECTORAS CLOACALES EN ZONAS SERRANAS - CUENCA RÍO DE LOS SAUCES</t>
  </si>
  <si>
    <t>0733-009559/2025</t>
  </si>
  <si>
    <t>SANEAMIENTO CLOACAL BARRIO A.G.E.C., BARRIO UNIVERSIDAD Y COLECTOR LAGUNA BLANCA - AZUD PUENTE FERROVIARIO</t>
  </si>
  <si>
    <t>CONSTRUCCIÓN NEXO CLOACAL HOSPITAL NOROESTE - DPTO: CAPITAL</t>
  </si>
  <si>
    <t>NUEVA PENDIENTE</t>
  </si>
  <si>
    <t>COMPLEJO ESPERANZA - BOWER - DPTO. SANTA MARÍA</t>
  </si>
  <si>
    <t>SEGURIDAD</t>
  </si>
  <si>
    <t>D- OBRAS DE ARQUITECTURA</t>
  </si>
  <si>
    <t>CONSTRUCCIÓN DE NUEVO PARQUE LINEAL SIERRAS CHICAS ETAPA 1 - RÍO CEBALLOS - DPTO. COLÓN</t>
  </si>
  <si>
    <t>PARQUES Y PLAZAS</t>
  </si>
  <si>
    <t>NO-2025</t>
  </si>
  <si>
    <t>CONSTRUCCIÓN DE NUEVO EDIFICIO SECRETARÍA INNOVACION RIO CUARTO - DPTO. RÍO CUARTO</t>
  </si>
  <si>
    <t>CONSTRUCCIÓN EDIFICIO ESCUELA EN SAN FRANCISCO - DPTO. SAN JUSTO</t>
  </si>
  <si>
    <t>ESCUELAS</t>
  </si>
  <si>
    <t>0047-000005/2024</t>
  </si>
  <si>
    <t>CONSTRUCCIÓN ESCUELA SEC DE OFICIOS A CREARSE - VILLA GRAL BELGRANO</t>
  </si>
  <si>
    <t>0047-002462/2024</t>
  </si>
  <si>
    <t>REPARACIONES VARIAS EN GENERAL EN LOS ESTABLECIMIENTOS PÚBLICOS UBICADOS EN LA CIUDAD DE CÓRDOBA - A DETERMINAR</t>
  </si>
  <si>
    <t>EDIFICIOS PÚBLICOS</t>
  </si>
  <si>
    <t>0047-000009/2024</t>
  </si>
  <si>
    <t>REPARACIONES VARIAS EN GENERAL EN LOS ESTABLECIMIENTOS DE SEGURIDAD UBICADOS EN LA CIUDAD DE CÓRDOBA - A DETERMINAR</t>
  </si>
  <si>
    <t>RESTAURACIÓN Y PUESTA EN VALOR DEL EX CASINO DEL SIERRAS HOTEL DE LA CIUDAD DE ALTA GRACIA - DPTO. SANTA MARÍA</t>
  </si>
  <si>
    <t>PROVISIÓN DE KITS DE SEGURIDAD ELÉCTRICA</t>
  </si>
  <si>
    <t>ENERGIA ELECTRICA</t>
  </si>
  <si>
    <t>C- OBRAS ELÉCTRICAS</t>
  </si>
  <si>
    <t>AMPLIACION DE POLO DEPORTIVO Y RECREATIVO KEMPES - CÓRDOBA CAPITAL</t>
  </si>
  <si>
    <t>AMPLIACION DE POLO DEPORTIVO Y RECREATIVO KEMPES - CÓRDOBA CAPITAL – AGENCIA CÓDOBA DEPORTES</t>
  </si>
  <si>
    <t>CONSTRUCCIÓN NUEVA COMISARIA DEPARTAMENTAL SAN FRANCISCO - DPTO. SAN JUSTO</t>
  </si>
  <si>
    <t>GLOBAL</t>
  </si>
  <si>
    <t>NUEVOTRANSFORMADOR 500/132 KV - 300 MVA - ARROYO CABRAL</t>
  </si>
  <si>
    <t>ENERGIA ELECTRICA - APORTE RENTAS GENERALES</t>
  </si>
  <si>
    <t>CONSTRUCCIÓN 65 KM LÍNEA AÉREA DE MEDIA TENSIÓN 33KV Y ESTACIÓN TRANSFORMADORA REDUCTORA 33/13,2 KV - CHANCANI</t>
  </si>
  <si>
    <t>0660-001159/2024</t>
  </si>
  <si>
    <t>INSTALACIÓN DE RECONECTADORES EN EL SISTEMA ELÉCTRICO PROVINCIAL DE MEDIA TENSIÓN PARA MITIGACIÓN DE INCENDIOS RURALES</t>
  </si>
  <si>
    <t>INSTALACIÓN DE MEDIDORES TELEMEDIDOS PARA SUBESTACIONES MT/BT EN EL SISTEMA ELETRICO PROVINCIAL (ETAPA 1)</t>
  </si>
  <si>
    <t>INFRAESTRUCTURA ELÉCTRICA PARA USUARIOS DISPERSOS REMOTOS NO CONECTADOS A RED EN JURISDICCIÓN DE COOPERATIVA</t>
  </si>
  <si>
    <t>0916-000727/2024</t>
  </si>
  <si>
    <t>LMT 33KV 24 KM LA LAGUNA- IDIAZABAL</t>
  </si>
  <si>
    <t>0047-002341/2024</t>
  </si>
  <si>
    <t>CONSTRUCCIÓN NUEVO PARQUE DE LA DEMOCRACIA - DPTO. CRUZ DEL EJE</t>
  </si>
  <si>
    <t>CRD TIROLESA - TELEMEDICION</t>
  </si>
  <si>
    <t>0047-001889/2023</t>
  </si>
  <si>
    <t>CONSTRUCCIÓN NUEVO EDIFICIO PARA LA COMISARÍA DE SANTA ROSA DE CALAMUCHITA, LOC. SANTA ROSA, DPTO. CALAMUCHITA</t>
  </si>
  <si>
    <t>0047-000142/2021</t>
  </si>
  <si>
    <t>REPARACIÓN Y REFUNCIONALIZACIÓN DEL MINISTERIO DE JUSTICIA Y DERECHOS HUMANOS</t>
  </si>
  <si>
    <t>CONSTRUCCIÓN NUEVO EDIFICIO PARA EL CUARTEL DEL ETAC - LOCALIDAD LA FALDA - DPTO. PUNILLA</t>
  </si>
  <si>
    <t>CONSTRUCCIÓN LÍNEA AÉREA DE MEDIA
 TENSIÓN 33KV - 18KM- COLONIA SAN BARTOLOMÉ</t>
  </si>
  <si>
    <t>CONSTRUCCIÓN LÍNEA AÉREA DE MEDIA TENSIÓN APTA 33KV - 20KM - HERNANDO - LAS ISLETILLAS</t>
  </si>
  <si>
    <t>CONSTRUCCIÓN LÍNEA AÉREA DE MEDIA TENSIÓN 13,2KV CONDUCTOR PROTEGIDO- 3,5KM - SANTA MÓNICA</t>
  </si>
  <si>
    <t>SANTA MONICA</t>
  </si>
  <si>
    <t>0427-085058/2022</t>
  </si>
  <si>
    <t>CONSTRUCCIÓN DE CENTRO DE DESARROLLO INFANTIL QUILINO</t>
  </si>
  <si>
    <t>CDI</t>
  </si>
  <si>
    <t>DETENIDA</t>
  </si>
  <si>
    <t>0427-084961/2022</t>
  </si>
  <si>
    <t>CONSTRUCCIÓN DE CENTRO DE DESARROLLO INFANTIL JESÚS MARÍA</t>
  </si>
  <si>
    <t>0427-085060/2022</t>
  </si>
  <si>
    <t>CONSTRUCCIÓN DE CENTRO DE DESARROLLO INFANTIL SALSIPUEDES</t>
  </si>
  <si>
    <t>0427-084964/2022</t>
  </si>
  <si>
    <t>CONSTRUCCIÓN DE CENTRO DE DESARROLLO INFANTIL RÍO IV</t>
  </si>
  <si>
    <t>CONSTRUCCIÓN DE SUBESTACIONES TRANSFORMADORAS AEREAS INTELIGENTES EN LA PROVINCIA DE CORDOBA - ETAPA 2"</t>
  </si>
  <si>
    <t>0427-084455/2022</t>
  </si>
  <si>
    <t>CONSTRUCCIÓN DE CENTRO DE DESARROLLO INF. MALVINAS ARGENTINAS</t>
  </si>
  <si>
    <t>0427-085522/2022</t>
  </si>
  <si>
    <t>CONSTRUCCIÓN DE CENTRO DE DESARROLLO INFANTIL ISLA VERDE</t>
  </si>
  <si>
    <t>0427-084454/2022</t>
  </si>
  <si>
    <t>CONSTRUCCIÓN DE CENTRO DE DESARROLLO INFANTIL SALDÁN</t>
  </si>
  <si>
    <t>SALDÁN</t>
  </si>
  <si>
    <t>7581-13</t>
  </si>
  <si>
    <t>0427-084962/2022</t>
  </si>
  <si>
    <t>CONSTRUCCIÓN DE CENTRO DE DESARROLLO INFANTIL ALTA GRACIA</t>
  </si>
  <si>
    <t>0427-085056/2022</t>
  </si>
  <si>
    <t>CONSTRUCCIÓN DE CENTRO DE DESARROLLO INFANTIL RÍO PRIMERO</t>
  </si>
  <si>
    <t>0427-085724/2022</t>
  </si>
  <si>
    <t>CONSTRUCCIÓN DE CENTRO DE DESARROLLO INFANTIL INRIVILLE</t>
  </si>
  <si>
    <t>0427-085059/2022</t>
  </si>
  <si>
    <t>CONSTRUCCIÓN DE CENTRO DE DESARROLLO INFANTIL CRUZ DEL EJE</t>
  </si>
  <si>
    <t>0427-084963/2022</t>
  </si>
  <si>
    <t>CONSTRUCCIÓN DE CENTRO DE DESARROLLO INFANTIL LABORDE</t>
  </si>
  <si>
    <t>0427-084457/2022</t>
  </si>
  <si>
    <t>CONSTRUCCIÓN DE CENTRO DE DESARROLLO INFANTIL TÍO PUJIO</t>
  </si>
  <si>
    <t>0047-002302/2024</t>
  </si>
  <si>
    <t>CONSTRUCCION INGRESO UNICO Y SALA DE ESPERA - EXTERIORES POLO DE LA MUJER - ENTRE RIOS N° 650.</t>
  </si>
  <si>
    <t>0660-001480/2024</t>
  </si>
  <si>
    <t>CONSTRUCCIÓN DE LMT EMBALSE CON CENTRO REDUCIDO DE DISTRIBUCION 13,2 KV 6 KM</t>
  </si>
  <si>
    <t>CONSTRUCCIÓN 15 KM LÍNEA AÉREA DE MEDIA TENSIÓN 33 KV Y ESTACIÓN TRANSFORMADORA REDUCTORA 33/13,2 KV - COLONIA ALMADA - VILLA ASCASUBI</t>
  </si>
  <si>
    <t>COLONIA ALMADA - VILLA ASCASUBI</t>
  </si>
  <si>
    <t>CONSTRUCCIÓN DE LINEA DE MT 33KV -RIO SEGUNDO - TOLEDO</t>
  </si>
  <si>
    <t>CONSTRUCCIÓN DE LINEA DE MT 13,2KV-6 KM- RECONECTADOR EN 13,2 KV -PARADOR DE LA MONTAÑA</t>
  </si>
  <si>
    <t>PARADOR DE LA MONTAÑA</t>
  </si>
  <si>
    <t>CONSTRUCCIÓN DE LINEA DE MT 13,2KV-17 KM- RECONECTADOR EN 13,2 KV -SAN AGUSTIN - CALMAYO</t>
  </si>
  <si>
    <t>SAN AGUSTÍN - CALMAYO</t>
  </si>
  <si>
    <t>0660-001425/2024</t>
  </si>
  <si>
    <t>CONSTRUCCIÓN DE LÍNEA AÉREA DE MONTAÑA, MEDIA TENSIÓN (13,2 KV) EN LOCALIDAD DE LA RANCHERITA</t>
  </si>
  <si>
    <t>0660-001523/2024</t>
  </si>
  <si>
    <t>CONSTRUCCIÓN DE GRUPOS REGULADORES ELÉCTRICOS DE TENSIÓN PARA LAS LOCALIDADES DE SALSACATE, SATURNINO MARÍA LASPIUR, LA CUMBRECITA, GUTEMBERG, LA CRUZ Y LA HIGUERA (1RA ETAPA)</t>
  </si>
  <si>
    <t>RECUPERACIÓN Y PUESTA EN VALOR DEL PARQUE COSTANERA DE BARRIO JUNIORS, LOC. CÓRDOBA, DPTO. CAPITAL</t>
  </si>
  <si>
    <t>CONSTRUCCIÓN NUEVO EDIFICIO PARA EL CUARTEL DEL ETAC - LOCALIDAD CERRO COLORADO - DPTO. RÍO SECO</t>
  </si>
  <si>
    <t>0047-000114/2024</t>
  </si>
  <si>
    <t>EJECUCIÓN DE RESERVA PARA SERVICIO CONTRA INCENDIO TRIBUNAL DE CUENTAS</t>
  </si>
  <si>
    <t>CONSTRUCCIÓN - LINEA TRONCAL OLIVA PAMPAYASTA( 34 KM LMT 33KV )</t>
  </si>
  <si>
    <t>ADECUACIÓN RED ALUMBRADO PÚBLICO EN BARRIOS POPULARES</t>
  </si>
  <si>
    <t>ENERGIA ELECTRICA - DIRECTA EPEC</t>
  </si>
  <si>
    <t>"INVERSIONES PARA EL MEJORAMIENTO, ADECUACIÓN Y MODERNIZACIÓN DE LOS SERVICIOS DE PROVISIÓN, DISTRIBUCIÓN, COMERCIALIZACIÓN, TRANSPORTE Y PEAJE
 DEL SISTEMA ELÉCTRICO EN LA PROVINCIA DE CÓRDOBA"</t>
  </si>
  <si>
    <t>CAMPO ARROYO CABRAL</t>
  </si>
  <si>
    <t>SIN CRÉDITO A PEDIR REFUERZO</t>
  </si>
  <si>
    <t>ADQUISICIÓN DE SALAS DE USO ELÉCTRICO</t>
  </si>
  <si>
    <t>ALIMENTADORES MEDIA TENSIÓN - JESUS MARIA (LMT 33 KV + ET 33/13,2 KV “LA MORA”: 35 KM) (FUERZAS VIVAS)</t>
  </si>
  <si>
    <t>ALIMENTADORES MEDIA TENSIÓN - JESUS MARIA (LMT 33 KV + ET 33/13,2 KV “LOS QUEBRACHOS”: 25 KM) (FUERZAS VIVAS)</t>
  </si>
  <si>
    <t>LINEA MEDIDA DE TENSIÓN 33KV - OBISPO TREJO - LA PUERTA 45 KM DE LMT</t>
  </si>
  <si>
    <t>OBISPO TREJO - LA PUERTA</t>
  </si>
  <si>
    <t>LÍNEA DE MEDIA TENSIÓN 33 KV - LAS PEÑAS (FUERZAS VIVAS)</t>
  </si>
  <si>
    <t>ARQUITECTURA 1</t>
  </si>
  <si>
    <t>ESCUELA UNESCO ANEXO Y JARDIN DE INFANTES DE CÓRDOBA CAPITAL</t>
  </si>
  <si>
    <t>ESCUELA PRIMARIA VICENTE LOPEZ Y PLANES (CAF) EN BALNEARIA - DPTO, SAN JUSTO</t>
  </si>
  <si>
    <t>ARQUITECTURA 3</t>
  </si>
  <si>
    <t>ESC. JOSE HERNANDEZ EN VILLA DEL PRADO - DPTO. SANTA MARÍA</t>
  </si>
  <si>
    <t>0047-000232/2025</t>
  </si>
  <si>
    <t>ESCUELA PRIMARIA A CREARSE EN EL ALGARROBO – ANISACATE - DPTO SANTA MARÍA</t>
  </si>
  <si>
    <t>ARQUITECTURA 6</t>
  </si>
  <si>
    <t>IPEM 144 MARIANO MORENO ANEXO VILLA LOS ALTOS - DPTO. COLÓN</t>
  </si>
  <si>
    <t>ESCUELA SUPERIOR DE FORMACIÓN PROFESIONAL EN LA BOLSA - DPTO. SANTA MARÍA</t>
  </si>
  <si>
    <t>ARQUITECTURA 9</t>
  </si>
  <si>
    <t>IPEM345 MAESTRO HUGO BARRERA ANEXO DE PUNTA DEL AGUA - DPTO. SANTA MARÍA</t>
  </si>
  <si>
    <t>0047-000198/2025</t>
  </si>
  <si>
    <t>JARDIN DE INFANTES JAPON DE BARRIO SAN RAFAEL - CÓRDOBA CAPITAL</t>
  </si>
  <si>
    <t>ESCUELA SECUNDARIA A CREAR EN BARRIO MULLER - CÓRDOBA CAPITAL</t>
  </si>
  <si>
    <t>ARQUITECTURA 14</t>
  </si>
  <si>
    <t>IPEM 345 MAESTRO HUGO BARRERA DE ALTA GRACIA - DPTO SANTA MARÍA</t>
  </si>
  <si>
    <t>0047-000235/2025</t>
  </si>
  <si>
    <t>ESCUELA PRIMARIA 25 DE MAYO A CREARSE EN DESPEÑADEROS - DPTO. SANTA MARÍA</t>
  </si>
  <si>
    <t>ESCUELA SECUNDARIA CON FORMACIÓN PROFESIONAL DE MONTECRISTO - DPTO. RÍO PRIMERO</t>
  </si>
  <si>
    <t>MONTECRISTO</t>
  </si>
  <si>
    <t>ARQUITECTURA 18</t>
  </si>
  <si>
    <t>ESCUELA DE SECUNDARIA CON FORMACIÓN PROFESIONAL DE COSQUÍN - DPTO. PUNILLA</t>
  </si>
  <si>
    <t>ESCUELA PRIMARIA SALSIPUEDES - DPTO. COLÓN</t>
  </si>
  <si>
    <t>0047-000250/2025</t>
  </si>
  <si>
    <t>REPARACION PREVENTIVA Y GENERAL DE LA INFRAESTRUCTURA DE LOS ESPACIOS PUBLICOS, MONUMENTOS Y PATRIMONIO PROVINCIAL</t>
  </si>
  <si>
    <t>ARQUITECTURA 22</t>
  </si>
  <si>
    <t>0047-000214/2025</t>
  </si>
  <si>
    <t>NUEVA SEDE DE LA REGION CENTRO EN SAN FRANCISCO</t>
  </si>
  <si>
    <t>ARQUITECTURA 24</t>
  </si>
  <si>
    <t>0916-000230/2025</t>
  </si>
  <si>
    <t>CENTRO DE REINTERPRETACIÓN DE LAS ISLAS MALVINAS</t>
  </si>
  <si>
    <t>NUEVA ELECTRICA 7</t>
  </si>
  <si>
    <t>LÍNEA DE MEDIA TENSIÓN 13,2 KV CONLARA LOS ROMEROS – TILQUICHO (FUERZAS VIVAS)</t>
  </si>
  <si>
    <t>LOS ROMEROS - TILQUICHO</t>
  </si>
  <si>
    <t>0047-000224/2025</t>
  </si>
  <si>
    <t>REACONDICIONAMIENTO INSTALACION ELÉCTRICA, CONTRA INCENDIOS Y ASCENSORES DE LA ESTACION TERMINAL DE OMNIBUS CORDOBA T1 - ETAPA 1 - CÓRDOBA CAPITAL</t>
  </si>
  <si>
    <t>ARQUITECTURA 28</t>
  </si>
  <si>
    <t>0916-001335/2024</t>
  </si>
  <si>
    <t>RESTAURACIÓN Y MANTENIMIENTO DE LA CATEDRAL NUESTRA SEÑORA DE ASUNCIÓN - ETAPA 7°</t>
  </si>
  <si>
    <t>ARQUITECTURA 29</t>
  </si>
  <si>
    <t>0047-000186/2025</t>
  </si>
  <si>
    <t>RESTAURACION IGLESIA PARROQUIAL VILLA SANTA ROSA</t>
  </si>
  <si>
    <t>NUEVO HOSPITAL EN VILLA CARLOS PAZ - DPTO. PUNILLA</t>
  </si>
  <si>
    <t>HOSPITALES</t>
  </si>
  <si>
    <t>NUEVO HOSPITAL - OLIVA - DPTO. TERCERO ARRIBA</t>
  </si>
  <si>
    <t>0378-164734/2020</t>
  </si>
  <si>
    <t>E.D.A.R. Y RED COLECTORA CLOACAL MAXIMA DE LA CUENCA MEDIA (COSQUÍN- SANTA MARÍA- BIALET MASSE. DEPTO PUNILLA)</t>
  </si>
  <si>
    <t>RED CLOACAL</t>
  </si>
  <si>
    <t>SUPERCEMENTO S.A.I.C. - BASAA S.A. - PUNILLA - U.T.</t>
  </si>
  <si>
    <t>0378-164343/2020</t>
  </si>
  <si>
    <t>SANEAMIENTO DE LA LOCALIDAD DE TANTI - PROYECTO DESAGÜES CLOACALES PARA LA CUENCA MEDIA OESTE (DPTO. PUNILLA)</t>
  </si>
  <si>
    <t>MICHELOTTI E HIJOS S.A.</t>
  </si>
  <si>
    <t>0733-002403/2021</t>
  </si>
  <si>
    <t>ACUEDUCTO TRASLASIERRAS - PRIMERA ETAPA - (DPTO. SAN JAVIER)</t>
  </si>
  <si>
    <t>CONINSA S.A.</t>
  </si>
  <si>
    <t>0674-004412/2017</t>
  </si>
  <si>
    <t>SANEAMIENTO SIERRAS CHICAS - SISTEMA DE DESAGÜES CLOACALES DE RÍO CEBALLOS, UNQUILLO, MENDIOLAZA, VILLA ALLENDE Y SALDAN - PRIMERA ETAPA</t>
  </si>
  <si>
    <t>SUPERCEMENTO S.A.I.C.</t>
  </si>
  <si>
    <t>0674-004771/2018</t>
  </si>
  <si>
    <t>SANEAMIENTO LOCALIDAD COLONIA CAROYA - PLANTA DE TRATAMIENTO DE EFLUENTES CLOACALES Y OBRAS ANEXAS</t>
  </si>
  <si>
    <t>0378-162662/2020</t>
  </si>
  <si>
    <t>RED COLECTORA DE EFLUENTES CLOACALES DEL BARRIO CENTRO / RED COLECTORA DE EFLUENTES CLOACALES DE LOS BARRIOS STOECKLIN Y LOS PARAÍSOS - LA CALERA</t>
  </si>
  <si>
    <t>RED CLOACAL LA CALERA - RIVA S.A.I.I.C.F.A. - TECMA S.A. - U.T.</t>
  </si>
  <si>
    <t>0729-004622/2021</t>
  </si>
  <si>
    <t>SANEAMIENTO CLOACAL LUCA</t>
  </si>
  <si>
    <t>ENERGIA</t>
  </si>
  <si>
    <t>IVECOR S.A.</t>
  </si>
  <si>
    <t>0729-004615/2021</t>
  </si>
  <si>
    <t>FINALIZACION OBRA BASICA DE SANEAMIENTO CLOACAL - HERNANDO</t>
  </si>
  <si>
    <t>0729-004625/2021</t>
  </si>
  <si>
    <t>REDES COLECTORAS CLOACALES - LOCALIDADES DE MINA CLAVERO Y CURA BROCHERO</t>
  </si>
  <si>
    <t>SUVERMAX S.A.</t>
  </si>
  <si>
    <t>0729-004617/2021</t>
  </si>
  <si>
    <t>SANEAMIENTO CLOACAL PANAHOLMA</t>
  </si>
  <si>
    <t>GRUPPI E HIJOS S.A.</t>
  </si>
  <si>
    <t>0632-000413/2019</t>
  </si>
  <si>
    <t>ABASTECIMIENTO DE GAS NATURAL ANISACATE, LA SERRANITA, LA RANCHERITA, LOS AROMOS, LOS ESPINILLOS Y VILLA CIUDAD PARQUE</t>
  </si>
  <si>
    <t>ICEO S.A.</t>
  </si>
  <si>
    <t>0632-005207/2021</t>
  </si>
  <si>
    <t>ABASTECIMIENTO DE GAS NATURAL A COLONIA BREMEN Y COLONIA BISMARCK</t>
  </si>
  <si>
    <t>ACLADE S.R.L.</t>
  </si>
  <si>
    <t>0733-002796/2021</t>
  </si>
  <si>
    <t>REFUNCIONALIZACIÓN Y PUESTA EN VALOR RÍO SUQUÍA: TRAMO ISLA DE LOS PATOS -PUENTE SAGRADA FAMILIA - ILUMINACIÓN Y CORREDOR SUSTENTABLE - CIUDAD DE CÓRDOBA - (DPTO CAPITAL)</t>
  </si>
  <si>
    <t>OBRAS COMPLEMENTARIAS</t>
  </si>
  <si>
    <t>0733-003081/2021</t>
  </si>
  <si>
    <t>REFUNCIONALIZACIÓN Y PUESTA EN VALOR RÍO SUQUÍA:: PASEO DEL SUQUÍA ETAPA I</t>
  </si>
  <si>
    <t>PASEO DEL SUQUIA TECMA S.A. RIVA S.A.I.I.C.F.A. - U.T.</t>
  </si>
  <si>
    <t>0733-003277/2021</t>
  </si>
  <si>
    <t>PROVISIÓN DE AGUA POTABLE PARA AMBOY Y VILLA AMANCAY - DPTO. CALAMUCHITA</t>
  </si>
  <si>
    <t>MARINELLI S.A.</t>
  </si>
  <si>
    <t>0733-003336/2021</t>
  </si>
  <si>
    <t>ACUEDUCTO TRASLASIERRA - SEGUNDA ETAPA</t>
  </si>
  <si>
    <t>ESTRUCTURAS-MARINELLI-PASCHINI CONSORCIO DE COOPERACION</t>
  </si>
  <si>
    <t>0674-000054/2022</t>
  </si>
  <si>
    <t>OBRAS BÁSICAS DE SANEAMIENTO CLOACAL PARA LAS LOCALIDADES DE CUESTA BLANCA, VILLA ICHO CRUZ, TALA HUASI, MAYU SUMAJ, SAN ANTONIO DE ARREDONDO Y SECTOR SUR DE VILLA CARLOS PAZ - DPTO. PUNILLA</t>
  </si>
  <si>
    <t>0435-071493/2021</t>
  </si>
  <si>
    <t>ACUEDUCTO GANADERO LA PROVIDENCIA, LA RAMADA Y SANTA ANA - DEPARTAMENTO PRESIDENTE ROQUE SÁENZ PEÑA - PROVINCIA DE CÓRDOBA</t>
  </si>
  <si>
    <t>COLONIA LA PROVIDENCIA</t>
  </si>
  <si>
    <t>0674-000053/2022</t>
  </si>
  <si>
    <t>AMPLIACIÓN DE REDES COLECTORAS CLOACALES SECTORES BARRIO ALBERDI Y BANDA NORTE - BARRIOS: JARDÍN NORTE, PADRE CARLOS MUGICA, 64 VIVIENDAS Y PARQUE ALIHUEN - LOCALIDAD DE RÍO CUARTO</t>
  </si>
  <si>
    <t>TECNAC S.R.L.</t>
  </si>
  <si>
    <t>0632-005637/2022</t>
  </si>
  <si>
    <t>CONTRATACION DE OBRA PUBLICA: "PROVISION DE GAS VIRTUAL A LA LOCALIDAD DE HUANCHILLA"</t>
  </si>
  <si>
    <t>HUGO DEL CARMEN OJEDA S A</t>
  </si>
  <si>
    <t>0632-005636/2022</t>
  </si>
  <si>
    <t>CONTRATACION DE OBRA PUBLICA: "PROVISION DE GAS VIRTUAL A LA LOCALIDAD DE CHAJÁN"</t>
  </si>
  <si>
    <t>0378-162848/2020</t>
  </si>
  <si>
    <t>SANEAMIENTO DE LA LOCALIDAD DE SANTA ROSA DE CALAMUCHITA</t>
  </si>
  <si>
    <t>0632-006948/2022</t>
  </si>
  <si>
    <t>ZONA 3: ABASTECIMIENTO DE GAS NATURAL A PARQUE INDUSTRIAL DE LA LOCALIDAD DE MENDIOLAZA</t>
  </si>
  <si>
    <t>0632-006946/2022</t>
  </si>
  <si>
    <t>ZONA 1: ABASTECIMIENTO DE GAS NATURAL A PARQUE INDUSTRIAL DE LA LOCALIDAD DE FREYRE</t>
  </si>
  <si>
    <t>0632-006947/2022</t>
  </si>
  <si>
    <t>ZONA 2: ABASTECIMIENTO DE GAS NATURAL A PARQUE INDUSTRIAL DE LA LOCALIDAD DE MATORRALES</t>
  </si>
  <si>
    <t>0632-006949/2022</t>
  </si>
  <si>
    <t>ZONA 4: ABASTECIMIENTO DE GAS NATURAL A PARQUE INDUSTRIAL DE LA LOCALIDAD DE TOLEDO</t>
  </si>
  <si>
    <t>0632-006950/2022</t>
  </si>
  <si>
    <t>ZONA 5: ABASTECIMIENTO DE GAS NATURAL A PARQUE INDUSTRIAL LOCALIDAD DE VILLA DE SOTO</t>
  </si>
  <si>
    <t>0632-000193/2019</t>
  </si>
  <si>
    <t>ABASTECIMIENTO DE GAS NATURAL A LAS LOCALIDADES DE RINCÓN Y CAPILLA DEL CARMEN</t>
  </si>
  <si>
    <t>0632-000415/2019</t>
  </si>
  <si>
    <t>ABASTECIMIENTO DE GAS NATURAL A CHURQUI CAÑADA, COLONIA VICENTE AGÜERO Y OBRAS COMPLEMENTARIAS GRAN CÓRDOBA</t>
  </si>
  <si>
    <t>0632-006588/2022</t>
  </si>
  <si>
    <t>ABASTECIMIENTO DE GAS NATURAL AL PARQUE INDUSTRIAL DE LA LOCALIDAD DE MARCOS JUÁREZ</t>
  </si>
  <si>
    <t>MV OBRAS Y SERVICIOS S.R.L.</t>
  </si>
  <si>
    <t>0733-003907/2022</t>
  </si>
  <si>
    <t>SISTEMATIZACIÓN Y ORDENAMIENTO HÍDRICO EN CUENCAS DE CENTRO DE LA PROVINCIA - SISTEMATIZACIÓN Y ORDENAMIENTO DE LA CUENCA DE APORTE RURAL SUR DE CÓRDOBA - CALLE REVIGLIONO</t>
  </si>
  <si>
    <t>SISTEMATIZACION DE CUENCAS</t>
  </si>
  <si>
    <t>0733-003908/2022</t>
  </si>
  <si>
    <t>DESAGÜES PLUVIALES SECTOR NOROESTE CONDUCTO CALLE VIRACOCHA. TRAMO: AV. R. ROJAS - RÍO SUQUÍA - CIUDAD DE CÓRDOBA DPTO. CAPITAL)</t>
  </si>
  <si>
    <t>DESAGÜES PLUVIALES</t>
  </si>
  <si>
    <t>0674-000068/2022</t>
  </si>
  <si>
    <t>REFUNCIONALIZACIÓN DEL SISTEMA DE TRATAMIENTO DE AGUAS RESIDUALES DEL COMPLEJO CARCELARIO N°1 REVERENDO FRANCISCO LUCHESSE</t>
  </si>
  <si>
    <t>MARTINEZ LUMELLO CONSTRUCCIONES S.A.</t>
  </si>
  <si>
    <t>0729-004620/2021</t>
  </si>
  <si>
    <t>SANEAMIENTO CLOACAL MIRAMAR DE ANSENUZA</t>
  </si>
  <si>
    <t>A.I.V.E.L. S.A.</t>
  </si>
  <si>
    <t>0729-004630/2021</t>
  </si>
  <si>
    <t>REDES COLECTORAS CLOACALES DOMICILIARIAS - ALTA GRACIA</t>
  </si>
  <si>
    <t>CAPELLO S.A.</t>
  </si>
  <si>
    <t>0729-004633/2021</t>
  </si>
  <si>
    <t>REDES COLECTORAS CLOACALES DOMICILIARIAS ALTO ALEGRE</t>
  </si>
  <si>
    <t>0733-004244/2022</t>
  </si>
  <si>
    <t>NEXOS CLOACALES CIUDAD DE CÓRDOBA PARA BARRIOS CIUDAD - URBANIZACIÓN DE BARRIOS POPULARES - DPTO. CAPITAL - ETAPA 2</t>
  </si>
  <si>
    <t>0729-004625/2021/A14</t>
  </si>
  <si>
    <t>AMPLIACIÓN DE OBRA N° 1: REDES COLECTORAS CLOACALES - LOCALIDADES DE MINA CLAVERO Y CURA BROCHERO</t>
  </si>
  <si>
    <t>0729-004617/2021/A8</t>
  </si>
  <si>
    <t>AMPLIACIÓN DE OBRA N°1: SANEAMIENTO CLOACAL PANAHOLMA</t>
  </si>
  <si>
    <t>0729-004622/2021/A16</t>
  </si>
  <si>
    <t>AMPLIACIÓN DE OBRA N° 1: SANEAMIENTO CLOACAL LUCA</t>
  </si>
  <si>
    <t>0733-004129/2022</t>
  </si>
  <si>
    <t>COLECTOR CLOACAL NORESTE BARRIO CIUDAD DE LOS NIÑOS - CIUDAD DE CÓRDOBA - PROVINCIA DE CÓRDOBA</t>
  </si>
  <si>
    <t>0733-004265/2022</t>
  </si>
  <si>
    <t>OBRAS DE READECUACIÓN Y LIMPIEZA DE CANALES - ZONA I - AÑO 2023</t>
  </si>
  <si>
    <t>LOS MOLLES - CONSORCIO DE COOPERACION</t>
  </si>
  <si>
    <t>0733-004267/2022</t>
  </si>
  <si>
    <t>OBRAS DE READECUACIÓN Y MANTENIMIENTO CANALES DE LA PROVINCIA DE CÓRDOBA - ZONA III - AÑO 2023</t>
  </si>
  <si>
    <t>0632-007829/2023</t>
  </si>
  <si>
    <t>CONSTRUCCIÓN DE SUBESTACIONES TRANSFORMADORAS AÉREAS EN LOCALIDADES VARIAS DE LA PROVINCIA DE CÓRDOBA</t>
  </si>
  <si>
    <t>DISTRIBUCION</t>
  </si>
  <si>
    <t>CONECTAR S.R.L.</t>
  </si>
  <si>
    <t>0729-004619/2021</t>
  </si>
  <si>
    <t>SANEAMIENTO CLOACAL SAN AGUSTIN</t>
  </si>
  <si>
    <t>SUELONIVEL S.R.L.</t>
  </si>
  <si>
    <t>0733-004268/2022</t>
  </si>
  <si>
    <t>OBRAS DE READECUACIÓN Y MANTENIMIENTO CANALES DE LA PROVINCIA DE CÓRDOBA - ZONA IV - AÑO 2023</t>
  </si>
  <si>
    <t>PORAMBA - CONSORCIO DE COOPERACION</t>
  </si>
  <si>
    <t>0729-004628/2021</t>
  </si>
  <si>
    <t>REDES COLECTORAS CLOACALES DOMICILIARIAS - PILAR</t>
  </si>
  <si>
    <t>INST'ALL S.R.L.</t>
  </si>
  <si>
    <t>0733-004266/2022</t>
  </si>
  <si>
    <t>OBRAS DE READECUACIÓN Y MANTENIMIENTO CANALES DE LA PROVINCIA DE CÓRDOBA ¿ ZONA II ¿ AÑO 2023</t>
  </si>
  <si>
    <t>CONSORCIO DE COOPERACION SANTA ROSA</t>
  </si>
  <si>
    <t>0733-004264/2022</t>
  </si>
  <si>
    <t>PROVISIÓN DE AGUA PARA AVIONES HIDRANTES AERÓDROMO LA CUMBRE (DEPARTAMENTO PUNILLA</t>
  </si>
  <si>
    <t>UCONS S.R.L.</t>
  </si>
  <si>
    <t>0729-004626/2021</t>
  </si>
  <si>
    <t>REDES COLECTORAS CLOACALES DOMICILIARIAS - LOCALIDAD DE TRANSITO</t>
  </si>
  <si>
    <t>0729-007611/2022</t>
  </si>
  <si>
    <t>REDES CLOACALES PORTEÑA</t>
  </si>
  <si>
    <t>SANTA CRUZ DIEGO ADRIAN</t>
  </si>
  <si>
    <t>0729-004621/2021</t>
  </si>
  <si>
    <t>SANEAMIENTO CLOACAL TRÁNSITO</t>
  </si>
  <si>
    <t>0729-007635/2022</t>
  </si>
  <si>
    <t>SANEAMIENTO CLOACAL LOCALIDAD DE LA PLAYOSA</t>
  </si>
  <si>
    <t>0729-004624/2021</t>
  </si>
  <si>
    <t>REDES COLECTORAS CLOACALES DOMICILIARIAS - LOCALIDAD DE ONCATIVO</t>
  </si>
  <si>
    <t>0729-007646/2022</t>
  </si>
  <si>
    <t>0729-008274/2023</t>
  </si>
  <si>
    <t>PROVISION AGUA POTABLE MANFREDI</t>
  </si>
  <si>
    <t>0729-008273/2023</t>
  </si>
  <si>
    <t>PROVISION DE AGUA POTABLE EN LA LOCALIDAD DE ACHIRAS</t>
  </si>
  <si>
    <t>0660-008295/2023</t>
  </si>
  <si>
    <t>REPARACIÓN DE CUBIERTAS - SECTOR VESTUARIOS - DIRECCIÓN DE EDUCACIÓN FÍSICA</t>
  </si>
  <si>
    <t>LANFRANCONI GIORDANO S.R.L.</t>
  </si>
  <si>
    <t>0886-007190/2022</t>
  </si>
  <si>
    <t>ACUEDUCTO INTERPROVINCIAL SANTA FE - CÓRDOBA ETAPA I: CORONDA - SAN FRANCISCO FASE 1 - BLOQUE A</t>
  </si>
  <si>
    <t>GEZHOUBA - ECOSUR BAHIA S.A. ACUEDUCTO SANTA FE - CORDOBA UT</t>
  </si>
  <si>
    <t>0729-008275/2023/A8</t>
  </si>
  <si>
    <t>SANEAMIENTO EN LA LOCALIDAD DE TICINO EXTENSIÓN DE CAÑERÍAS DE IMPULSIÓN, NUEVA PLANTA DEPURADORA DE LÍQUIDOS CLOACALES Y OBRA DE DESCARGA</t>
  </si>
  <si>
    <t>0660-008483/2023</t>
  </si>
  <si>
    <t>ESCUELA DE GRADUADOS - REACONDICIONAMIENTO DE CUBIERTAS - FACULTAD DE CIENCIAS ECONÓMICAS</t>
  </si>
  <si>
    <t>TECNOMAS S.R.L.</t>
  </si>
  <si>
    <t>0729-007677/2022</t>
  </si>
  <si>
    <t>REACONDICIONAMIENTO Y AMPLIACIÓN DE LA PLANTA DE TRATAMIENTO DE LÍQUIDOS CLOACALES LABOULAYE</t>
  </si>
  <si>
    <t>GIECO S.A.</t>
  </si>
  <si>
    <t>0733-005698/2023</t>
  </si>
  <si>
    <t>PROVISIÓN DE AGUA PARA AVIONES HIDRANTES -AERÓDROMO RÍO DE LOS SAUCES DPTO. CALAMUCHITA</t>
  </si>
  <si>
    <t>0733-005354/2023</t>
  </si>
  <si>
    <t>NEXOS CLOACALES CIUDAD DE CÓRDOBA PARA BARRIOS CIUDAD ¿ URBANIZACIÓN DE BARRIOS POPULARES ¿ COLECTOR CLOACAL SURESTE ETAPA 2B ¿ DPTO. CAPITAL</t>
  </si>
  <si>
    <t>0733-005727/2023</t>
  </si>
  <si>
    <t>OBRA MANTENIMIENTO CAUCE RÍO SUQUIA TRAMO I (ENTRE CIRCUNVALACIÓN ESTE Y PUENTE SANTA FE)</t>
  </si>
  <si>
    <t>0733-005744/2023</t>
  </si>
  <si>
    <t>READECUACIÓN Y LIMPIEZA DE CANALES DEL SISTEMA DE RIEGO CAPITAL ¿ ZONA SUR</t>
  </si>
  <si>
    <t>0733-005746/2023</t>
  </si>
  <si>
    <t>READECUACIÓN Y LIMPIEZA DE CANALES DEL SISTEMA DE RIEGO CAPITAL - ZONA NORTE</t>
  </si>
  <si>
    <t>M E G G S.A.</t>
  </si>
  <si>
    <t>0733-005732/2023</t>
  </si>
  <si>
    <t>OBRA MANTENIMIENTO CAUCE RÍO SUQUÍA TRAMO II (ENTRE PUENTE SANTA FE Y PUENTE 15)</t>
  </si>
  <si>
    <t>0733-005733/2023</t>
  </si>
  <si>
    <t>OBRA MANTENIMIENTO CAUCE RÍO SUQUÍA ¿ TRAMO III (ENTRE PUENTE 15 Y PUENTE WARCALDE ¿ EGUÍA ZANÓN</t>
  </si>
  <si>
    <t>0733-005883/2023</t>
  </si>
  <si>
    <t>NUEVO SISTEMA DE PROVISIÓN DE AGUA POTABLE - VILLA SAN ISIDRO -DPTO. SANTA MARÍA</t>
  </si>
  <si>
    <t>0733-005798/2023</t>
  </si>
  <si>
    <t>OBRAS DE READECUACIÓN Y MANTENIMIENTO CANALES DE LA PROVINCIA DE CÓRDOBA- ZONA II-AÑO 2024</t>
  </si>
  <si>
    <t>0733-005723/2023</t>
  </si>
  <si>
    <t>OBRAS DE READECUACIÓN Y MANTENIMIENTO CANALES DE LA PROVINCIA DE CÓRDOBA- ZONA III-AÑO 2024</t>
  </si>
  <si>
    <t>0733-005726/2023</t>
  </si>
  <si>
    <t>OBRAS DE READECUACIÓN Y MANTENIMIENTO CANALES DE LA PROVINCIA DE CÓRDOBA- ZONA IV-AÑO 2024</t>
  </si>
  <si>
    <t>0733-005716/2023</t>
  </si>
  <si>
    <t>OBRAS DE READECUACIÓN Y MANTENIMIENTO CANALES DE LA PROVINCIA DE CÓRDOBA- ZONA I-AÑO 2024</t>
  </si>
  <si>
    <t>0047-001763/2023</t>
  </si>
  <si>
    <t>CONSTRUCCIÓN EDIFICIO PARA EL NUEVO MÓDULO M3 EN EL COMPLEJO CARCELARIO N° 1 RVDO. PADRE LUCHESSE - LOCALIDAD BOUWER - DPTO. SANTA MARÍA</t>
  </si>
  <si>
    <t>ASTORI CONSTRUCCIONES S.A.</t>
  </si>
  <si>
    <t>0733-005587/2023</t>
  </si>
  <si>
    <t>MEJORAMIENTO Y LIMPIEZA CANALES DE RIEGO ZONA NOROESTE CORDOBES - AÑO 2024</t>
  </si>
  <si>
    <t>CAMERANESI OSCAR RENE</t>
  </si>
  <si>
    <t>0047-001573/2023</t>
  </si>
  <si>
    <t>CONSTRUCCIÓN DE NUEVO EDIFICIO HOSPITAL REGIONAL JOSÉ CEBALLOS- LOC.: BELL VILLE . DPTO.: UNIÓN</t>
  </si>
  <si>
    <t>AMG OBRAS CIVILES S.A.</t>
  </si>
  <si>
    <t>0632-007829/2023/R10</t>
  </si>
  <si>
    <t>ADECUACION DE OBRA N° 1 - OBRA: "CONSTRUCCIÓN DE SUBESTACIONES TRANSFORMADORAS AÉREAS EN LOCALIDADES VARIAS DE LA PROVINCIA DE CÓRDOBA"</t>
  </si>
  <si>
    <t>0416-000510/2024</t>
  </si>
  <si>
    <t>CONSTRUCCIÓN E INSTALACIONES EDILICIAS, OPERACIÓN Y MANTENIMIENTO DEL ESTABLECIMIENTO DEPURADOR DE AGUAS RESIDUALES (E.D.A.R. BAJO GRANDE)</t>
  </si>
  <si>
    <t>0733-006839/2024</t>
  </si>
  <si>
    <t>OBRA DE CAPTACIÓN, IMPULSIÓN Y RED PRINCIPAL DE DISTRIBUCIÓN DE AGUA POTABLE ¿ BARRIO SAN JOSÉ OBRERO ¿ COSQUÍN (DPTO. PUNILLA)</t>
  </si>
  <si>
    <t>0733-007431/2024</t>
  </si>
  <si>
    <t>RED DE DISTRIBUCION DE AGUA POTABLE DE BARRIO VILLA LAS SELVAS - SALSIPUEDES</t>
  </si>
  <si>
    <t>0733-007437/2024</t>
  </si>
  <si>
    <t>REFUNCIONALIZACION DEL SISTEMA DE PROVISION DE AGUA POTABLE DE LA LOCALIDAD DE COLONIA TIROLESA.</t>
  </si>
  <si>
    <t>0733-007402/2024</t>
  </si>
  <si>
    <t>OBRA BASICA DE SANEAMIENTO CLOACAL DE LA LOCALIDAD DE ALMAFUERTE - PRIMERA ETAPA.</t>
  </si>
  <si>
    <t>0045-026296/2024</t>
  </si>
  <si>
    <t>SEGURIDAD VIAL REGION B - ZONA 2 Y 3</t>
  </si>
  <si>
    <t>VIALES</t>
  </si>
  <si>
    <t>VAWA S.A.C.I.C.I.</t>
  </si>
  <si>
    <t>0733-007523/2024</t>
  </si>
  <si>
    <t>NUEVA PERFORACIÓN PARA PROVISION DE AGUA POTABLE. LOCALIDAD DE TOLEDO. DEPARTAMENTO SANTA MARIA</t>
  </si>
  <si>
    <t>0045-026297/2024</t>
  </si>
  <si>
    <t>SEGURIDAD VIAL - REGIÓN C - ZONAS 4 Y 6</t>
  </si>
  <si>
    <t>SEGURIDAD VIAL</t>
  </si>
  <si>
    <t>0045-026295/2024</t>
  </si>
  <si>
    <t>SEGURIDAD VIAL - REGIÓN "A"- ZONAS 1 Y 5</t>
  </si>
  <si>
    <t>0733-007884/2024</t>
  </si>
  <si>
    <t>OBRAS DE READECUACION Y MANTENIMIENTO CANALES DE LA PROVINCIA DE CORDOBA - ZONA I - AÑO 2025</t>
  </si>
  <si>
    <t>0733-007917/2024</t>
  </si>
  <si>
    <t>READECUACIÓN CANAL SATURNINO MARÍA LASPIUR - COLONIA PROSPERIDAD - DEPARTAMENTO SAN JUSTO</t>
  </si>
  <si>
    <t>0733-007957/2024</t>
  </si>
  <si>
    <t>SISTEMATIZACIÓN Y READECUACIÓN DE LA CAPACIDAD DEL RÍO JESÚS MARÍA, TRAMO CAMINO NINTE - LOC. JESÚS MARÍA - DEPTO. COLÓN</t>
  </si>
  <si>
    <t>0733-007908/2024</t>
  </si>
  <si>
    <t>READECUACIÓN Y LIMPIEZA DE CANALES DEL SISTEMA DE RIEGO CAPITAL - ZONA SUR 2025</t>
  </si>
  <si>
    <t>0733-007907/2024</t>
  </si>
  <si>
    <t>READECUACIÓN Y LIMPIEZA DE CANALES DEL SISTEMA DE RIEGO CAPITAL - ZONA NORTE AÑO 2025</t>
  </si>
  <si>
    <t>0733-007893/2024</t>
  </si>
  <si>
    <t>READECUACION CANAL A° EL MANANTIAL - DEPARTAMENTOS GENERAL SAN MARTIN - UNION</t>
  </si>
  <si>
    <t>0733-007904/2024</t>
  </si>
  <si>
    <t>OBRA: MANTENIMIENTO CAUCE RÍO SUQUIA - TRAMO I (ENTRE CIRCUNVALACIÓN ESTE Y PUENTE SANTA FE) ¿ (DEPTO. CAPITAL) 2025</t>
  </si>
  <si>
    <t>0733-007890/2024</t>
  </si>
  <si>
    <t>OBRAS DE READECUACION Y MANTENIMIENTO CANALES DE LA PROVINCIA DE CORDOBA - ZONA IV - AÑO 2025</t>
  </si>
  <si>
    <t>0733-007992/2024</t>
  </si>
  <si>
    <t>REVESTIMIENTO CANAL SECUNDARIO 8 MD Y MI SISTEMA DE RIEGO CRUZ DEL EJE ZONA MEDIA NARANJA ¿ SEGUNDO TRAMO</t>
  </si>
  <si>
    <t>AGUA</t>
  </si>
  <si>
    <t>0733-008028/2024</t>
  </si>
  <si>
    <t>SISTEMATIZACION DE LA CUENCA SUR DE ONCATIVO AL ARROYO LAS JUNTURAS</t>
  </si>
  <si>
    <t>0733-008027/2024</t>
  </si>
  <si>
    <t>PROTECCIÓN MARGENES DEL RÍO CTALAMOCHITA EN TRAMO URBANO LOCALIDAD DE BELL VILLE - TRAMO CALLE EDISON HASTA CALLE SALTA.</t>
  </si>
  <si>
    <t>0733-007885/2024</t>
  </si>
  <si>
    <t>OBRAS DE READECUACION Y MANTENIMIENTO CANALES DE LA PROVINCIA DE CÓRDOBA ZONA II - AÑO 2025</t>
  </si>
  <si>
    <t>0733-008086/2024</t>
  </si>
  <si>
    <t>MANTENIMIENTO Y LIMPIEZA DE ESPEJOS DE AGUA, RESTITUCION DE CAPACIDAD DE RIOS Y ARROYOS DE AFLUENTES A LOS DIQUES Y EMBALSES EN PCIA. DE CORDOBA</t>
  </si>
  <si>
    <t>TRANS AMERICA S.R.L.</t>
  </si>
  <si>
    <t>PICHANAS</t>
  </si>
  <si>
    <t>0733-008030/2024</t>
  </si>
  <si>
    <t>READECUACION ARROYO CALCHIN CANAL BAJO HONDO HASTA RUTA NACIONAL NRO 19.</t>
  </si>
  <si>
    <t>CANALES</t>
  </si>
  <si>
    <t>0733-007886/2024</t>
  </si>
  <si>
    <t>OBRAS DE READECUACION Y MANTENIMIENTO CANALES DE LA PROVINCIA DE CORDOBA - ZONA III - AÑO 2025</t>
  </si>
  <si>
    <t>0733-007906/2024</t>
  </si>
  <si>
    <t>MANTENIMIENTO CAUCE RÍO SUQUÍA ¿ TRAMO III (ENTRE PUENTE 15 Y PUENTE WARCALDE ¿ EGUÍA ZANÓN) ¿ (DPTO. CAPITAL) 2025</t>
  </si>
  <si>
    <t>0733-007754/2024</t>
  </si>
  <si>
    <t>MEJORA DEL SISTEMA DE PROVISIÓN DE AGUA POTABLE DE COLONIA VICENTE AGÜERO - PRIMERA ETAPA</t>
  </si>
  <si>
    <t>ALMAQ S.R.L.</t>
  </si>
  <si>
    <t>0729-004620/2021/A27</t>
  </si>
  <si>
    <t>MODIFICACIÓN DE OBRA Nº2 (EYD) - OBRA: SANEAMIENTO CLOACAL MIRAMAR DE ANSENUZA</t>
  </si>
  <si>
    <t>0733-007905/2024</t>
  </si>
  <si>
    <t>MANTENIMIENTO CAUCE RÍO SUQUÍA ¿ TRAMO II (ENTRE PUENTE SANTA FE Y PUENTE 15) ¿ (DPTO. CAPITAL) AÑO 2025</t>
  </si>
  <si>
    <t>0733-008044/2024</t>
  </si>
  <si>
    <t>MEJORAMIENTO Y LIMPIEZA DE CANALES DE RIEGO ZONA NOROESTE CORDOBÉS - AÑO 2025</t>
  </si>
  <si>
    <t>0729-004622/2021/A44</t>
  </si>
  <si>
    <t>MODIFICACIÓN DE OBRA N°2 - SANEAMIENTO CLOACAL LUCA</t>
  </si>
  <si>
    <t>0045-026414/2024</t>
  </si>
  <si>
    <t>TRABAJOS DE EMERGENCIA EN MONTAÑA SOBRE RP. N° 28 - TR.: TUNEL N° 1 (TANINGA) - ROTONDA DE LOS TUNELES - DPTO. POCHO.-</t>
  </si>
  <si>
    <t>0733-008068/2024</t>
  </si>
  <si>
    <t>READECUACIÓN DE LA CAPACIDAD DE EVACUACIÓN DEL CANAL MAYOR DE MORTEROS A LA LAGUNA MAR CHIQUITA - DEPARTAMENTO SAN JUSTO</t>
  </si>
  <si>
    <t>0733-007461/2024</t>
  </si>
  <si>
    <t>CANAL DE SANEAMIENTO SISTEMATIZACIÓN DE CUENCA OESTE Y SUR DE OLIVA DEPARTAMENTO TERCERO ARRIBA</t>
  </si>
  <si>
    <t>0733-008037/2024</t>
  </si>
  <si>
    <t>ADECUACION CANAL ESTE MANFREDI - CANAL NORTE IMPIRA</t>
  </si>
  <si>
    <t>CONSORCIO DE COOPERACION UCONS-EL HORMIGON</t>
  </si>
  <si>
    <t>0733-008130/2024</t>
  </si>
  <si>
    <t>OBRA BÁSICA DE SANEAMIENTO EN LA LOCALIDAD DE MELO</t>
  </si>
  <si>
    <t>OBRA BASICA DE SANEAMIENTO - PERILAGO DIQUE CRUZ DEL EJE (PRIMERA ETAPA - SECTOR NORTE)</t>
  </si>
  <si>
    <t>0733-008278/2024</t>
  </si>
  <si>
    <t>READECUACIÓN DESAGÜE HOSPITAL MISERICORDIA-VILLA EL CHAPARRAL - TRAMO AV. VÉLEZ SARSFIELD - A LA CAÑADA</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</si>
</sst>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dd/mm/yyyy"/>
    <numFmt numFmtId="165" formatCode="d/m/yyyy"/>
    <numFmt numFmtId="166" formatCode="[$USD]#,##0"/>
    <numFmt numFmtId="167" formatCode="&quot;$&quot;#,##0.00"/>
    <numFmt numFmtId="168" formatCode="&quot;USD &quot;#,##0.00"/>
    <numFmt numFmtId="169" formatCode="[$USD]#,##0.00"/>
    <numFmt numFmtId="170" formatCode="[$USD ]#,##0.00"/>
    <numFmt numFmtId="171" formatCode="d/MM/yyyy"/>
    <numFmt numFmtId="172" formatCode="[$ $]#,##0.00"/>
    <numFmt numFmtId="173" formatCode="&quot;$&quot;#,##0"/>
    <numFmt numFmtId="174" formatCode="[$ $]#,##0"/>
    <numFmt numFmtId="175" formatCode="yyyy-m"/>
    <numFmt numFmtId="176" formatCode="d/M/yyyy"/>
  </numFmts>
  <fonts count="35">
    <font>
      <sz val="10.0"/>
      <color rgb="FF000000"/>
      <name val="Arial"/>
      <scheme val="minor"/>
    </font>
    <font>
      <sz val="11.0"/>
      <color rgb="FFFFFFFF"/>
      <name val="Arial"/>
    </font>
    <font>
      <b/>
      <sz val="11.0"/>
      <color rgb="FFFFFFFF"/>
      <name val="Arial"/>
    </font>
    <font>
      <sz val="10.0"/>
      <color rgb="FFFFFFFF"/>
      <name val="Arial"/>
    </font>
    <font>
      <color theme="1"/>
      <name val="Arial"/>
      <scheme val="minor"/>
    </font>
    <font>
      <b/>
      <color rgb="FFFFFFFF"/>
      <name val="Arial"/>
    </font>
    <font>
      <sz val="10.0"/>
      <color theme="1"/>
      <name val="Arial"/>
    </font>
    <font>
      <color theme="1"/>
      <name val="Arial"/>
    </font>
    <font>
      <b/>
      <color theme="1"/>
      <name val="Arial"/>
    </font>
    <font>
      <b/>
      <color theme="1"/>
      <name val="Arial"/>
      <scheme val="minor"/>
    </font>
    <font>
      <sz val="10.0"/>
      <color rgb="FF000000"/>
      <name val="Arial"/>
    </font>
    <font>
      <sz val="12.0"/>
      <color rgb="FF000000"/>
      <name val="&quot;Aptos Narrow&quot;"/>
    </font>
    <font>
      <color rgb="FF000000"/>
      <name val="Arial"/>
    </font>
    <font>
      <i/>
      <sz val="10.0"/>
      <color rgb="FF000000"/>
      <name val="Arial"/>
    </font>
    <font>
      <sz val="11.0"/>
      <color theme="1"/>
      <name val="Arial"/>
    </font>
    <font>
      <i/>
      <sz val="11.0"/>
      <color rgb="FF000000"/>
      <name val="Arial"/>
    </font>
    <font>
      <sz val="12.0"/>
      <color rgb="FF000000"/>
      <name val="Arial"/>
    </font>
    <font>
      <sz val="11.0"/>
      <color rgb="FF000000"/>
      <name val="Calibri"/>
    </font>
    <font>
      <color rgb="FF000000"/>
      <name val="&quot;Calibri Light&quot;"/>
    </font>
    <font>
      <sz val="12.0"/>
      <color theme="1"/>
      <name val="Arial"/>
    </font>
    <font>
      <sz val="10.0"/>
      <color theme="1"/>
      <name val="Times New Roman"/>
    </font>
    <font>
      <sz val="9.0"/>
      <color theme="1"/>
      <name val="Arial"/>
    </font>
    <font>
      <b/>
      <i/>
      <sz val="10.0"/>
      <color rgb="FFFF0000"/>
      <name val="Arial"/>
    </font>
    <font>
      <b/>
      <sz val="11.0"/>
      <color theme="1"/>
      <name val="Arial"/>
    </font>
    <font>
      <b/>
      <sz val="11.0"/>
      <color rgb="FF305496"/>
      <name val="Calibri"/>
    </font>
    <font>
      <sz val="11.0"/>
      <color rgb="FF9C0006"/>
      <name val="Calibri"/>
    </font>
    <font>
      <sz val="11.0"/>
      <color rgb="FF305496"/>
      <name val="Calibri"/>
    </font>
    <font>
      <sz val="9.0"/>
      <color rgb="FF000000"/>
      <name val="&quot;Roboto Mono&quot;"/>
    </font>
    <font>
      <b/>
      <sz val="12.0"/>
      <color rgb="FFFFFFFF"/>
      <name val="Barlow"/>
    </font>
    <font>
      <i/>
      <color rgb="FF000000"/>
      <name val="Arial"/>
    </font>
    <font>
      <u/>
      <color rgb="FF0000FF"/>
      <name val="Arial"/>
    </font>
    <font>
      <u/>
      <color rgb="FF0000FF"/>
      <name val="Arial"/>
    </font>
    <font>
      <u/>
      <color rgb="FF0000FF"/>
      <name val="Arial"/>
    </font>
    <font>
      <i/>
      <u/>
      <color rgb="FF0000FF"/>
      <name val="Arial"/>
    </font>
    <font/>
  </fonts>
  <fills count="21">
    <fill>
      <patternFill patternType="none"/>
    </fill>
    <fill>
      <patternFill patternType="lightGray"/>
    </fill>
    <fill>
      <patternFill patternType="solid">
        <fgColor rgb="FF808080"/>
        <bgColor rgb="FF808080"/>
      </patternFill>
    </fill>
    <fill>
      <patternFill patternType="solid">
        <fgColor rgb="FF1B2C3E"/>
        <bgColor rgb="FF1B2C3E"/>
      </patternFill>
    </fill>
    <fill>
      <patternFill patternType="solid">
        <fgColor rgb="FFF3F3F3"/>
        <bgColor rgb="FFF3F3F3"/>
      </patternFill>
    </fill>
    <fill>
      <patternFill patternType="solid">
        <fgColor rgb="FFCCCCCC"/>
        <bgColor rgb="FFCCCCCC"/>
      </patternFill>
    </fill>
    <fill>
      <patternFill patternType="solid">
        <fgColor rgb="FFFFFFFF"/>
        <bgColor rgb="FFFFFFFF"/>
      </patternFill>
    </fill>
    <fill>
      <patternFill patternType="solid">
        <fgColor rgb="FFFFFF00"/>
        <bgColor rgb="FFFFFF00"/>
      </patternFill>
    </fill>
    <fill>
      <patternFill patternType="solid">
        <fgColor rgb="FFD4EDDA"/>
        <bgColor rgb="FFD4EDDA"/>
      </patternFill>
    </fill>
    <fill>
      <patternFill patternType="solid">
        <fgColor rgb="FFFFF2CC"/>
        <bgColor rgb="FFFFF2CC"/>
      </patternFill>
    </fill>
    <fill>
      <patternFill patternType="solid">
        <fgColor rgb="FFFFE599"/>
        <bgColor rgb="FFFFE599"/>
      </patternFill>
    </fill>
    <fill>
      <patternFill patternType="solid">
        <fgColor rgb="FFBDD6EE"/>
        <bgColor rgb="FFBDD6EE"/>
      </patternFill>
    </fill>
    <fill>
      <patternFill patternType="solid">
        <fgColor rgb="FFDEEAF6"/>
        <bgColor rgb="FFDEEAF6"/>
      </patternFill>
    </fill>
    <fill>
      <patternFill patternType="solid">
        <fgColor rgb="FFD9EAD3"/>
        <bgColor rgb="FFD9EAD3"/>
      </patternFill>
    </fill>
    <fill>
      <patternFill patternType="solid">
        <fgColor rgb="FFFF9900"/>
        <bgColor rgb="FFFF9900"/>
      </patternFill>
    </fill>
    <fill>
      <patternFill patternType="solid">
        <fgColor rgb="FFFFF3CD"/>
        <bgColor rgb="FFFFF3CD"/>
      </patternFill>
    </fill>
    <fill>
      <patternFill patternType="solid">
        <fgColor rgb="FFD9D9D9"/>
        <bgColor rgb="FFD9D9D9"/>
      </patternFill>
    </fill>
    <fill>
      <patternFill patternType="solid">
        <fgColor rgb="FFFFC7CE"/>
        <bgColor rgb="FFFFC7CE"/>
      </patternFill>
    </fill>
    <fill>
      <patternFill patternType="solid">
        <fgColor rgb="FFD9E1F2"/>
        <bgColor rgb="FFD9E1F2"/>
      </patternFill>
    </fill>
    <fill>
      <patternFill patternType="solid">
        <fgColor rgb="FFDDEBF7"/>
        <bgColor rgb="FFDDEBF7"/>
      </patternFill>
    </fill>
    <fill>
      <patternFill patternType="solid">
        <fgColor rgb="FF666666"/>
        <bgColor rgb="FF666666"/>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4472C4"/>
      </top>
      <bottom style="thin">
        <color rgb="FF4472C4"/>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4472C4"/>
      </bottom>
    </border>
  </borders>
  <cellStyleXfs count="1">
    <xf borderId="0" fillId="0" fontId="0" numFmtId="0" applyAlignment="1" applyFont="1"/>
  </cellStyleXfs>
  <cellXfs count="18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ill="1" applyFont="1">
      <alignment horizontal="center" shrinkToFit="0" vertical="center" wrapText="1"/>
    </xf>
    <xf borderId="1" fillId="2" fontId="3" numFmtId="0" xfId="0" applyAlignment="1" applyBorder="1" applyFill="1" applyFont="1">
      <alignment horizontal="center" readingOrder="0" shrinkToFit="0" vertical="center" wrapText="1"/>
    </xf>
    <xf borderId="1" fillId="0" fontId="4" numFmtId="0" xfId="0" applyBorder="1" applyFont="1"/>
    <xf borderId="1" fillId="2" fontId="2" numFmtId="0" xfId="0" applyAlignment="1" applyBorder="1" applyFill="1" applyFont="1">
      <alignment horizontal="center" readingOrder="0" shrinkToFit="0" vertical="center" wrapText="1"/>
    </xf>
    <xf borderId="0" fillId="3" fontId="5" numFmtId="0" xfId="0" applyAlignment="1" applyFill="1" applyFont="1">
      <alignment horizontal="center" readingOrder="0" vertical="center"/>
    </xf>
    <xf borderId="1" fillId="0" fontId="6" numFmtId="0" xfId="0" applyAlignment="1" applyBorder="1" applyFont="1">
      <alignment horizontal="center" readingOrder="0" vertical="center"/>
    </xf>
    <xf borderId="1" fillId="0" fontId="7" numFmtId="164" xfId="0" applyAlignment="1" applyBorder="1" applyFont="1" applyNumberFormat="1">
      <alignment horizontal="center" readingOrder="0" vertical="center"/>
    </xf>
    <xf borderId="1" fillId="0" fontId="4" numFmtId="165" xfId="0" applyAlignment="1" applyBorder="1" applyFont="1" applyNumberFormat="1">
      <alignment horizontal="center" readingOrder="0" vertical="center"/>
    </xf>
    <xf borderId="0" fillId="4" fontId="8" numFmtId="0" xfId="0" applyAlignment="1" applyFill="1" applyFont="1">
      <alignment vertical="bottom"/>
    </xf>
    <xf borderId="0" fillId="4" fontId="9" numFmtId="0" xfId="0" applyAlignment="1" applyFill="1" applyFont="1">
      <alignment readingOrder="0"/>
    </xf>
    <xf borderId="1" fillId="0" fontId="10" numFmtId="0" xfId="0" applyAlignment="1" applyBorder="1" applyFont="1">
      <alignment horizontal="center" readingOrder="0" vertical="center"/>
    </xf>
    <xf borderId="1" fillId="0" fontId="7" numFmtId="0" xfId="0" applyAlignment="1" applyBorder="1" applyFont="1">
      <alignment horizontal="center" readingOrder="0" shrinkToFit="0" vertical="center" wrapText="1"/>
    </xf>
    <xf borderId="2" fillId="5" fontId="4" numFmtId="0" xfId="0" applyAlignment="1" applyBorder="1" applyFill="1" applyFont="1">
      <alignment readingOrder="0"/>
    </xf>
    <xf borderId="1" fillId="0" fontId="7" numFmtId="0" xfId="0" applyAlignment="1" applyBorder="1" applyFont="1">
      <alignment horizontal="center" readingOrder="0" vertical="center"/>
    </xf>
    <xf borderId="1" fillId="0" fontId="6" numFmtId="0" xfId="0" applyAlignment="1" applyBorder="1" applyFont="1">
      <alignment horizontal="center" readingOrder="0" vertical="center"/>
    </xf>
    <xf borderId="3" fillId="5" fontId="4" numFmtId="0" xfId="0" applyAlignment="1" applyBorder="1" applyFill="1" applyFont="1">
      <alignment readingOrder="0"/>
    </xf>
    <xf borderId="0" fillId="0" fontId="11" numFmtId="0" xfId="0" applyAlignment="1" applyFont="1">
      <alignment readingOrder="0" shrinkToFit="0" vertical="bottom" wrapText="0"/>
    </xf>
    <xf borderId="1" fillId="0" fontId="10" numFmtId="0" xfId="0" applyAlignment="1" applyBorder="1" applyFont="1">
      <alignment horizontal="left" readingOrder="0" vertical="center"/>
    </xf>
    <xf borderId="0" fillId="0" fontId="12" numFmtId="0" xfId="0" applyAlignment="1" applyFont="1">
      <alignment readingOrder="0" shrinkToFit="0" vertical="bottom" wrapText="0"/>
    </xf>
    <xf borderId="1" fillId="6" fontId="7" numFmtId="166" xfId="0" applyAlignment="1" applyBorder="1" applyFill="1" applyFont="1" applyNumberFormat="1">
      <alignment horizontal="center" readingOrder="0" vertical="center"/>
    </xf>
    <xf borderId="0" fillId="0" fontId="4" numFmtId="0" xfId="0" applyAlignment="1" applyFont="1">
      <alignment readingOrder="0"/>
    </xf>
    <xf borderId="1" fillId="6" fontId="7" numFmtId="0" xfId="0" applyAlignment="1" applyBorder="1" applyFill="1" applyFont="1">
      <alignment horizontal="center" shrinkToFit="0" vertical="center" wrapText="1"/>
    </xf>
    <xf borderId="1" fillId="6" fontId="13" numFmtId="0" xfId="0" applyAlignment="1" applyBorder="1" applyFill="1" applyFont="1">
      <alignment horizontal="center" readingOrder="0" shrinkToFit="0" vertical="center" wrapText="0"/>
    </xf>
    <xf borderId="0" fillId="0" fontId="7" numFmtId="0" xfId="0" applyAlignment="1" applyFont="1">
      <alignment vertical="bottom"/>
    </xf>
    <xf borderId="0" fillId="0" fontId="14" numFmtId="0" xfId="0" applyAlignment="1" applyFont="1">
      <alignment vertical="bottom"/>
    </xf>
    <xf borderId="1" fillId="6" fontId="13" numFmtId="0" xfId="0" applyAlignment="1" applyBorder="1" applyFill="1" applyFont="1">
      <alignment horizontal="center" readingOrder="0" shrinkToFit="0" vertical="center" wrapText="0"/>
    </xf>
    <xf borderId="1" fillId="6" fontId="7" numFmtId="0" xfId="0" applyAlignment="1" applyBorder="1" applyFill="1" applyFont="1">
      <alignment horizontal="center" readingOrder="0" vertical="center"/>
    </xf>
    <xf borderId="1" fillId="7" fontId="15" numFmtId="0" xfId="0" applyAlignment="1" applyBorder="1" applyFill="1" applyFont="1">
      <alignment horizontal="left" readingOrder="0" shrinkToFit="0" vertical="center" wrapText="1"/>
    </xf>
    <xf borderId="0" fillId="0" fontId="16" numFmtId="0" xfId="0" applyAlignment="1" applyFont="1">
      <alignment readingOrder="0" shrinkToFit="0" vertical="bottom" wrapText="0"/>
    </xf>
    <xf borderId="1" fillId="6" fontId="4" numFmtId="167" xfId="0" applyAlignment="1" applyBorder="1" applyFill="1" applyFont="1" applyNumberFormat="1">
      <alignment readingOrder="0" vertical="center"/>
    </xf>
    <xf borderId="1" fillId="0" fontId="4" numFmtId="0" xfId="0" applyAlignment="1" applyBorder="1" applyFont="1">
      <alignment readingOrder="0"/>
    </xf>
    <xf borderId="0" fillId="0" fontId="7" numFmtId="0" xfId="0" applyAlignment="1" applyFont="1">
      <alignment readingOrder="0" vertical="bottom"/>
    </xf>
    <xf borderId="0" fillId="8" fontId="7" numFmtId="0" xfId="0" applyAlignment="1" applyFill="1" applyFont="1">
      <alignment horizontal="center" readingOrder="0" vertical="center"/>
    </xf>
    <xf borderId="1" fillId="6" fontId="4" numFmtId="167" xfId="0" applyBorder="1" applyFill="1" applyFont="1" applyNumberFormat="1"/>
    <xf borderId="1" fillId="0" fontId="10" numFmtId="0" xfId="0" applyAlignment="1" applyBorder="1" applyFont="1">
      <alignment horizontal="center" readingOrder="0" shrinkToFit="0" vertical="center" wrapText="0"/>
    </xf>
    <xf borderId="0" fillId="6" fontId="4" numFmtId="0" xfId="0" applyFill="1" applyFont="1"/>
    <xf borderId="1" fillId="0" fontId="17" numFmtId="3" xfId="0" applyAlignment="1" applyBorder="1" applyFont="1" applyNumberFormat="1">
      <alignment horizontal="center" readingOrder="0" shrinkToFit="0" vertical="center" wrapText="0"/>
    </xf>
    <xf borderId="1" fillId="0" fontId="7" numFmtId="165" xfId="0" applyAlignment="1" applyBorder="1" applyFont="1" applyNumberFormat="1">
      <alignment horizontal="center" readingOrder="0" vertical="center"/>
    </xf>
    <xf borderId="1" fillId="6" fontId="18" numFmtId="0" xfId="0" applyAlignment="1" applyBorder="1" applyFill="1" applyFont="1">
      <alignment readingOrder="0" shrinkToFit="0" vertical="center" wrapText="0"/>
    </xf>
    <xf borderId="0" fillId="0" fontId="19" numFmtId="0" xfId="0" applyAlignment="1" applyFont="1">
      <alignment readingOrder="0" vertical="bottom"/>
    </xf>
    <xf borderId="1" fillId="0" fontId="15" numFmtId="0" xfId="0" applyAlignment="1" applyBorder="1" applyFont="1">
      <alignment horizontal="left" readingOrder="0" shrinkToFit="0" vertical="center" wrapText="1"/>
    </xf>
    <xf borderId="1" fillId="6" fontId="7" numFmtId="168" xfId="0" applyAlignment="1" applyBorder="1" applyFill="1" applyFont="1" applyNumberFormat="1">
      <alignment horizontal="center" vertical="center"/>
    </xf>
    <xf borderId="1" fillId="6" fontId="4" numFmtId="167" xfId="0" applyAlignment="1" applyBorder="1" applyFill="1" applyFont="1" applyNumberFormat="1">
      <alignment vertical="center"/>
    </xf>
    <xf borderId="1" fillId="6" fontId="7" numFmtId="169" xfId="0" applyAlignment="1" applyBorder="1" applyFill="1" applyFont="1" applyNumberFormat="1">
      <alignment horizontal="center" readingOrder="0" vertical="center"/>
    </xf>
    <xf borderId="0" fillId="0" fontId="11" numFmtId="0" xfId="0" applyAlignment="1" applyFont="1">
      <alignment shrinkToFit="0" vertical="bottom" wrapText="0"/>
    </xf>
    <xf borderId="1" fillId="6" fontId="7" numFmtId="0" xfId="0" applyAlignment="1" applyBorder="1" applyFill="1" applyFont="1">
      <alignment horizontal="center" vertical="center"/>
    </xf>
    <xf borderId="1" fillId="6" fontId="7" numFmtId="170" xfId="0" applyAlignment="1" applyBorder="1" applyFill="1" applyFont="1" applyNumberFormat="1">
      <alignment horizontal="center" readingOrder="0" vertical="center"/>
    </xf>
    <xf borderId="1" fillId="6" fontId="7" numFmtId="168" xfId="0" applyAlignment="1" applyBorder="1" applyFill="1" applyFont="1" applyNumberFormat="1">
      <alignment horizontal="center" readingOrder="0" vertical="center"/>
    </xf>
    <xf borderId="1" fillId="6" fontId="7" numFmtId="0" xfId="0" applyAlignment="1" applyBorder="1" applyFill="1" applyFont="1">
      <alignment horizontal="center" readingOrder="0" shrinkToFit="0" vertical="center" wrapText="1"/>
    </xf>
    <xf borderId="1" fillId="6" fontId="7" numFmtId="167" xfId="0" applyAlignment="1" applyBorder="1" applyFill="1" applyFont="1" applyNumberFormat="1">
      <alignment horizontal="center" readingOrder="0" vertical="center"/>
    </xf>
    <xf borderId="0" fillId="0" fontId="7" numFmtId="0" xfId="0" applyAlignment="1" applyFont="1">
      <alignment horizontal="center" readingOrder="0" vertical="center"/>
    </xf>
    <xf borderId="0" fillId="0" fontId="4" numFmtId="3" xfId="0" applyFont="1" applyNumberFormat="1"/>
    <xf borderId="1" fillId="0" fontId="13" numFmtId="0" xfId="0" applyAlignment="1" applyBorder="1" applyFont="1">
      <alignment horizontal="center" readingOrder="0" shrinkToFit="0" vertical="center" wrapText="0"/>
    </xf>
    <xf borderId="1" fillId="0" fontId="10" numFmtId="171" xfId="0" applyAlignment="1" applyBorder="1" applyFont="1" applyNumberFormat="1">
      <alignment horizontal="center" readingOrder="0" shrinkToFit="0" vertical="center" wrapText="0"/>
    </xf>
    <xf borderId="1" fillId="0" fontId="10" numFmtId="165" xfId="0" applyAlignment="1" applyBorder="1" applyFont="1" applyNumberFormat="1">
      <alignment horizontal="center" readingOrder="0" vertical="center"/>
    </xf>
    <xf borderId="1" fillId="0" fontId="13" numFmtId="0" xfId="0" applyAlignment="1" applyBorder="1" applyFont="1">
      <alignment horizontal="left" readingOrder="0" shrinkToFit="0" vertical="center" wrapText="1"/>
    </xf>
    <xf borderId="1" fillId="7" fontId="10" numFmtId="0" xfId="0" applyAlignment="1" applyBorder="1" applyFill="1" applyFont="1">
      <alignment horizontal="center" readingOrder="0" shrinkToFit="0" vertical="center" wrapText="0"/>
    </xf>
    <xf borderId="1" fillId="0" fontId="10" numFmtId="172" xfId="0" applyAlignment="1" applyBorder="1" applyFont="1" applyNumberFormat="1">
      <alignment horizontal="center" readingOrder="0" vertical="center"/>
    </xf>
    <xf borderId="1" fillId="0" fontId="14" numFmtId="0" xfId="0" applyAlignment="1" applyBorder="1" applyFont="1">
      <alignment horizontal="center" readingOrder="0" vertical="center"/>
    </xf>
    <xf borderId="0" fillId="0" fontId="14" numFmtId="0" xfId="0" applyAlignment="1" applyFont="1">
      <alignment horizontal="center" readingOrder="0" vertical="center"/>
    </xf>
    <xf borderId="0" fillId="0" fontId="14" numFmtId="0" xfId="0" applyAlignment="1" applyFont="1">
      <alignment horizontal="center" vertical="center"/>
    </xf>
    <xf borderId="0" fillId="9" fontId="12" numFmtId="0" xfId="0" applyAlignment="1" applyFill="1" applyFont="1">
      <alignment readingOrder="0" shrinkToFit="0" vertical="bottom" wrapText="0"/>
    </xf>
    <xf borderId="0" fillId="9" fontId="11" numFmtId="0" xfId="0" applyAlignment="1" applyFill="1" applyFont="1">
      <alignment readingOrder="0" shrinkToFit="0" vertical="bottom" wrapText="0"/>
    </xf>
    <xf borderId="1" fillId="6" fontId="7" numFmtId="169" xfId="0" applyAlignment="1" applyBorder="1" applyFill="1" applyFont="1" applyNumberFormat="1">
      <alignment horizontal="center" readingOrder="0" shrinkToFit="0" vertical="center" wrapText="1"/>
    </xf>
    <xf borderId="0" fillId="10" fontId="12" numFmtId="0" xfId="0" applyAlignment="1" applyFill="1" applyFont="1">
      <alignment readingOrder="0" shrinkToFit="0" vertical="bottom" wrapText="0"/>
    </xf>
    <xf borderId="1" fillId="6" fontId="7" numFmtId="168" xfId="0" applyAlignment="1" applyBorder="1" applyFill="1" applyFont="1" applyNumberFormat="1">
      <alignment horizontal="center" shrinkToFit="0" vertical="center" wrapText="1"/>
    </xf>
    <xf borderId="0" fillId="10" fontId="11" numFmtId="0" xfId="0" applyAlignment="1" applyFill="1" applyFont="1">
      <alignment readingOrder="0" shrinkToFit="0" vertical="bottom" wrapText="0"/>
    </xf>
    <xf borderId="1" fillId="6" fontId="7" numFmtId="168" xfId="0" applyAlignment="1" applyBorder="1" applyFill="1" applyFont="1" applyNumberFormat="1">
      <alignment horizontal="center" readingOrder="0" shrinkToFit="0" vertical="center" wrapText="1"/>
    </xf>
    <xf borderId="1" fillId="6" fontId="20" numFmtId="0" xfId="0" applyAlignment="1" applyBorder="1" applyFill="1" applyFont="1">
      <alignment horizontal="center" readingOrder="0" shrinkToFit="0" vertical="center" wrapText="1"/>
    </xf>
    <xf borderId="0" fillId="6" fontId="12" numFmtId="0" xfId="0" applyAlignment="1" applyFill="1" applyFont="1">
      <alignment readingOrder="0" shrinkToFit="0" vertical="bottom" wrapText="0"/>
    </xf>
    <xf borderId="1" fillId="6" fontId="4" numFmtId="0" xfId="0" applyAlignment="1" applyBorder="1" applyFill="1" applyFont="1">
      <alignment horizontal="center" vertical="center"/>
    </xf>
    <xf borderId="0" fillId="0" fontId="7" numFmtId="0" xfId="0" applyAlignment="1" applyFont="1">
      <alignment horizontal="center" readingOrder="0" shrinkToFit="0" vertical="center" wrapText="1"/>
    </xf>
    <xf borderId="1" fillId="0" fontId="4" numFmtId="0" xfId="0" applyAlignment="1" applyBorder="1" applyFont="1">
      <alignment horizontal="center" readingOrder="0" shrinkToFit="0" vertical="center" wrapText="1"/>
    </xf>
    <xf borderId="0" fillId="6" fontId="7" numFmtId="0" xfId="0" applyAlignment="1" applyFill="1" applyFont="1">
      <alignment horizontal="center" readingOrder="0" vertical="center"/>
    </xf>
    <xf borderId="1" fillId="6" fontId="4" numFmtId="0" xfId="0" applyAlignment="1" applyBorder="1" applyFill="1" applyFont="1">
      <alignment readingOrder="0"/>
    </xf>
    <xf borderId="1" fillId="6" fontId="21" numFmtId="0" xfId="0" applyAlignment="1" applyBorder="1" applyFill="1" applyFont="1">
      <alignment horizontal="center" readingOrder="0" shrinkToFit="0" vertical="center" wrapText="1"/>
    </xf>
    <xf borderId="0" fillId="0" fontId="4" numFmtId="0" xfId="0" applyFont="1"/>
    <xf borderId="0" fillId="0" fontId="4" numFmtId="9" xfId="0" applyFont="1" applyNumberFormat="1"/>
    <xf borderId="0" fillId="0" fontId="4" numFmtId="10" xfId="0" applyFont="1" applyNumberFormat="1"/>
    <xf borderId="0" fillId="0" fontId="4" numFmtId="172" xfId="0" applyFont="1" applyNumberFormat="1"/>
    <xf borderId="0" fillId="0" fontId="4" numFmtId="167" xfId="0" applyFont="1" applyNumberFormat="1"/>
    <xf borderId="0" fillId="11" fontId="7" numFmtId="0" xfId="0" applyAlignment="1" applyFill="1" applyFont="1">
      <alignment horizontal="center" readingOrder="0" vertical="center"/>
    </xf>
    <xf borderId="0" fillId="0" fontId="9" numFmtId="10" xfId="0" applyFont="1" applyNumberFormat="1"/>
    <xf borderId="0" fillId="0" fontId="9" numFmtId="9" xfId="0" applyFont="1" applyNumberFormat="1"/>
    <xf borderId="0" fillId="7" fontId="4" numFmtId="172" xfId="0" applyFill="1" applyFont="1" applyNumberFormat="1"/>
    <xf borderId="0" fillId="7" fontId="4" numFmtId="167" xfId="0" applyFill="1" applyFont="1" applyNumberFormat="1"/>
    <xf borderId="0" fillId="0" fontId="9" numFmtId="0" xfId="0" applyFont="1"/>
    <xf borderId="0" fillId="0" fontId="4" numFmtId="173" xfId="0" applyFont="1" applyNumberFormat="1"/>
    <xf borderId="0" fillId="0" fontId="4" numFmtId="174" xfId="0" applyFont="1" applyNumberFormat="1"/>
    <xf borderId="0" fillId="12" fontId="7" numFmtId="0" xfId="0" applyAlignment="1" applyFill="1" applyFont="1">
      <alignment horizontal="center" readingOrder="0" vertical="center"/>
    </xf>
    <xf borderId="0" fillId="0" fontId="9" numFmtId="172" xfId="0" applyFont="1" applyNumberFormat="1"/>
    <xf borderId="0" fillId="0" fontId="9" numFmtId="167" xfId="0" applyFont="1" applyNumberFormat="1"/>
    <xf borderId="0" fillId="6" fontId="7" numFmtId="0" xfId="0" applyAlignment="1" applyFill="1" applyFont="1">
      <alignment horizontal="center" readingOrder="0" shrinkToFit="0" vertical="center" wrapText="1"/>
    </xf>
    <xf borderId="1" fillId="6" fontId="7" numFmtId="0" xfId="0" applyAlignment="1" applyBorder="1" applyFill="1" applyFont="1">
      <alignment horizontal="center" readingOrder="0" shrinkToFit="0" vertical="center" wrapText="1"/>
    </xf>
    <xf borderId="0" fillId="6" fontId="7" numFmtId="166" xfId="0" applyAlignment="1" applyFill="1" applyFont="1" applyNumberFormat="1">
      <alignment horizontal="center" readingOrder="0" vertical="center"/>
    </xf>
    <xf borderId="1" fillId="6" fontId="4" numFmtId="0" xfId="0" applyAlignment="1" applyBorder="1" applyFill="1" applyFont="1">
      <alignment horizontal="center" readingOrder="0" shrinkToFit="0" vertical="center" wrapText="1"/>
    </xf>
    <xf borderId="0" fillId="0" fontId="8" numFmtId="0" xfId="0" applyAlignment="1" applyFont="1">
      <alignment vertical="bottom"/>
    </xf>
    <xf borderId="0" fillId="0" fontId="8" numFmtId="173" xfId="0" applyAlignment="1" applyFont="1" applyNumberFormat="1">
      <alignment vertical="bottom"/>
    </xf>
    <xf borderId="0" fillId="0" fontId="7" numFmtId="173" xfId="0" applyAlignment="1" applyFont="1" applyNumberFormat="1">
      <alignment horizontal="right" vertical="bottom"/>
    </xf>
    <xf borderId="0" fillId="0" fontId="7" numFmtId="0" xfId="0" applyAlignment="1" applyFont="1">
      <alignment horizontal="right" vertical="bottom"/>
    </xf>
    <xf borderId="1" fillId="0" fontId="7" numFmtId="0" xfId="0" applyAlignment="1" applyBorder="1" applyFont="1">
      <alignment horizontal="center" vertical="center"/>
    </xf>
    <xf borderId="1" fillId="13" fontId="13" numFmtId="0" xfId="0" applyAlignment="1" applyBorder="1" applyFill="1" applyFont="1">
      <alignment horizontal="left" readingOrder="0" shrinkToFit="0" vertical="center" wrapText="1"/>
    </xf>
    <xf borderId="1" fillId="6" fontId="10" numFmtId="175" xfId="0" applyAlignment="1" applyBorder="1" applyFill="1" applyFont="1" applyNumberFormat="1">
      <alignment horizontal="center" readingOrder="0" vertical="center"/>
    </xf>
    <xf borderId="1" fillId="0" fontId="10" numFmtId="0" xfId="0" applyAlignment="1" applyBorder="1" applyFont="1">
      <alignment horizontal="center" vertical="center"/>
    </xf>
    <xf borderId="1" fillId="0" fontId="12" numFmtId="0" xfId="0" applyAlignment="1" applyBorder="1" applyFont="1">
      <alignment horizontal="center" readingOrder="0" shrinkToFit="0" vertical="center" wrapText="1"/>
    </xf>
    <xf borderId="1" fillId="14" fontId="22" numFmtId="0" xfId="0" applyAlignment="1" applyBorder="1" applyFill="1" applyFont="1">
      <alignment horizontal="left" readingOrder="0" shrinkToFit="0" vertical="center" wrapText="1"/>
    </xf>
    <xf borderId="1" fillId="7" fontId="6" numFmtId="0" xfId="0" applyAlignment="1" applyBorder="1" applyFill="1" applyFont="1">
      <alignment horizontal="center" readingOrder="0" vertical="center"/>
    </xf>
    <xf borderId="1" fillId="7" fontId="13" numFmtId="0" xfId="0" applyAlignment="1" applyBorder="1" applyFill="1" applyFont="1">
      <alignment horizontal="left" readingOrder="0" shrinkToFit="0" vertical="center" wrapText="1"/>
    </xf>
    <xf borderId="1" fillId="7" fontId="10" numFmtId="0" xfId="0" applyAlignment="1" applyBorder="1" applyFill="1" applyFont="1">
      <alignment horizontal="center" readingOrder="0" vertical="center"/>
    </xf>
    <xf borderId="0" fillId="7" fontId="4" numFmtId="0" xfId="0" applyFill="1" applyFont="1"/>
    <xf borderId="0" fillId="0" fontId="7" numFmtId="173" xfId="0" applyAlignment="1" applyFont="1" applyNumberFormat="1">
      <alignment horizontal="center" vertical="bottom"/>
    </xf>
    <xf borderId="1" fillId="0" fontId="6" numFmtId="0" xfId="0" applyAlignment="1" applyBorder="1" applyFont="1">
      <alignment horizontal="center" vertical="center"/>
    </xf>
    <xf borderId="1" fillId="0" fontId="10" numFmtId="174" xfId="0" applyAlignment="1" applyBorder="1" applyFont="1" applyNumberFormat="1">
      <alignment horizontal="center" readingOrder="0" vertical="center"/>
    </xf>
    <xf borderId="0" fillId="15" fontId="7" numFmtId="0" xfId="0" applyAlignment="1" applyFill="1" applyFont="1">
      <alignment horizontal="center" readingOrder="0" vertical="center"/>
    </xf>
    <xf borderId="1" fillId="0" fontId="7" numFmtId="171" xfId="0" applyAlignment="1" applyBorder="1" applyFont="1" applyNumberFormat="1">
      <alignment horizontal="center" readingOrder="0" vertical="center"/>
    </xf>
    <xf borderId="1" fillId="0" fontId="7" numFmtId="176" xfId="0" applyAlignment="1" applyBorder="1" applyFont="1" applyNumberFormat="1">
      <alignment horizontal="center" readingOrder="0" vertical="center"/>
    </xf>
    <xf borderId="1" fillId="6" fontId="20" numFmtId="0" xfId="0" applyAlignment="1" applyBorder="1" applyFill="1" applyFont="1">
      <alignment horizontal="center" readingOrder="0" shrinkToFit="0" vertical="center" wrapText="1"/>
    </xf>
    <xf borderId="1" fillId="16" fontId="23" numFmtId="0" xfId="0" applyAlignment="1" applyBorder="1" applyFill="1" applyFont="1">
      <alignment readingOrder="0"/>
    </xf>
    <xf borderId="1" fillId="0" fontId="14" numFmtId="0" xfId="0" applyAlignment="1" applyBorder="1" applyFont="1">
      <alignment readingOrder="0"/>
    </xf>
    <xf borderId="1" fillId="0" fontId="14" numFmtId="0" xfId="0" applyBorder="1" applyFont="1"/>
    <xf borderId="4" fillId="0" fontId="24" numFmtId="0" xfId="0" applyAlignment="1" applyBorder="1" applyFont="1">
      <alignment horizontal="center" readingOrder="0" shrinkToFit="0" wrapText="0"/>
    </xf>
    <xf borderId="4" fillId="0" fontId="24" numFmtId="0" xfId="0" applyAlignment="1" applyBorder="1" applyFont="1">
      <alignment readingOrder="0" shrinkToFit="0" vertical="bottom" wrapText="0"/>
    </xf>
    <xf borderId="4" fillId="0" fontId="24" numFmtId="0" xfId="0" applyAlignment="1" applyBorder="1" applyFont="1">
      <alignment horizontal="center" readingOrder="0" shrinkToFit="0" vertical="bottom" wrapText="0"/>
    </xf>
    <xf borderId="0" fillId="0" fontId="24" numFmtId="0" xfId="0" applyAlignment="1" applyFont="1">
      <alignment readingOrder="0" shrinkToFit="0" vertical="bottom" wrapText="0"/>
    </xf>
    <xf borderId="0" fillId="17" fontId="25" numFmtId="0" xfId="0" applyAlignment="1" applyFill="1" applyFont="1">
      <alignment horizontal="center" readingOrder="0" shrinkToFit="0" wrapText="0"/>
    </xf>
    <xf borderId="0" fillId="18" fontId="26" numFmtId="0" xfId="0" applyAlignment="1" applyFill="1" applyFont="1">
      <alignment readingOrder="0" shrinkToFit="0" vertical="bottom" wrapText="0"/>
    </xf>
    <xf borderId="0" fillId="18" fontId="26" numFmtId="0" xfId="0" applyAlignment="1" applyFill="1" applyFont="1">
      <alignment horizontal="right" readingOrder="0" shrinkToFit="0" vertical="bottom" wrapText="0"/>
    </xf>
    <xf borderId="0" fillId="18" fontId="26" numFmtId="165" xfId="0" applyAlignment="1" applyFill="1" applyFont="1" applyNumberFormat="1">
      <alignment horizontal="right" readingOrder="0" shrinkToFit="0" vertical="bottom" wrapText="0"/>
    </xf>
    <xf borderId="0" fillId="18" fontId="26" numFmtId="167" xfId="0" applyAlignment="1" applyFill="1" applyFont="1" applyNumberFormat="1">
      <alignment readingOrder="0" shrinkToFit="0" vertical="bottom" wrapText="0"/>
    </xf>
    <xf borderId="0" fillId="18" fontId="26" numFmtId="0" xfId="0" applyAlignment="1" applyFill="1" applyFont="1">
      <alignment horizontal="center" readingOrder="0" shrinkToFit="0" vertical="bottom" wrapText="0"/>
    </xf>
    <xf borderId="0" fillId="0" fontId="26" numFmtId="0" xfId="0" applyAlignment="1" applyFont="1">
      <alignment horizontal="center" readingOrder="0" shrinkToFit="0" wrapText="0"/>
    </xf>
    <xf borderId="0" fillId="0" fontId="26" numFmtId="0" xfId="0" applyAlignment="1" applyFont="1">
      <alignment readingOrder="0" shrinkToFit="0" vertical="bottom" wrapText="0"/>
    </xf>
    <xf borderId="0" fillId="0" fontId="26" numFmtId="0" xfId="0" applyAlignment="1" applyFont="1">
      <alignment horizontal="right" readingOrder="0" shrinkToFit="0" vertical="bottom" wrapText="0"/>
    </xf>
    <xf borderId="0" fillId="0" fontId="26" numFmtId="165" xfId="0" applyAlignment="1" applyFont="1" applyNumberFormat="1">
      <alignment horizontal="right" readingOrder="0" shrinkToFit="0" vertical="bottom" wrapText="0"/>
    </xf>
    <xf borderId="0" fillId="0" fontId="26" numFmtId="167" xfId="0" applyAlignment="1" applyFont="1" applyNumberFormat="1">
      <alignment readingOrder="0" shrinkToFit="0" vertical="bottom" wrapText="0"/>
    </xf>
    <xf borderId="0" fillId="0" fontId="26" numFmtId="0" xfId="0" applyAlignment="1" applyFont="1">
      <alignment horizontal="center" readingOrder="0" shrinkToFit="0" vertical="bottom" wrapText="0"/>
    </xf>
    <xf borderId="0" fillId="18" fontId="26" numFmtId="0" xfId="0" applyAlignment="1" applyFill="1" applyFont="1">
      <alignment horizontal="center" readingOrder="0" shrinkToFit="0" wrapText="0"/>
    </xf>
    <xf borderId="0" fillId="19" fontId="27" numFmtId="0" xfId="0" applyAlignment="1" applyFill="1" applyFont="1">
      <alignment horizontal="center" readingOrder="0" shrinkToFit="0" vertical="bottom" wrapText="0"/>
    </xf>
    <xf borderId="0" fillId="19" fontId="27" numFmtId="3" xfId="0" applyAlignment="1" applyFill="1" applyFont="1" applyNumberFormat="1">
      <alignment horizontal="center" readingOrder="0" shrinkToFit="0" vertical="bottom" wrapText="0"/>
    </xf>
    <xf borderId="0" fillId="19" fontId="27" numFmtId="0" xfId="0" applyAlignment="1" applyFill="1" applyFont="1">
      <alignment horizontal="center" shrinkToFit="0" vertical="bottom" wrapText="0"/>
    </xf>
    <xf borderId="0" fillId="6" fontId="27" numFmtId="0" xfId="0" applyAlignment="1" applyFill="1" applyFont="1">
      <alignment horizontal="center" readingOrder="0" shrinkToFit="0" vertical="bottom" wrapText="0"/>
    </xf>
    <xf borderId="0" fillId="6" fontId="27" numFmtId="3" xfId="0" applyAlignment="1" applyFill="1" applyFont="1" applyNumberFormat="1">
      <alignment horizontal="center" readingOrder="0" shrinkToFit="0" vertical="bottom" wrapText="0"/>
    </xf>
    <xf borderId="0" fillId="6" fontId="27" numFmtId="0" xfId="0" applyAlignment="1" applyFill="1" applyFont="1">
      <alignment horizontal="center" shrinkToFit="0" vertical="bottom" wrapText="0"/>
    </xf>
    <xf borderId="0" fillId="6" fontId="4" numFmtId="167" xfId="0" applyAlignment="1" applyFill="1" applyFont="1" applyNumberFormat="1">
      <alignment readingOrder="0" vertical="center"/>
    </xf>
    <xf borderId="0" fillId="0" fontId="4" numFmtId="167" xfId="0" applyAlignment="1" applyFont="1" applyNumberFormat="1">
      <alignment readingOrder="0" vertical="center"/>
    </xf>
    <xf borderId="1" fillId="7" fontId="7" numFmtId="0" xfId="0" applyAlignment="1" applyBorder="1" applyFill="1" applyFont="1">
      <alignment horizontal="center" readingOrder="0" shrinkToFit="0" vertical="center" wrapText="1"/>
    </xf>
    <xf borderId="1" fillId="0" fontId="4" numFmtId="0" xfId="0" applyAlignment="1" applyBorder="1" applyFont="1">
      <alignment vertical="center"/>
    </xf>
    <xf borderId="0" fillId="17" fontId="25" numFmtId="0" xfId="0" applyAlignment="1" applyFill="1" applyFont="1">
      <alignment readingOrder="0" shrinkToFit="0" vertical="bottom" wrapText="0"/>
    </xf>
    <xf borderId="0" fillId="18" fontId="26" numFmtId="0" xfId="0" applyAlignment="1" applyFill="1" applyFont="1">
      <alignment shrinkToFit="0" vertical="bottom" wrapText="0"/>
    </xf>
    <xf borderId="0" fillId="18" fontId="26" numFmtId="0" xfId="0" applyAlignment="1" applyFill="1" applyFont="1">
      <alignment shrinkToFit="0" vertical="bottom" wrapText="0"/>
    </xf>
    <xf borderId="0" fillId="0" fontId="26" numFmtId="175" xfId="0" applyAlignment="1" applyFont="1" applyNumberFormat="1">
      <alignment horizontal="center" readingOrder="0" shrinkToFit="0" wrapText="0"/>
    </xf>
    <xf borderId="0" fillId="0" fontId="26" numFmtId="0" xfId="0" applyAlignment="1" applyFont="1">
      <alignment shrinkToFit="0" vertical="bottom" wrapText="0"/>
    </xf>
    <xf borderId="0" fillId="0" fontId="26" numFmtId="0" xfId="0" applyAlignment="1" applyFont="1">
      <alignment shrinkToFit="0" vertical="bottom" wrapText="0"/>
    </xf>
    <xf borderId="0" fillId="18" fontId="26" numFmtId="175" xfId="0" applyAlignment="1" applyFill="1" applyFont="1" applyNumberFormat="1">
      <alignment horizontal="center" readingOrder="0" shrinkToFit="0" wrapText="0"/>
    </xf>
    <xf borderId="0" fillId="18" fontId="26" numFmtId="165" xfId="0" applyAlignment="1" applyFill="1" applyFont="1" applyNumberFormat="1">
      <alignment shrinkToFit="0" vertical="bottom" wrapText="0"/>
    </xf>
    <xf borderId="0" fillId="0" fontId="26" numFmtId="165" xfId="0" applyAlignment="1" applyFont="1" applyNumberFormat="1">
      <alignment shrinkToFit="0" vertical="bottom" wrapText="0"/>
    </xf>
    <xf borderId="0" fillId="0" fontId="7" numFmtId="173" xfId="0" applyAlignment="1" applyFont="1" applyNumberFormat="1">
      <alignment vertical="bottom"/>
    </xf>
    <xf borderId="1" fillId="20" fontId="28" numFmtId="0" xfId="0" applyAlignment="1" applyBorder="1" applyFill="1" applyFont="1">
      <alignment horizontal="left" readingOrder="0"/>
    </xf>
    <xf borderId="3" fillId="20" fontId="28" numFmtId="0" xfId="0" applyAlignment="1" applyBorder="1" applyFill="1" applyFont="1">
      <alignment horizontal="left" readingOrder="0"/>
    </xf>
    <xf borderId="3" fillId="20" fontId="28" numFmtId="0" xfId="0" applyAlignment="1" applyBorder="1" applyFill="1" applyFont="1">
      <alignment horizontal="center" readingOrder="0"/>
    </xf>
    <xf borderId="3" fillId="20" fontId="28" numFmtId="0" xfId="0" applyAlignment="1" applyBorder="1" applyFill="1" applyFont="1">
      <alignment horizontal="left" readingOrder="0" shrinkToFit="0" wrapText="0"/>
    </xf>
    <xf borderId="5" fillId="0" fontId="29" numFmtId="0" xfId="0" applyAlignment="1" applyBorder="1" applyFont="1">
      <alignment horizontal="left" readingOrder="0" shrinkToFit="0" wrapText="0"/>
    </xf>
    <xf borderId="6" fillId="0" fontId="12" numFmtId="165" xfId="0" applyAlignment="1" applyBorder="1" applyFont="1" applyNumberFormat="1">
      <alignment horizontal="left" readingOrder="0" shrinkToFit="0" wrapText="0"/>
    </xf>
    <xf borderId="6" fillId="0" fontId="12" numFmtId="0" xfId="0" applyAlignment="1" applyBorder="1" applyFont="1">
      <alignment horizontal="left" readingOrder="0" shrinkToFit="0" wrapText="0"/>
    </xf>
    <xf borderId="6" fillId="0" fontId="12" numFmtId="0" xfId="0" applyAlignment="1" applyBorder="1" applyFont="1">
      <alignment horizontal="left" shrinkToFit="0" wrapText="0"/>
    </xf>
    <xf borderId="6" fillId="0" fontId="12" numFmtId="0" xfId="0" applyAlignment="1" applyBorder="1" applyFont="1">
      <alignment horizontal="left" readingOrder="0"/>
    </xf>
    <xf borderId="6" fillId="0" fontId="12" numFmtId="9" xfId="0" applyAlignment="1" applyBorder="1" applyFont="1" applyNumberFormat="1">
      <alignment horizontal="center" readingOrder="0" shrinkToFit="0" wrapText="0"/>
    </xf>
    <xf borderId="6" fillId="0" fontId="30" numFmtId="0" xfId="0" applyAlignment="1" applyBorder="1" applyFont="1">
      <alignment horizontal="left" readingOrder="0" shrinkToFit="0" wrapText="0"/>
    </xf>
    <xf borderId="6" fillId="0" fontId="12" numFmtId="164" xfId="0" applyAlignment="1" applyBorder="1" applyFont="1" applyNumberFormat="1">
      <alignment horizontal="left" readingOrder="0" shrinkToFit="0" wrapText="0"/>
    </xf>
    <xf borderId="6" fillId="0" fontId="12" numFmtId="10" xfId="0" applyAlignment="1" applyBorder="1" applyFont="1" applyNumberFormat="1">
      <alignment horizontal="center" readingOrder="0" shrinkToFit="0" wrapText="0"/>
    </xf>
    <xf borderId="6" fillId="0" fontId="29" numFmtId="0" xfId="0" applyAlignment="1" applyBorder="1" applyFont="1">
      <alignment horizontal="left" shrinkToFit="0" wrapText="0"/>
    </xf>
    <xf borderId="6" fillId="0" fontId="29" numFmtId="0" xfId="0" applyAlignment="1" applyBorder="1" applyFont="1">
      <alignment horizontal="left" readingOrder="0"/>
    </xf>
    <xf borderId="6" fillId="0" fontId="12" numFmtId="0" xfId="0" applyAlignment="1" applyBorder="1" applyFont="1">
      <alignment horizontal="left"/>
    </xf>
    <xf borderId="0" fillId="0" fontId="31" numFmtId="0" xfId="0" applyAlignment="1" applyFont="1">
      <alignment horizontal="left" readingOrder="0" shrinkToFit="0" wrapText="0"/>
    </xf>
    <xf borderId="5" fillId="0" fontId="32" numFmtId="0" xfId="0" applyAlignment="1" applyBorder="1" applyFont="1">
      <alignment horizontal="left" readingOrder="0" shrinkToFit="0" wrapText="0"/>
    </xf>
    <xf borderId="0" fillId="0" fontId="12" numFmtId="0" xfId="0" applyAlignment="1" applyFont="1">
      <alignment horizontal="left" shrinkToFit="0" wrapText="0"/>
    </xf>
    <xf borderId="6" fillId="0" fontId="29" numFmtId="0" xfId="0" applyAlignment="1" applyBorder="1" applyFont="1">
      <alignment horizontal="left" readingOrder="0" shrinkToFit="0" wrapText="0"/>
    </xf>
    <xf borderId="6" fillId="0" fontId="33" numFmtId="0" xfId="0" applyAlignment="1" applyBorder="1" applyFont="1">
      <alignment horizontal="left" readingOrder="0" shrinkToFit="0" wrapText="0"/>
    </xf>
    <xf borderId="7" fillId="18" fontId="26" numFmtId="0" xfId="0" applyAlignment="1" applyBorder="1" applyFill="1" applyFont="1">
      <alignment readingOrder="0" shrinkToFit="0" vertical="bottom" wrapText="0"/>
    </xf>
    <xf borderId="7" fillId="0" fontId="34" numFmtId="0" xfId="0" applyBorder="1" applyFont="1"/>
    <xf borderId="1" fillId="0" fontId="7" numFmtId="0" xfId="0" applyAlignment="1" applyBorder="1" applyFont="1">
      <alignment horizontal="center" shrinkToFit="0" vertical="center" wrapText="1"/>
    </xf>
    <xf borderId="0" fillId="0" fontId="7" numFmtId="0" xfId="0" applyAlignment="1" applyFont="1">
      <alignment horizontal="center" vertical="center"/>
    </xf>
    <xf borderId="0" fillId="0" fontId="7" numFmtId="0" xfId="0" applyAlignment="1" applyFont="1">
      <alignment horizontal="center" shrinkToFit="0" vertical="center" wrapText="1"/>
    </xf>
    <xf borderId="0" fillId="6" fontId="7" numFmtId="0" xfId="0" applyAlignment="1" applyFill="1" applyFont="1">
      <alignment horizontal="center" shrinkToFit="0" vertical="center" wrapText="1"/>
    </xf>
    <xf borderId="0" fillId="6" fontId="7" numFmtId="0" xfId="0" applyAlignment="1" applyFill="1" applyFont="1">
      <alignment horizontal="center" vertical="center"/>
    </xf>
  </cellXfs>
  <cellStyles count="1">
    <cellStyle xfId="0" name="Normal" builtinId="0"/>
  </cellStyles>
  <dxfs count="3">
    <dxf>
      <font/>
      <fill>
        <patternFill patternType="none"/>
      </fill>
      <border/>
    </dxf>
    <dxf>
      <font/>
      <fill>
        <patternFill patternType="solid">
          <fgColor rgb="FFBDD6EE"/>
          <bgColor rgb="FFBDD6EE"/>
        </patternFill>
      </fill>
      <border/>
    </dxf>
    <dxf>
      <font/>
      <fill>
        <patternFill patternType="solid">
          <fgColor rgb="FFDEEAF6"/>
          <bgColor rgb="FFDEEAF6"/>
        </patternFill>
      </fill>
      <border/>
    </dxf>
  </dxfs>
  <tableStyles count="2">
    <tableStyle count="2" pivot="0" name="monto actualizado -style">
      <tableStyleElement dxfId="1" type="firstRowStripe"/>
      <tableStyleElement dxfId="2" type="secondRowStripe"/>
    </tableStyle>
    <tableStyle count="2" pivot="0" name="monto actualizado -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41:A42" displayName="Table_1" name="Table_1" id="1">
  <tableColumns count="1">
    <tableColumn name="Column1" id="1"/>
  </tableColumns>
  <tableStyleInfo name="monto actualizado -style" showColumnStripes="0" showFirstColumn="1" showLastColumn="1" showRowStripes="1"/>
</table>
</file>

<file path=xl/tables/table2.xml><?xml version="1.0" encoding="utf-8"?>
<table xmlns="http://schemas.openxmlformats.org/spreadsheetml/2006/main" headerRowCount="0" ref="A97:A117" displayName="Table_2" name="Table_2" id="2">
  <tableColumns count="1">
    <tableColumn name="Column1" id="1"/>
  </tableColumns>
  <tableStyleInfo name="monto actualizado -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1.xml"/><Relationship Id="rId5"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hyperlink" Target="https://prensa.cba.gov.ar/gobernador/en-villa-de-soto-llaryora-anuncio-inversiones-por-3-500-millones-en-energia-electrica-y-agua-potable/" TargetMode="External"/><Relationship Id="rId22" Type="http://schemas.openxmlformats.org/officeDocument/2006/relationships/hyperlink" Target="https://prensa.cba.gov.ar/gobernador/en-villa-de-soto-llaryora-anuncio-inversiones-por-3-500-millones-en-energia-electrica-y-agua-potable/" TargetMode="External"/><Relationship Id="rId21" Type="http://schemas.openxmlformats.org/officeDocument/2006/relationships/hyperlink" Target="https://prensa.cba.gov.ar/gobernador/en-villa-de-soto-llaryora-anuncio-inversiones-por-3-500-millones-en-energia-electrica-y-agua-potable/" TargetMode="External"/><Relationship Id="rId24" Type="http://schemas.openxmlformats.org/officeDocument/2006/relationships/hyperlink" Target="https://prensa.cba.gov.ar/informacion-general/llaryora-inauguro-el-centro-civico-de-cruz-del-eje-y-anuncio-obras-por-mas-de-60-mil-millones-para-la-region/" TargetMode="External"/><Relationship Id="rId23" Type="http://schemas.openxmlformats.org/officeDocument/2006/relationships/hyperlink" Target="https://prensa.cba.gov.ar/informacion-general/llaryora-inauguro-el-centro-civico-de-cruz-del-eje-y-anuncio-obras-por-mas-de-60-mil-millones-para-la-region/" TargetMode="External"/><Relationship Id="rId1" Type="http://schemas.openxmlformats.org/officeDocument/2006/relationships/hyperlink" Target="https://prensa.cba.gov.ar/informacion-general/en-cruz-del-eje-llaryora-anuncio-una-inversion-de-3-800-millones-para-la-repavimentacion-de-la-ruta-15/" TargetMode="External"/><Relationship Id="rId2" Type="http://schemas.openxmlformats.org/officeDocument/2006/relationships/hyperlink" Target="https://prensa.cba.gov.ar/informacion-general/las-vias-ya-no-dividiran-a-laboulaye-la-provincia-construira-dos-nuevos-puentes/" TargetMode="External"/><Relationship Id="rId3" Type="http://schemas.openxmlformats.org/officeDocument/2006/relationships/hyperlink" Target="https://prensa.cba.gov.ar/gobierno/en-villa-huidobro-llaryora-anuncio-obras-de-pavimentacion-e-infraestructura-deportiva-por-mas-de-450-millones-de-pesos/" TargetMode="External"/><Relationship Id="rId4" Type="http://schemas.openxmlformats.org/officeDocument/2006/relationships/hyperlink" Target="https://prensa.cba.gov.ar/gobierno/la-provincia-inauguro-un-polideportivo-en-villa-dolores/" TargetMode="External"/><Relationship Id="rId9" Type="http://schemas.openxmlformats.org/officeDocument/2006/relationships/hyperlink" Target="https://prensa.cba.gov.ar/informacion-general/discurso-de-martin-llaryora-sesiones-legislativas/" TargetMode="External"/><Relationship Id="rId26" Type="http://schemas.openxmlformats.org/officeDocument/2006/relationships/hyperlink" Target="https://prensa.cba.gov.ar/gobernador/laboulaye-comenzo-la-construccion-de-la-sede-de-la-universidad-provincial/" TargetMode="External"/><Relationship Id="rId25" Type="http://schemas.openxmlformats.org/officeDocument/2006/relationships/hyperlink" Target="https://prensa.cba.gov.ar/informacion-general/llaryora-inauguro-el-centro-civico-de-cruz-del-eje-y-anuncio-obras-por-mas-de-60-mil-millones-para-la-region/" TargetMode="External"/><Relationship Id="rId28" Type="http://schemas.openxmlformats.org/officeDocument/2006/relationships/hyperlink" Target="https://prensa.cba.gov.ar/gobierno/la-provincia-repavimentara-la-ruta-a175-desde-cruz-del-eje-hasta-media-naranja/" TargetMode="External"/><Relationship Id="rId27" Type="http://schemas.openxmlformats.org/officeDocument/2006/relationships/hyperlink" Target="https://prensa.cba.gov.ar/gobernador/comenzo-la-construccion-de-la-sede-regional-de-la-upc-en-cruz-del-eje/" TargetMode="External"/><Relationship Id="rId5" Type="http://schemas.openxmlformats.org/officeDocument/2006/relationships/hyperlink" Target="https://prensa.cba.gov.ar/gobierno/la-provincia-ejecutara-el-acueducto-santa-elena-san-francisco-del-chanar/" TargetMode="External"/><Relationship Id="rId6" Type="http://schemas.openxmlformats.org/officeDocument/2006/relationships/hyperlink" Target="https://prensa.cba.gov.ar/gobernador/dean-funes-llaryora-anuncio-obras-viales-por-750-millones-de-pesos/" TargetMode="External"/><Relationship Id="rId29" Type="http://schemas.openxmlformats.org/officeDocument/2006/relationships/drawing" Target="../drawings/drawing11.xml"/><Relationship Id="rId7" Type="http://schemas.openxmlformats.org/officeDocument/2006/relationships/hyperlink" Target="https://prensa.cba.gov.ar/gobernador/llaryora-en-tiempos-de-crisis-es-vital-mantener-la-obra-publica-para-sostener-el-empleo/" TargetMode="External"/><Relationship Id="rId8" Type="http://schemas.openxmlformats.org/officeDocument/2006/relationships/hyperlink" Target="https://prensa.cba.gov.ar/informacion-general/en-cruz-del-eje-llaryora-anuncio-una-inversion-de-3-800-millones-para-la-repavimentacion-de-la-ruta-15/" TargetMode="External"/><Relationship Id="rId11" Type="http://schemas.openxmlformats.org/officeDocument/2006/relationships/hyperlink" Target="https://prensa.cba.gov.ar/informacion-general/en-san-carlos-minas-llaryora-anuncio-inversiones-de-la-provincia-por-mas-de-200-millones/" TargetMode="External"/><Relationship Id="rId10" Type="http://schemas.openxmlformats.org/officeDocument/2006/relationships/hyperlink" Target="https://prensa.cba.gov.ar/obra-publica/huinca-renanco-tendra-un-hospital-de-alta-complejidad/" TargetMode="External"/><Relationship Id="rId13" Type="http://schemas.openxmlformats.org/officeDocument/2006/relationships/hyperlink" Target="https://prensa.cba.gov.ar/informacion-general/las-arrias-y-san-jose-de-la-dormida-quedaron-unidas-por-asfalto/" TargetMode="External"/><Relationship Id="rId12" Type="http://schemas.openxmlformats.org/officeDocument/2006/relationships/hyperlink" Target="https://prensa.cba.gov.ar/informacion-general/en-san-carlos-minas-llaryora-anuncio-inversiones-de-la-provincia-por-mas-de-200-millones/" TargetMode="External"/><Relationship Id="rId15" Type="http://schemas.openxmlformats.org/officeDocument/2006/relationships/hyperlink" Target="https://prensa.cba.gov.ar/informacion-general/llaryora-inauguro-el-centro-civico-de-cruz-del-eje-y-anuncio-obras-por-mas-de-60-mil-millones-para-la-region/" TargetMode="External"/><Relationship Id="rId14" Type="http://schemas.openxmlformats.org/officeDocument/2006/relationships/hyperlink" Target="https://prensa.cba.gov.ar/informacion-general/llaryora-anuncio-obras-de-infraestructura-por-1-680-millones-para-el-departamento-tulumba/" TargetMode="External"/><Relationship Id="rId17" Type="http://schemas.openxmlformats.org/officeDocument/2006/relationships/hyperlink" Target="https://prensa.cba.gov.ar/informacion-general/llaryora-inauguro-el-centro-civico-de-cruz-del-eje-y-anuncio-obras-por-mas-de-60-mil-millones-para-la-region/" TargetMode="External"/><Relationship Id="rId16" Type="http://schemas.openxmlformats.org/officeDocument/2006/relationships/hyperlink" Target="https://prensa.cba.gov.ar/informacion-general/llaryora-inauguro-el-centro-civico-de-cruz-del-eje-y-anuncio-obras-por-mas-de-60-mil-millones-para-la-region/" TargetMode="External"/><Relationship Id="rId19" Type="http://schemas.openxmlformats.org/officeDocument/2006/relationships/hyperlink" Target="https://prensa.cba.gov.ar/informacion-general/llaryora-inauguro-el-centro-civico-de-cruz-del-eje-y-anuncio-obras-por-mas-de-60-mil-millones-para-la-region/" TargetMode="External"/><Relationship Id="rId18" Type="http://schemas.openxmlformats.org/officeDocument/2006/relationships/hyperlink" Target="https://prensa.cba.gov.ar/gobernador/comenzo-la-construccion-de-la-sede-regional-de-la-upc-en-cruz-del-ej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9.38"/>
    <col customWidth="1" min="3" max="3" width="7.13"/>
    <col customWidth="1" min="4" max="4" width="11.0"/>
    <col customWidth="1" min="5" max="5" width="7.63"/>
    <col customWidth="1" min="6" max="6" width="10.25"/>
    <col customWidth="1" min="7" max="7" width="35.88"/>
    <col customWidth="1" min="9" max="9" width="8.75"/>
    <col customWidth="1" min="12" max="12" width="70.88"/>
    <col customWidth="1" min="13" max="13" width="9.5"/>
    <col customWidth="1" min="14" max="14" width="33.13"/>
    <col customWidth="1" min="15" max="15" width="16.38"/>
    <col customWidth="1" min="17" max="17" width="9.88"/>
    <col customWidth="1" min="18" max="18" width="30.63"/>
    <col customWidth="1" min="19" max="19" width="25.38"/>
    <col customWidth="1" min="20" max="20" width="19.5"/>
  </cols>
  <sheetData>
    <row r="1">
      <c r="A1" s="1" t="s">
        <v>0</v>
      </c>
      <c r="B1" s="1" t="s">
        <v>1</v>
      </c>
      <c r="C1" s="1" t="s">
        <v>2</v>
      </c>
      <c r="D1" s="1" t="s">
        <v>3</v>
      </c>
      <c r="E1" s="1" t="s">
        <v>4</v>
      </c>
      <c r="F1" s="1" t="s">
        <v>5</v>
      </c>
      <c r="G1" s="1" t="s">
        <v>6</v>
      </c>
      <c r="H1" s="1" t="s">
        <v>7</v>
      </c>
      <c r="I1" s="1" t="s">
        <v>8</v>
      </c>
      <c r="J1" s="1" t="s">
        <v>9</v>
      </c>
      <c r="K1" s="1" t="s">
        <v>10</v>
      </c>
      <c r="L1" s="1" t="s">
        <v>11</v>
      </c>
      <c r="M1" s="1" t="s">
        <v>13</v>
      </c>
      <c r="N1" s="1" t="s">
        <v>14</v>
      </c>
      <c r="O1" s="1" t="s">
        <v>15</v>
      </c>
      <c r="P1" s="1" t="s">
        <v>16</v>
      </c>
      <c r="Q1" s="1" t="s">
        <v>17</v>
      </c>
      <c r="R1" s="1" t="s">
        <v>18</v>
      </c>
      <c r="S1" s="1" t="s">
        <v>19</v>
      </c>
      <c r="T1" s="3" t="s">
        <v>20</v>
      </c>
      <c r="U1" s="3" t="s">
        <v>21</v>
      </c>
    </row>
    <row r="2">
      <c r="A2" s="4"/>
      <c r="B2" s="7" t="s">
        <v>27</v>
      </c>
      <c r="C2" s="4"/>
      <c r="D2" s="4"/>
      <c r="E2" s="9"/>
      <c r="F2" s="9"/>
      <c r="G2" s="12" t="s">
        <v>31</v>
      </c>
      <c r="H2" s="16" t="s">
        <v>37</v>
      </c>
      <c r="I2" s="19" t="s">
        <v>43</v>
      </c>
      <c r="J2" s="24" t="s">
        <v>49</v>
      </c>
      <c r="K2" s="27" t="s">
        <v>54</v>
      </c>
      <c r="L2" s="29" t="s">
        <v>60</v>
      </c>
      <c r="M2" s="32"/>
      <c r="N2" s="36" t="s">
        <v>74</v>
      </c>
      <c r="O2" s="38">
        <v>2.727272727E7</v>
      </c>
      <c r="P2" s="4"/>
      <c r="Q2" s="4"/>
      <c r="R2" s="4"/>
      <c r="S2" s="19" t="s">
        <v>88</v>
      </c>
      <c r="T2" s="12" t="s">
        <v>89</v>
      </c>
      <c r="U2" s="12" t="s">
        <v>92</v>
      </c>
    </row>
    <row r="3">
      <c r="A3" s="4"/>
      <c r="B3" s="7" t="s">
        <v>27</v>
      </c>
      <c r="C3" s="4"/>
      <c r="D3" s="4"/>
      <c r="E3" s="4"/>
      <c r="F3" s="4"/>
      <c r="G3" s="12" t="s">
        <v>31</v>
      </c>
      <c r="H3" s="16" t="s">
        <v>105</v>
      </c>
      <c r="I3" s="19" t="s">
        <v>43</v>
      </c>
      <c r="J3" s="24" t="s">
        <v>49</v>
      </c>
      <c r="K3" s="27" t="s">
        <v>54</v>
      </c>
      <c r="L3" s="29" t="s">
        <v>111</v>
      </c>
      <c r="M3" s="32"/>
      <c r="N3" s="36" t="s">
        <v>74</v>
      </c>
      <c r="O3" s="38">
        <v>1.818181818E7</v>
      </c>
      <c r="P3" s="4"/>
      <c r="Q3" s="4"/>
      <c r="R3" s="4"/>
      <c r="S3" s="40" t="s">
        <v>88</v>
      </c>
      <c r="T3" s="12" t="s">
        <v>121</v>
      </c>
      <c r="U3" s="12" t="s">
        <v>92</v>
      </c>
    </row>
    <row r="4">
      <c r="A4" s="4"/>
      <c r="B4" s="7" t="s">
        <v>27</v>
      </c>
      <c r="C4" s="4"/>
      <c r="D4" s="4"/>
      <c r="E4" s="4"/>
      <c r="F4" s="4"/>
      <c r="G4" s="12" t="s">
        <v>128</v>
      </c>
      <c r="H4" s="16" t="s">
        <v>130</v>
      </c>
      <c r="I4" s="19" t="s">
        <v>43</v>
      </c>
      <c r="J4" s="24" t="s">
        <v>49</v>
      </c>
      <c r="K4" s="27" t="s">
        <v>54</v>
      </c>
      <c r="L4" s="42" t="s">
        <v>135</v>
      </c>
      <c r="M4" s="32"/>
      <c r="N4" s="36" t="s">
        <v>74</v>
      </c>
      <c r="O4" s="38">
        <v>1.181818182E7</v>
      </c>
      <c r="P4" s="4"/>
      <c r="Q4" s="4"/>
      <c r="R4" s="4"/>
      <c r="S4" s="19" t="s">
        <v>143</v>
      </c>
      <c r="T4" s="12" t="s">
        <v>145</v>
      </c>
      <c r="U4" s="12" t="s">
        <v>147</v>
      </c>
    </row>
    <row r="5">
      <c r="A5" s="4"/>
      <c r="B5" s="7" t="s">
        <v>27</v>
      </c>
      <c r="C5" s="4"/>
      <c r="D5" s="4"/>
      <c r="E5" s="9"/>
      <c r="F5" s="9"/>
      <c r="G5" s="12" t="s">
        <v>84</v>
      </c>
      <c r="H5" s="16" t="s">
        <v>130</v>
      </c>
      <c r="I5" s="19" t="s">
        <v>43</v>
      </c>
      <c r="J5" s="24" t="s">
        <v>49</v>
      </c>
      <c r="K5" s="27" t="s">
        <v>54</v>
      </c>
      <c r="L5" s="42" t="s">
        <v>158</v>
      </c>
      <c r="M5" s="32"/>
      <c r="N5" s="36" t="s">
        <v>74</v>
      </c>
      <c r="O5" s="38">
        <v>1.545454545E7</v>
      </c>
      <c r="P5" s="4"/>
      <c r="Q5" s="4"/>
      <c r="R5" s="4"/>
      <c r="S5" s="19" t="s">
        <v>143</v>
      </c>
      <c r="T5" s="12" t="s">
        <v>145</v>
      </c>
      <c r="U5" s="12" t="s">
        <v>147</v>
      </c>
    </row>
    <row r="6">
      <c r="A6" s="4"/>
      <c r="B6" s="7" t="s">
        <v>27</v>
      </c>
      <c r="C6" s="4"/>
      <c r="D6" s="4"/>
      <c r="E6" s="4"/>
      <c r="F6" s="4"/>
      <c r="G6" s="12" t="s">
        <v>84</v>
      </c>
      <c r="H6" s="16" t="s">
        <v>130</v>
      </c>
      <c r="I6" s="19" t="s">
        <v>43</v>
      </c>
      <c r="J6" s="24" t="s">
        <v>49</v>
      </c>
      <c r="K6" s="27" t="s">
        <v>54</v>
      </c>
      <c r="L6" s="42" t="s">
        <v>169</v>
      </c>
      <c r="M6" s="32"/>
      <c r="N6" s="36" t="s">
        <v>74</v>
      </c>
      <c r="O6" s="38">
        <v>1.636363636E7</v>
      </c>
      <c r="P6" s="4"/>
      <c r="Q6" s="4"/>
      <c r="R6" s="4"/>
      <c r="S6" s="19" t="s">
        <v>143</v>
      </c>
      <c r="T6" s="12" t="s">
        <v>145</v>
      </c>
      <c r="U6" s="12" t="s">
        <v>147</v>
      </c>
    </row>
    <row r="7">
      <c r="A7" s="4"/>
      <c r="B7" s="7" t="s">
        <v>27</v>
      </c>
      <c r="C7" s="4"/>
      <c r="D7" s="4"/>
      <c r="E7" s="4"/>
      <c r="F7" s="4"/>
      <c r="G7" s="12" t="s">
        <v>101</v>
      </c>
      <c r="H7" s="16" t="s">
        <v>130</v>
      </c>
      <c r="I7" s="19" t="s">
        <v>43</v>
      </c>
      <c r="J7" s="24" t="s">
        <v>49</v>
      </c>
      <c r="K7" s="27" t="s">
        <v>54</v>
      </c>
      <c r="L7" s="42" t="s">
        <v>181</v>
      </c>
      <c r="M7" s="32"/>
      <c r="N7" s="36" t="s">
        <v>74</v>
      </c>
      <c r="O7" s="38">
        <v>1.818181818E7</v>
      </c>
      <c r="P7" s="4"/>
      <c r="Q7" s="4"/>
      <c r="R7" s="4"/>
      <c r="S7" s="19" t="s">
        <v>143</v>
      </c>
      <c r="T7" s="12" t="s">
        <v>145</v>
      </c>
      <c r="U7" s="12" t="s">
        <v>147</v>
      </c>
    </row>
    <row r="8">
      <c r="A8" s="4"/>
      <c r="B8" s="7" t="s">
        <v>27</v>
      </c>
      <c r="C8" s="4"/>
      <c r="D8" s="4"/>
      <c r="E8" s="4"/>
      <c r="F8" s="4"/>
      <c r="G8" s="12" t="s">
        <v>140</v>
      </c>
      <c r="H8" s="16" t="s">
        <v>130</v>
      </c>
      <c r="I8" s="19" t="s">
        <v>43</v>
      </c>
      <c r="J8" s="24" t="s">
        <v>49</v>
      </c>
      <c r="K8" s="27" t="s">
        <v>54</v>
      </c>
      <c r="L8" s="42" t="s">
        <v>190</v>
      </c>
      <c r="M8" s="32"/>
      <c r="N8" s="36" t="s">
        <v>74</v>
      </c>
      <c r="O8" s="38">
        <v>3.636363636E7</v>
      </c>
      <c r="P8" s="4"/>
      <c r="Q8" s="4"/>
      <c r="R8" s="4"/>
      <c r="S8" s="19" t="s">
        <v>143</v>
      </c>
      <c r="T8" s="12" t="s">
        <v>145</v>
      </c>
      <c r="U8" s="12" t="s">
        <v>147</v>
      </c>
    </row>
    <row r="9">
      <c r="A9" s="4"/>
      <c r="B9" s="7" t="s">
        <v>27</v>
      </c>
      <c r="C9" s="4"/>
      <c r="D9" s="4"/>
      <c r="E9" s="4"/>
      <c r="F9" s="4"/>
      <c r="G9" s="12" t="s">
        <v>197</v>
      </c>
      <c r="H9" s="16" t="s">
        <v>130</v>
      </c>
      <c r="I9" s="19" t="s">
        <v>43</v>
      </c>
      <c r="J9" s="24" t="s">
        <v>49</v>
      </c>
      <c r="K9" s="27" t="s">
        <v>54</v>
      </c>
      <c r="L9" s="42" t="s">
        <v>204</v>
      </c>
      <c r="M9" s="32"/>
      <c r="N9" s="36" t="s">
        <v>74</v>
      </c>
      <c r="O9" s="38">
        <v>8.181818182E7</v>
      </c>
      <c r="P9" s="4"/>
      <c r="Q9" s="4"/>
      <c r="R9" s="4"/>
      <c r="S9" s="19" t="s">
        <v>143</v>
      </c>
      <c r="T9" s="12" t="s">
        <v>145</v>
      </c>
      <c r="U9" s="12" t="s">
        <v>147</v>
      </c>
    </row>
    <row r="10">
      <c r="A10" s="4"/>
      <c r="B10" s="7" t="s">
        <v>27</v>
      </c>
      <c r="C10" s="4"/>
      <c r="D10" s="4"/>
      <c r="E10" s="4"/>
      <c r="F10" s="4"/>
      <c r="G10" s="12" t="s">
        <v>197</v>
      </c>
      <c r="H10" s="16" t="s">
        <v>130</v>
      </c>
      <c r="I10" s="19" t="s">
        <v>43</v>
      </c>
      <c r="J10" s="24" t="s">
        <v>49</v>
      </c>
      <c r="K10" s="27" t="s">
        <v>54</v>
      </c>
      <c r="L10" s="42" t="s">
        <v>217</v>
      </c>
      <c r="M10" s="32"/>
      <c r="N10" s="36" t="s">
        <v>74</v>
      </c>
      <c r="O10" s="38">
        <v>4.545454545E7</v>
      </c>
      <c r="P10" s="4"/>
      <c r="Q10" s="4"/>
      <c r="R10" s="4"/>
      <c r="S10" s="19" t="s">
        <v>143</v>
      </c>
      <c r="T10" s="12" t="s">
        <v>145</v>
      </c>
      <c r="U10" s="12" t="s">
        <v>147</v>
      </c>
    </row>
    <row r="11">
      <c r="A11" s="4"/>
      <c r="B11" s="7" t="s">
        <v>27</v>
      </c>
      <c r="C11" s="4"/>
      <c r="D11" s="4"/>
      <c r="E11" s="4"/>
      <c r="F11" s="4"/>
      <c r="G11" s="12" t="s">
        <v>78</v>
      </c>
      <c r="H11" s="16" t="s">
        <v>130</v>
      </c>
      <c r="I11" s="19" t="s">
        <v>43</v>
      </c>
      <c r="J11" s="24" t="s">
        <v>49</v>
      </c>
      <c r="K11" s="27" t="s">
        <v>54</v>
      </c>
      <c r="L11" s="42" t="s">
        <v>229</v>
      </c>
      <c r="M11" s="32"/>
      <c r="N11" s="36" t="s">
        <v>74</v>
      </c>
      <c r="O11" s="38">
        <v>1.818181818E7</v>
      </c>
      <c r="P11" s="4"/>
      <c r="Q11" s="4"/>
      <c r="R11" s="4"/>
      <c r="S11" s="19" t="s">
        <v>143</v>
      </c>
      <c r="T11" s="12" t="s">
        <v>145</v>
      </c>
      <c r="U11" s="12" t="s">
        <v>147</v>
      </c>
    </row>
    <row r="12">
      <c r="A12" s="4"/>
      <c r="B12" s="7" t="s">
        <v>27</v>
      </c>
      <c r="C12" s="4"/>
      <c r="D12" s="4"/>
      <c r="E12" s="4"/>
      <c r="F12" s="4"/>
      <c r="G12" s="12" t="s">
        <v>78</v>
      </c>
      <c r="H12" s="16" t="s">
        <v>130</v>
      </c>
      <c r="I12" s="19" t="s">
        <v>43</v>
      </c>
      <c r="J12" s="24" t="s">
        <v>49</v>
      </c>
      <c r="K12" s="27" t="s">
        <v>54</v>
      </c>
      <c r="L12" s="42" t="s">
        <v>243</v>
      </c>
      <c r="M12" s="32"/>
      <c r="N12" s="36" t="s">
        <v>74</v>
      </c>
      <c r="O12" s="38">
        <v>6.5E7</v>
      </c>
      <c r="P12" s="4"/>
      <c r="Q12" s="4"/>
      <c r="R12" s="4"/>
      <c r="S12" s="19" t="s">
        <v>143</v>
      </c>
      <c r="T12" s="12" t="s">
        <v>145</v>
      </c>
      <c r="U12" s="12" t="s">
        <v>147</v>
      </c>
    </row>
    <row r="13">
      <c r="O13" s="53"/>
    </row>
    <row r="14">
      <c r="O14" s="53"/>
    </row>
    <row r="15" ht="67.5" customHeight="1">
      <c r="A15" s="54"/>
      <c r="B15" s="7" t="s">
        <v>27</v>
      </c>
      <c r="C15" s="7"/>
      <c r="D15" s="7"/>
      <c r="E15" s="55">
        <v>43070.0</v>
      </c>
      <c r="F15" s="56">
        <v>45327.0</v>
      </c>
      <c r="G15" s="12" t="s">
        <v>270</v>
      </c>
      <c r="H15" s="16" t="s">
        <v>273</v>
      </c>
      <c r="I15" s="12" t="s">
        <v>274</v>
      </c>
      <c r="J15" s="24" t="s">
        <v>49</v>
      </c>
      <c r="K15" s="27" t="s">
        <v>54</v>
      </c>
      <c r="L15" s="57" t="s">
        <v>281</v>
      </c>
      <c r="M15" s="12"/>
      <c r="N15" s="58" t="s">
        <v>86</v>
      </c>
      <c r="O15" s="59">
        <v>3.254159178E7</v>
      </c>
      <c r="P15" s="36"/>
      <c r="Q15" s="12"/>
      <c r="R15" s="12"/>
      <c r="S15" s="19" t="s">
        <v>294</v>
      </c>
      <c r="T15" s="12">
        <v>2505.0</v>
      </c>
      <c r="U15" s="60" t="s">
        <v>92</v>
      </c>
      <c r="V15" s="27" t="s">
        <v>298</v>
      </c>
      <c r="W15" s="27" t="str">
        <f>VLOOKUP(L15,'MATRIZ (NO TOMAR)'!D:H,5,0)</f>
        <v>#N/A</v>
      </c>
      <c r="X15" s="61" t="s">
        <v>334</v>
      </c>
      <c r="Y15" s="61" t="s">
        <v>337</v>
      </c>
      <c r="Z15" s="62"/>
      <c r="AA15" s="62"/>
      <c r="AB15" s="62"/>
      <c r="AC15" s="62"/>
      <c r="AD15" s="62"/>
      <c r="AE15" s="62"/>
      <c r="AF15" s="62"/>
      <c r="AG15" s="62"/>
      <c r="AH15" s="62"/>
      <c r="AI15" s="62"/>
      <c r="AJ15" s="62"/>
      <c r="AK15" s="62"/>
    </row>
  </sheetData>
  <customSheetViews>
    <customSheetView guid="{BF72E0F3-C1A8-49D3-8E83-BB80A4E9A325}" filter="1" showAutoFilter="1">
      <autoFilter ref="$A$1:$Z$12"/>
    </customSheetView>
  </customSheetViews>
  <dataValidations>
    <dataValidation type="list" allowBlank="1" showErrorMessage="1" sqref="G15">
      <formula1>Desplegables!$A$2:$A$23</formula1>
    </dataValidation>
    <dataValidation type="list" allowBlank="1" showErrorMessage="1" sqref="H2:H12 H15">
      <formula1>Desplegables!$B$2:$B$438</formula1>
    </dataValidation>
    <dataValidation type="list" allowBlank="1" showErrorMessage="1" sqref="B2:B12 B15">
      <formula1>"Si,No"</formula1>
    </dataValidation>
    <dataValidation type="list" allowBlank="1" showErrorMessage="1" sqref="G2:G12">
      <formula1>Desplegables!$A$2:$A$29</formula1>
    </dataValidation>
    <dataValidation type="list" allowBlank="1" showErrorMessage="1" sqref="J2:J12 J15">
      <formula1>Desplegables!$E$2:$E$8</formula1>
    </dataValidation>
    <dataValidation type="list" allowBlank="1" showErrorMessage="1" sqref="K2:K12 K15">
      <formula1>Desplegables!$F$2:$F$6</formula1>
    </dataValidation>
    <dataValidation type="list" allowBlank="1" showErrorMessage="1" sqref="N2:N12 N15">
      <formula1>Desplegables!$G$2:$G$10</formula1>
    </dataValidation>
    <dataValidation type="list" allowBlank="1" showErrorMessage="1" sqref="X15">
      <formula1>"SI,NO"</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2.5"/>
    <col customWidth="1" min="2" max="2" width="19.13"/>
    <col customWidth="1" min="3" max="3" width="23.0"/>
    <col customWidth="1" min="4" max="4" width="22.38"/>
    <col customWidth="1" min="5" max="5" width="12.88"/>
    <col customWidth="1" min="6" max="6" width="14.88"/>
    <col customWidth="1" min="7" max="7" width="15.13"/>
    <col customWidth="1" min="8" max="8" width="46.5"/>
    <col customWidth="1" min="9" max="9" width="35.5"/>
    <col customWidth="1" min="10" max="10" width="15.88"/>
    <col customWidth="1" min="11" max="11" width="15.5"/>
    <col customWidth="1" min="12" max="12" width="22.13"/>
    <col customWidth="1" min="13" max="13" width="12.75"/>
    <col customWidth="1" min="14" max="15" width="16.13"/>
  </cols>
  <sheetData>
    <row r="1">
      <c r="A1" s="2" t="s">
        <v>12</v>
      </c>
      <c r="B1" s="2" t="s">
        <v>6</v>
      </c>
      <c r="C1" s="2" t="s">
        <v>7</v>
      </c>
      <c r="D1" s="2" t="s">
        <v>8</v>
      </c>
      <c r="E1" s="2" t="s">
        <v>9</v>
      </c>
      <c r="F1" s="2"/>
      <c r="G1" s="1" t="s">
        <v>22</v>
      </c>
      <c r="H1" s="2" t="s">
        <v>11</v>
      </c>
      <c r="I1" s="2" t="s">
        <v>13</v>
      </c>
      <c r="J1" s="2" t="s">
        <v>14</v>
      </c>
      <c r="K1" s="5" t="s">
        <v>23</v>
      </c>
      <c r="L1" s="2" t="s">
        <v>18</v>
      </c>
      <c r="M1" s="5" t="s">
        <v>24</v>
      </c>
      <c r="N1" s="6" t="s">
        <v>25</v>
      </c>
      <c r="O1" s="6" t="s">
        <v>26</v>
      </c>
    </row>
    <row r="2">
      <c r="A2" s="8">
        <v>45526.0</v>
      </c>
      <c r="B2" s="13" t="s">
        <v>32</v>
      </c>
      <c r="C2" s="15" t="s">
        <v>38</v>
      </c>
      <c r="D2" s="15" t="s">
        <v>41</v>
      </c>
      <c r="E2" s="15" t="s">
        <v>42</v>
      </c>
      <c r="F2" s="15" t="s">
        <v>44</v>
      </c>
      <c r="G2" s="13"/>
      <c r="H2" s="13" t="s">
        <v>45</v>
      </c>
      <c r="I2" s="23"/>
      <c r="J2" s="28" t="s">
        <v>56</v>
      </c>
      <c r="K2" s="31">
        <v>3.6973695E7</v>
      </c>
      <c r="L2" s="28" t="s">
        <v>66</v>
      </c>
      <c r="M2" s="21">
        <v>409164.0</v>
      </c>
      <c r="N2" s="34" t="s">
        <v>69</v>
      </c>
      <c r="O2" s="34"/>
    </row>
    <row r="3">
      <c r="A3" s="39">
        <v>45616.0</v>
      </c>
      <c r="B3" s="13" t="s">
        <v>32</v>
      </c>
      <c r="C3" s="15" t="s">
        <v>103</v>
      </c>
      <c r="D3" s="15" t="s">
        <v>41</v>
      </c>
      <c r="E3" s="15" t="s">
        <v>42</v>
      </c>
      <c r="F3" s="15" t="s">
        <v>44</v>
      </c>
      <c r="G3" s="13"/>
      <c r="H3" s="13" t="s">
        <v>45</v>
      </c>
      <c r="I3" s="23"/>
      <c r="J3" s="28" t="s">
        <v>56</v>
      </c>
      <c r="K3" s="31">
        <v>3.69E7</v>
      </c>
      <c r="L3" s="28" t="s">
        <v>66</v>
      </c>
      <c r="M3" s="21">
        <v>406700.0</v>
      </c>
      <c r="N3" s="34" t="s">
        <v>69</v>
      </c>
      <c r="O3" s="34"/>
    </row>
    <row r="4">
      <c r="A4" s="8">
        <v>45414.0</v>
      </c>
      <c r="B4" s="13" t="s">
        <v>32</v>
      </c>
      <c r="C4" s="15" t="s">
        <v>124</v>
      </c>
      <c r="D4" s="15" t="s">
        <v>41</v>
      </c>
      <c r="E4" s="15" t="s">
        <v>42</v>
      </c>
      <c r="F4" s="15" t="s">
        <v>44</v>
      </c>
      <c r="G4" s="13"/>
      <c r="H4" s="13" t="s">
        <v>127</v>
      </c>
      <c r="I4" s="23"/>
      <c r="J4" s="28" t="s">
        <v>56</v>
      </c>
      <c r="K4" s="31">
        <v>1.923467433E7</v>
      </c>
      <c r="L4" s="28" t="s">
        <v>66</v>
      </c>
      <c r="M4" s="21">
        <v>270900.0</v>
      </c>
      <c r="N4" s="34" t="s">
        <v>69</v>
      </c>
      <c r="O4" s="34"/>
    </row>
    <row r="5">
      <c r="A5" s="8">
        <v>45897.0</v>
      </c>
      <c r="B5" s="13" t="s">
        <v>32</v>
      </c>
      <c r="C5" s="15" t="s">
        <v>124</v>
      </c>
      <c r="D5" s="15" t="s">
        <v>41</v>
      </c>
      <c r="E5" s="15" t="s">
        <v>42</v>
      </c>
      <c r="F5" s="15" t="s">
        <v>44</v>
      </c>
      <c r="G5" s="13"/>
      <c r="H5" s="13" t="s">
        <v>138</v>
      </c>
      <c r="I5" s="23"/>
      <c r="J5" s="28" t="s">
        <v>141</v>
      </c>
      <c r="K5" s="31">
        <v>6.184724668E7</v>
      </c>
      <c r="L5" s="28" t="s">
        <v>144</v>
      </c>
      <c r="M5" s="21">
        <v>41930.0</v>
      </c>
      <c r="N5" s="34" t="s">
        <v>69</v>
      </c>
      <c r="O5" s="34"/>
    </row>
    <row r="6">
      <c r="A6" s="39">
        <v>45610.0</v>
      </c>
      <c r="B6" s="13" t="s">
        <v>32</v>
      </c>
      <c r="C6" s="15" t="s">
        <v>151</v>
      </c>
      <c r="D6" s="15" t="s">
        <v>41</v>
      </c>
      <c r="E6" s="15" t="s">
        <v>42</v>
      </c>
      <c r="F6" s="15" t="s">
        <v>44</v>
      </c>
      <c r="G6" s="13"/>
      <c r="H6" s="13" t="s">
        <v>155</v>
      </c>
      <c r="I6" s="23"/>
      <c r="J6" s="28" t="s">
        <v>56</v>
      </c>
      <c r="K6" s="44"/>
      <c r="L6" s="28" t="s">
        <v>66</v>
      </c>
      <c r="M6" s="21">
        <v>21000.0</v>
      </c>
      <c r="N6" s="34" t="s">
        <v>69</v>
      </c>
      <c r="O6" s="34"/>
    </row>
    <row r="7">
      <c r="A7" s="8">
        <v>46073.0</v>
      </c>
      <c r="B7" s="13" t="s">
        <v>32</v>
      </c>
      <c r="C7" s="15" t="s">
        <v>163</v>
      </c>
      <c r="D7" s="15" t="s">
        <v>41</v>
      </c>
      <c r="E7" s="15" t="s">
        <v>42</v>
      </c>
      <c r="F7" s="15" t="s">
        <v>44</v>
      </c>
      <c r="G7" s="13"/>
      <c r="H7" s="13" t="s">
        <v>166</v>
      </c>
      <c r="I7" s="23"/>
      <c r="J7" s="28" t="s">
        <v>141</v>
      </c>
      <c r="K7" s="31">
        <v>4.0934233763E8</v>
      </c>
      <c r="L7" s="47"/>
      <c r="M7" s="21">
        <v>298462.5</v>
      </c>
      <c r="N7" s="34" t="s">
        <v>69</v>
      </c>
      <c r="O7" s="34"/>
    </row>
    <row r="8">
      <c r="A8" s="8">
        <v>45922.0</v>
      </c>
      <c r="B8" s="13" t="s">
        <v>32</v>
      </c>
      <c r="C8" s="15" t="s">
        <v>179</v>
      </c>
      <c r="D8" s="15" t="s">
        <v>41</v>
      </c>
      <c r="E8" s="15" t="s">
        <v>42</v>
      </c>
      <c r="F8" s="15" t="s">
        <v>44</v>
      </c>
      <c r="G8" s="13"/>
      <c r="H8" s="13" t="s">
        <v>183</v>
      </c>
      <c r="I8" s="23"/>
      <c r="J8" s="28" t="s">
        <v>56</v>
      </c>
      <c r="K8" s="31">
        <v>4.2933870686E8</v>
      </c>
      <c r="L8" s="28" t="s">
        <v>66</v>
      </c>
      <c r="M8" s="21">
        <v>577850.0</v>
      </c>
      <c r="N8" s="34" t="s">
        <v>69</v>
      </c>
      <c r="O8" s="34"/>
    </row>
    <row r="9">
      <c r="A9" s="8">
        <v>46142.0</v>
      </c>
      <c r="B9" s="13" t="s">
        <v>32</v>
      </c>
      <c r="C9" s="15" t="s">
        <v>103</v>
      </c>
      <c r="D9" s="15" t="s">
        <v>41</v>
      </c>
      <c r="E9" s="15" t="s">
        <v>42</v>
      </c>
      <c r="F9" s="15" t="s">
        <v>44</v>
      </c>
      <c r="G9" s="13"/>
      <c r="H9" s="13" t="s">
        <v>185</v>
      </c>
      <c r="I9" s="23"/>
      <c r="J9" s="28" t="s">
        <v>187</v>
      </c>
      <c r="K9" s="31">
        <v>4.0E8</v>
      </c>
      <c r="L9" s="28" t="s">
        <v>189</v>
      </c>
      <c r="M9" s="21">
        <v>273000.0</v>
      </c>
      <c r="N9" s="34" t="s">
        <v>69</v>
      </c>
      <c r="O9" s="34"/>
    </row>
    <row r="10">
      <c r="A10" s="8">
        <v>45526.0</v>
      </c>
      <c r="B10" s="13" t="s">
        <v>32</v>
      </c>
      <c r="C10" s="15" t="s">
        <v>38</v>
      </c>
      <c r="D10" s="15" t="s">
        <v>41</v>
      </c>
      <c r="E10" s="15" t="s">
        <v>42</v>
      </c>
      <c r="F10" s="15" t="s">
        <v>48</v>
      </c>
      <c r="G10" s="13"/>
      <c r="H10" s="13" t="s">
        <v>199</v>
      </c>
      <c r="I10" s="50" t="s">
        <v>201</v>
      </c>
      <c r="J10" s="28" t="s">
        <v>56</v>
      </c>
      <c r="K10" s="31">
        <v>2800220.0</v>
      </c>
      <c r="L10" s="28" t="s">
        <v>66</v>
      </c>
      <c r="M10" s="21">
        <v>23580.8</v>
      </c>
      <c r="N10" s="34" t="s">
        <v>69</v>
      </c>
      <c r="O10" s="34"/>
    </row>
    <row r="11">
      <c r="A11" s="8">
        <v>46189.0</v>
      </c>
      <c r="B11" s="13" t="s">
        <v>32</v>
      </c>
      <c r="C11" s="15" t="s">
        <v>151</v>
      </c>
      <c r="D11" s="15" t="s">
        <v>41</v>
      </c>
      <c r="E11" s="15" t="s">
        <v>42</v>
      </c>
      <c r="F11" s="15" t="s">
        <v>44</v>
      </c>
      <c r="G11" s="13"/>
      <c r="H11" s="13" t="s">
        <v>213</v>
      </c>
      <c r="I11" s="23"/>
      <c r="J11" s="28" t="s">
        <v>141</v>
      </c>
      <c r="K11" s="51">
        <v>2.9368063E7</v>
      </c>
      <c r="L11" s="47"/>
      <c r="M11" s="21">
        <v>592475.1</v>
      </c>
      <c r="N11" s="52"/>
      <c r="O11" s="52"/>
    </row>
    <row r="12">
      <c r="A12" s="8">
        <v>45962.0</v>
      </c>
      <c r="B12" s="13" t="s">
        <v>65</v>
      </c>
      <c r="C12" s="15" t="s">
        <v>67</v>
      </c>
      <c r="D12" s="15" t="s">
        <v>41</v>
      </c>
      <c r="E12" s="15" t="s">
        <v>42</v>
      </c>
      <c r="F12" s="15" t="s">
        <v>48</v>
      </c>
      <c r="G12" s="13"/>
      <c r="H12" s="13" t="s">
        <v>228</v>
      </c>
      <c r="I12" s="50" t="s">
        <v>231</v>
      </c>
      <c r="J12" s="28" t="s">
        <v>56</v>
      </c>
      <c r="K12" s="31">
        <v>1.000903E7</v>
      </c>
      <c r="L12" s="28" t="s">
        <v>66</v>
      </c>
      <c r="M12" s="21">
        <v>10150.63</v>
      </c>
      <c r="N12" s="34"/>
      <c r="O12" s="34"/>
    </row>
    <row r="13">
      <c r="A13" s="8">
        <v>45962.0</v>
      </c>
      <c r="B13" s="13" t="s">
        <v>65</v>
      </c>
      <c r="C13" s="15" t="s">
        <v>67</v>
      </c>
      <c r="D13" s="15" t="s">
        <v>41</v>
      </c>
      <c r="E13" s="15" t="s">
        <v>42</v>
      </c>
      <c r="F13" s="15" t="s">
        <v>48</v>
      </c>
      <c r="G13" s="13"/>
      <c r="H13" s="13" t="s">
        <v>239</v>
      </c>
      <c r="I13" s="50" t="s">
        <v>240</v>
      </c>
      <c r="J13" s="28" t="s">
        <v>56</v>
      </c>
      <c r="K13" s="31">
        <v>1.2997E7</v>
      </c>
      <c r="L13" s="28" t="s">
        <v>244</v>
      </c>
      <c r="M13" s="21">
        <v>22800.34</v>
      </c>
      <c r="N13" s="34" t="s">
        <v>69</v>
      </c>
      <c r="O13" s="34"/>
    </row>
    <row r="14">
      <c r="A14" s="8">
        <v>45913.0</v>
      </c>
      <c r="B14" s="13" t="s">
        <v>65</v>
      </c>
      <c r="C14" s="15" t="s">
        <v>247</v>
      </c>
      <c r="D14" s="15" t="s">
        <v>41</v>
      </c>
      <c r="E14" s="15" t="s">
        <v>42</v>
      </c>
      <c r="F14" s="15" t="s">
        <v>48</v>
      </c>
      <c r="G14" s="13"/>
      <c r="H14" s="13" t="s">
        <v>249</v>
      </c>
      <c r="I14" s="50" t="s">
        <v>251</v>
      </c>
      <c r="J14" s="28" t="s">
        <v>141</v>
      </c>
      <c r="K14" s="31">
        <v>2.1348E7</v>
      </c>
      <c r="L14" s="28" t="s">
        <v>253</v>
      </c>
      <c r="M14" s="21">
        <v>16688.24</v>
      </c>
      <c r="N14" s="34" t="s">
        <v>69</v>
      </c>
      <c r="O14" s="34"/>
    </row>
    <row r="15">
      <c r="A15" s="39">
        <v>45274.0</v>
      </c>
      <c r="B15" s="13" t="s">
        <v>65</v>
      </c>
      <c r="C15" s="15" t="s">
        <v>247</v>
      </c>
      <c r="D15" s="15" t="s">
        <v>41</v>
      </c>
      <c r="E15" s="15" t="s">
        <v>42</v>
      </c>
      <c r="F15" s="15" t="s">
        <v>44</v>
      </c>
      <c r="G15" s="13"/>
      <c r="H15" s="13" t="s">
        <v>45</v>
      </c>
      <c r="I15" s="23"/>
      <c r="J15" s="28" t="s">
        <v>56</v>
      </c>
      <c r="K15" s="31">
        <v>4300000.0</v>
      </c>
      <c r="L15" s="28" t="s">
        <v>66</v>
      </c>
      <c r="M15" s="21">
        <v>18200.0</v>
      </c>
      <c r="N15" s="34" t="s">
        <v>69</v>
      </c>
      <c r="O15" s="34"/>
    </row>
    <row r="16">
      <c r="A16" s="39">
        <v>46017.0</v>
      </c>
      <c r="B16" s="13" t="s">
        <v>65</v>
      </c>
      <c r="C16" s="15" t="s">
        <v>265</v>
      </c>
      <c r="D16" s="15" t="s">
        <v>41</v>
      </c>
      <c r="E16" s="15" t="s">
        <v>42</v>
      </c>
      <c r="F16" s="15" t="s">
        <v>44</v>
      </c>
      <c r="G16" s="13"/>
      <c r="H16" s="13" t="s">
        <v>267</v>
      </c>
      <c r="I16" s="23"/>
      <c r="J16" s="28" t="s">
        <v>141</v>
      </c>
      <c r="K16" s="31">
        <v>1.644E8</v>
      </c>
      <c r="L16" s="28" t="s">
        <v>271</v>
      </c>
      <c r="M16" s="21">
        <v>278600.0</v>
      </c>
      <c r="N16" s="34" t="s">
        <v>69</v>
      </c>
      <c r="O16" s="34"/>
    </row>
    <row r="17">
      <c r="A17" s="8"/>
      <c r="B17" s="13" t="s">
        <v>65</v>
      </c>
      <c r="C17" s="15" t="s">
        <v>277</v>
      </c>
      <c r="D17" s="15" t="s">
        <v>41</v>
      </c>
      <c r="E17" s="15" t="s">
        <v>42</v>
      </c>
      <c r="F17" s="15" t="s">
        <v>44</v>
      </c>
      <c r="G17" s="13"/>
      <c r="H17" s="13" t="s">
        <v>280</v>
      </c>
      <c r="I17" s="50"/>
      <c r="J17" s="28" t="s">
        <v>56</v>
      </c>
      <c r="K17" s="31">
        <v>1.015628238E7</v>
      </c>
      <c r="L17" s="28" t="s">
        <v>283</v>
      </c>
      <c r="M17" s="21">
        <v>196000.0</v>
      </c>
      <c r="N17" s="34" t="s">
        <v>69</v>
      </c>
      <c r="O17" s="34"/>
    </row>
    <row r="18">
      <c r="A18" s="8">
        <v>46100.0</v>
      </c>
      <c r="B18" s="13" t="s">
        <v>65</v>
      </c>
      <c r="C18" s="15" t="s">
        <v>288</v>
      </c>
      <c r="D18" s="15" t="s">
        <v>41</v>
      </c>
      <c r="E18" s="15" t="s">
        <v>42</v>
      </c>
      <c r="F18" s="15" t="s">
        <v>48</v>
      </c>
      <c r="G18" s="13"/>
      <c r="H18" s="13" t="s">
        <v>291</v>
      </c>
      <c r="I18" s="50" t="s">
        <v>293</v>
      </c>
      <c r="J18" s="28" t="s">
        <v>56</v>
      </c>
      <c r="K18" s="31">
        <v>4100000.0</v>
      </c>
      <c r="L18" s="28" t="s">
        <v>283</v>
      </c>
      <c r="M18" s="21">
        <v>4016.65</v>
      </c>
      <c r="N18" s="34" t="s">
        <v>69</v>
      </c>
      <c r="O18" s="34"/>
    </row>
    <row r="19">
      <c r="A19" s="8">
        <v>46224.0</v>
      </c>
      <c r="B19" s="13" t="s">
        <v>65</v>
      </c>
      <c r="C19" s="15" t="s">
        <v>300</v>
      </c>
      <c r="D19" s="15" t="s">
        <v>41</v>
      </c>
      <c r="E19" s="15" t="s">
        <v>42</v>
      </c>
      <c r="F19" s="15" t="s">
        <v>48</v>
      </c>
      <c r="G19" s="13"/>
      <c r="H19" s="13" t="s">
        <v>303</v>
      </c>
      <c r="I19" s="50" t="s">
        <v>305</v>
      </c>
      <c r="J19" s="28" t="s">
        <v>141</v>
      </c>
      <c r="K19" s="31">
        <v>7.9236E7</v>
      </c>
      <c r="L19" s="28" t="s">
        <v>144</v>
      </c>
      <c r="M19" s="21">
        <v>57044.95</v>
      </c>
      <c r="N19" s="34" t="s">
        <v>69</v>
      </c>
      <c r="O19" s="34"/>
    </row>
    <row r="20">
      <c r="A20" s="8">
        <v>46135.0</v>
      </c>
      <c r="B20" s="13" t="s">
        <v>65</v>
      </c>
      <c r="C20" s="15" t="s">
        <v>311</v>
      </c>
      <c r="D20" s="15" t="s">
        <v>41</v>
      </c>
      <c r="E20" s="15" t="s">
        <v>42</v>
      </c>
      <c r="F20" s="15" t="s">
        <v>48</v>
      </c>
      <c r="G20" s="13"/>
      <c r="H20" s="13" t="s">
        <v>313</v>
      </c>
      <c r="I20" s="50" t="s">
        <v>314</v>
      </c>
      <c r="J20" s="28" t="s">
        <v>141</v>
      </c>
      <c r="K20" s="31">
        <v>3.3955E7</v>
      </c>
      <c r="L20" s="28"/>
      <c r="M20" s="21">
        <v>24445.47</v>
      </c>
      <c r="N20" s="34" t="s">
        <v>69</v>
      </c>
      <c r="O20" s="34"/>
    </row>
    <row r="21">
      <c r="A21" s="8">
        <v>46136.0</v>
      </c>
      <c r="B21" s="13" t="s">
        <v>65</v>
      </c>
      <c r="C21" s="15" t="s">
        <v>319</v>
      </c>
      <c r="D21" s="15" t="s">
        <v>41</v>
      </c>
      <c r="E21" s="15" t="s">
        <v>42</v>
      </c>
      <c r="F21" s="15" t="s">
        <v>48</v>
      </c>
      <c r="G21" s="13"/>
      <c r="H21" s="13" t="s">
        <v>303</v>
      </c>
      <c r="I21" s="50" t="s">
        <v>322</v>
      </c>
      <c r="J21" s="28" t="s">
        <v>141</v>
      </c>
      <c r="K21" s="31">
        <v>1.14478214E8</v>
      </c>
      <c r="L21" s="28" t="s">
        <v>144</v>
      </c>
      <c r="M21" s="21">
        <v>82417.13</v>
      </c>
      <c r="N21" s="34" t="s">
        <v>69</v>
      </c>
      <c r="O21" s="34"/>
    </row>
    <row r="22">
      <c r="A22" s="8">
        <v>46142.0</v>
      </c>
      <c r="B22" s="13" t="s">
        <v>65</v>
      </c>
      <c r="C22" s="15" t="s">
        <v>332</v>
      </c>
      <c r="D22" s="15" t="s">
        <v>41</v>
      </c>
      <c r="E22" s="15" t="s">
        <v>42</v>
      </c>
      <c r="F22" s="15" t="s">
        <v>44</v>
      </c>
      <c r="G22" s="13"/>
      <c r="H22" s="13" t="s">
        <v>338</v>
      </c>
      <c r="I22" s="23"/>
      <c r="J22" s="28" t="s">
        <v>187</v>
      </c>
      <c r="K22" s="31">
        <v>6.74805E8</v>
      </c>
      <c r="L22" s="28" t="s">
        <v>189</v>
      </c>
      <c r="M22" s="21">
        <v>449365.0</v>
      </c>
      <c r="N22" s="34" t="s">
        <v>69</v>
      </c>
      <c r="O22" s="34"/>
    </row>
    <row r="23">
      <c r="A23" s="8">
        <v>45825.0</v>
      </c>
      <c r="B23" s="13" t="s">
        <v>65</v>
      </c>
      <c r="C23" s="15" t="s">
        <v>247</v>
      </c>
      <c r="D23" s="15" t="s">
        <v>41</v>
      </c>
      <c r="E23" s="15" t="s">
        <v>42</v>
      </c>
      <c r="F23" s="15" t="s">
        <v>48</v>
      </c>
      <c r="G23" s="13"/>
      <c r="H23" s="13" t="s">
        <v>348</v>
      </c>
      <c r="I23" s="50" t="s">
        <v>349</v>
      </c>
      <c r="J23" s="28" t="s">
        <v>56</v>
      </c>
      <c r="K23" s="31">
        <v>6671000.0</v>
      </c>
      <c r="L23" s="28" t="s">
        <v>66</v>
      </c>
      <c r="M23" s="21">
        <v>39412.74</v>
      </c>
      <c r="N23" s="34" t="s">
        <v>69</v>
      </c>
      <c r="O23" s="34"/>
    </row>
    <row r="24">
      <c r="A24" s="8">
        <v>45931.0</v>
      </c>
      <c r="B24" s="13" t="s">
        <v>65</v>
      </c>
      <c r="C24" s="15" t="s">
        <v>288</v>
      </c>
      <c r="D24" s="15" t="s">
        <v>41</v>
      </c>
      <c r="E24" s="15" t="s">
        <v>42</v>
      </c>
      <c r="F24" s="15" t="s">
        <v>48</v>
      </c>
      <c r="G24" s="13"/>
      <c r="H24" s="13" t="s">
        <v>353</v>
      </c>
      <c r="I24" s="50" t="s">
        <v>355</v>
      </c>
      <c r="J24" s="28" t="s">
        <v>56</v>
      </c>
      <c r="K24" s="31">
        <v>1.617E7</v>
      </c>
      <c r="L24" s="28" t="s">
        <v>66</v>
      </c>
      <c r="M24" s="21">
        <v>15841.29</v>
      </c>
      <c r="N24" s="34" t="s">
        <v>69</v>
      </c>
      <c r="O24" s="34"/>
    </row>
    <row r="25">
      <c r="A25" s="8">
        <v>46087.0</v>
      </c>
      <c r="B25" s="13" t="s">
        <v>65</v>
      </c>
      <c r="C25" s="15" t="s">
        <v>288</v>
      </c>
      <c r="D25" s="15" t="s">
        <v>41</v>
      </c>
      <c r="E25" s="15" t="s">
        <v>42</v>
      </c>
      <c r="F25" s="15" t="s">
        <v>48</v>
      </c>
      <c r="G25" s="13"/>
      <c r="H25" s="13" t="s">
        <v>228</v>
      </c>
      <c r="I25" s="50" t="s">
        <v>362</v>
      </c>
      <c r="J25" s="28" t="s">
        <v>56</v>
      </c>
      <c r="K25" s="31">
        <v>1.16E7</v>
      </c>
      <c r="L25" s="28" t="s">
        <v>66</v>
      </c>
      <c r="M25" s="21">
        <v>11364.19</v>
      </c>
      <c r="N25" s="34" t="s">
        <v>69</v>
      </c>
      <c r="O25" s="34"/>
    </row>
    <row r="26">
      <c r="A26" s="8">
        <v>46134.0</v>
      </c>
      <c r="B26" s="13" t="s">
        <v>39</v>
      </c>
      <c r="C26" s="15" t="s">
        <v>39</v>
      </c>
      <c r="D26" s="15" t="s">
        <v>41</v>
      </c>
      <c r="E26" s="15" t="s">
        <v>42</v>
      </c>
      <c r="F26" s="15" t="s">
        <v>48</v>
      </c>
      <c r="G26" s="13"/>
      <c r="H26" s="13" t="s">
        <v>369</v>
      </c>
      <c r="I26" s="50" t="s">
        <v>371</v>
      </c>
      <c r="J26" s="28" t="s">
        <v>141</v>
      </c>
      <c r="K26" s="31">
        <v>1.12313064E8</v>
      </c>
      <c r="L26" s="28"/>
      <c r="M26" s="21">
        <v>80858.36</v>
      </c>
      <c r="N26" s="34" t="s">
        <v>69</v>
      </c>
      <c r="O26" s="34"/>
    </row>
    <row r="27">
      <c r="A27" s="8">
        <v>46000.0</v>
      </c>
      <c r="B27" s="13" t="s">
        <v>31</v>
      </c>
      <c r="C27" s="15" t="s">
        <v>208</v>
      </c>
      <c r="D27" s="15" t="s">
        <v>41</v>
      </c>
      <c r="E27" s="15" t="s">
        <v>42</v>
      </c>
      <c r="F27" s="15" t="s">
        <v>44</v>
      </c>
      <c r="G27" s="13"/>
      <c r="H27" s="13" t="s">
        <v>381</v>
      </c>
      <c r="I27" s="23"/>
      <c r="J27" s="28" t="s">
        <v>56</v>
      </c>
      <c r="K27" s="31">
        <v>1.852E8</v>
      </c>
      <c r="L27" s="28" t="s">
        <v>283</v>
      </c>
      <c r="M27" s="43">
        <v>144900.0</v>
      </c>
      <c r="N27" s="34" t="s">
        <v>69</v>
      </c>
      <c r="O27" s="34"/>
    </row>
    <row r="28">
      <c r="A28" s="39">
        <v>46219.0</v>
      </c>
      <c r="B28" s="13" t="s">
        <v>31</v>
      </c>
      <c r="C28" s="15" t="s">
        <v>364</v>
      </c>
      <c r="D28" s="15" t="s">
        <v>41</v>
      </c>
      <c r="E28" s="15" t="s">
        <v>42</v>
      </c>
      <c r="F28" s="15" t="s">
        <v>48</v>
      </c>
      <c r="G28" s="13"/>
      <c r="H28" s="13" t="s">
        <v>395</v>
      </c>
      <c r="I28" s="50" t="s">
        <v>397</v>
      </c>
      <c r="J28" s="28" t="s">
        <v>56</v>
      </c>
      <c r="K28" s="31">
        <v>9300440.0</v>
      </c>
      <c r="L28" s="28" t="s">
        <v>283</v>
      </c>
      <c r="M28" s="45">
        <v>7517.457053506404</v>
      </c>
      <c r="N28" s="34" t="s">
        <v>69</v>
      </c>
      <c r="O28" s="34"/>
    </row>
    <row r="29">
      <c r="A29" s="39">
        <v>46013.0</v>
      </c>
      <c r="B29" s="13" t="s">
        <v>31</v>
      </c>
      <c r="C29" s="15" t="s">
        <v>364</v>
      </c>
      <c r="D29" s="15" t="s">
        <v>41</v>
      </c>
      <c r="E29" s="15" t="s">
        <v>42</v>
      </c>
      <c r="F29" s="15" t="s">
        <v>48</v>
      </c>
      <c r="G29" s="50"/>
      <c r="H29" s="50" t="s">
        <v>411</v>
      </c>
      <c r="I29" s="50" t="s">
        <v>413</v>
      </c>
      <c r="J29" s="28" t="s">
        <v>141</v>
      </c>
      <c r="K29" s="31">
        <v>1.67718E7</v>
      </c>
      <c r="L29" s="28"/>
      <c r="M29" s="45">
        <v>20771.16</v>
      </c>
      <c r="N29" s="34" t="s">
        <v>69</v>
      </c>
      <c r="O29" s="34"/>
    </row>
    <row r="30">
      <c r="A30" s="39">
        <v>46106.0</v>
      </c>
      <c r="B30" s="13" t="s">
        <v>31</v>
      </c>
      <c r="C30" s="15" t="s">
        <v>364</v>
      </c>
      <c r="D30" s="15" t="s">
        <v>41</v>
      </c>
      <c r="E30" s="15" t="s">
        <v>42</v>
      </c>
      <c r="F30" s="15" t="s">
        <v>44</v>
      </c>
      <c r="G30" s="50"/>
      <c r="H30" s="50" t="s">
        <v>421</v>
      </c>
      <c r="I30" s="50"/>
      <c r="J30" s="28" t="s">
        <v>141</v>
      </c>
      <c r="K30" s="31">
        <v>3.6674947504E8</v>
      </c>
      <c r="L30" s="28" t="s">
        <v>253</v>
      </c>
      <c r="M30" s="45">
        <v>405860.0</v>
      </c>
      <c r="N30" s="34" t="s">
        <v>69</v>
      </c>
      <c r="O30" s="34"/>
    </row>
    <row r="31">
      <c r="A31" s="8">
        <v>46091.0</v>
      </c>
      <c r="B31" s="13" t="s">
        <v>31</v>
      </c>
      <c r="C31" s="15" t="s">
        <v>366</v>
      </c>
      <c r="D31" s="15" t="s">
        <v>41</v>
      </c>
      <c r="E31" s="15" t="s">
        <v>42</v>
      </c>
      <c r="F31" s="15" t="s">
        <v>48</v>
      </c>
      <c r="G31" s="13"/>
      <c r="H31" s="13" t="s">
        <v>431</v>
      </c>
      <c r="I31" s="70" t="s">
        <v>434</v>
      </c>
      <c r="J31" s="28" t="s">
        <v>56</v>
      </c>
      <c r="K31" s="31">
        <v>3.3186986E7</v>
      </c>
      <c r="L31" s="28" t="s">
        <v>283</v>
      </c>
      <c r="M31" s="45">
        <v>27521.54</v>
      </c>
      <c r="N31" s="34" t="s">
        <v>69</v>
      </c>
      <c r="O31" s="34"/>
    </row>
    <row r="32">
      <c r="A32" s="8">
        <v>46099.0</v>
      </c>
      <c r="B32" s="13" t="s">
        <v>31</v>
      </c>
      <c r="C32" s="15" t="s">
        <v>366</v>
      </c>
      <c r="D32" s="15" t="s">
        <v>41</v>
      </c>
      <c r="E32" s="15" t="s">
        <v>42</v>
      </c>
      <c r="F32" s="15" t="s">
        <v>48</v>
      </c>
      <c r="G32" s="13"/>
      <c r="H32" s="13" t="s">
        <v>446</v>
      </c>
      <c r="I32" s="70" t="s">
        <v>447</v>
      </c>
      <c r="J32" s="28" t="s">
        <v>141</v>
      </c>
      <c r="K32" s="31">
        <v>1.2335501E7</v>
      </c>
      <c r="L32" s="28" t="s">
        <v>253</v>
      </c>
      <c r="M32" s="45">
        <v>10229.671892557562</v>
      </c>
      <c r="N32" s="34" t="s">
        <v>69</v>
      </c>
      <c r="O32" s="34"/>
    </row>
    <row r="33">
      <c r="A33" s="8">
        <v>45383.0</v>
      </c>
      <c r="B33" s="13" t="s">
        <v>31</v>
      </c>
      <c r="C33" s="15" t="s">
        <v>366</v>
      </c>
      <c r="D33" s="15" t="s">
        <v>41</v>
      </c>
      <c r="E33" s="15" t="s">
        <v>42</v>
      </c>
      <c r="F33" s="15" t="s">
        <v>44</v>
      </c>
      <c r="G33" s="13"/>
      <c r="H33" s="13" t="s">
        <v>460</v>
      </c>
      <c r="I33" s="23"/>
      <c r="J33" s="28" t="s">
        <v>56</v>
      </c>
      <c r="K33" s="31">
        <v>2.515798944E7</v>
      </c>
      <c r="L33" s="28" t="s">
        <v>66</v>
      </c>
      <c r="M33" s="48">
        <v>259504.0</v>
      </c>
      <c r="N33" s="34" t="s">
        <v>69</v>
      </c>
      <c r="O33" s="34"/>
    </row>
    <row r="34">
      <c r="A34" s="39">
        <v>45833.0</v>
      </c>
      <c r="B34" s="13" t="s">
        <v>31</v>
      </c>
      <c r="C34" s="15" t="s">
        <v>472</v>
      </c>
      <c r="D34" s="15" t="s">
        <v>41</v>
      </c>
      <c r="E34" s="15" t="s">
        <v>42</v>
      </c>
      <c r="F34" s="15" t="s">
        <v>44</v>
      </c>
      <c r="G34" s="13"/>
      <c r="H34" s="13" t="s">
        <v>460</v>
      </c>
      <c r="I34" s="23"/>
      <c r="J34" s="28" t="s">
        <v>56</v>
      </c>
      <c r="K34" s="31">
        <v>1.865862758E7</v>
      </c>
      <c r="L34" s="28" t="s">
        <v>66</v>
      </c>
      <c r="M34" s="49">
        <v>185010.0</v>
      </c>
      <c r="N34" s="34" t="s">
        <v>69</v>
      </c>
      <c r="O34" s="34"/>
    </row>
    <row r="35">
      <c r="A35" s="39">
        <v>45834.0</v>
      </c>
      <c r="B35" s="13" t="s">
        <v>31</v>
      </c>
      <c r="C35" s="15" t="s">
        <v>377</v>
      </c>
      <c r="D35" s="15" t="s">
        <v>41</v>
      </c>
      <c r="E35" s="15" t="s">
        <v>42</v>
      </c>
      <c r="F35" s="15" t="s">
        <v>44</v>
      </c>
      <c r="G35" s="13"/>
      <c r="H35" s="13" t="s">
        <v>460</v>
      </c>
      <c r="I35" s="23"/>
      <c r="J35" s="28" t="s">
        <v>56</v>
      </c>
      <c r="K35" s="31">
        <v>1.159638E7</v>
      </c>
      <c r="L35" s="28" t="s">
        <v>66</v>
      </c>
      <c r="M35" s="49">
        <v>102203.5</v>
      </c>
      <c r="N35" s="34" t="s">
        <v>69</v>
      </c>
      <c r="O35" s="34"/>
    </row>
    <row r="36">
      <c r="A36" s="39">
        <v>45457.0</v>
      </c>
      <c r="B36" s="13" t="s">
        <v>31</v>
      </c>
      <c r="C36" s="15" t="s">
        <v>105</v>
      </c>
      <c r="D36" s="15" t="s">
        <v>41</v>
      </c>
      <c r="E36" s="15" t="s">
        <v>42</v>
      </c>
      <c r="F36" s="15" t="s">
        <v>44</v>
      </c>
      <c r="G36" s="13"/>
      <c r="H36" s="13" t="s">
        <v>460</v>
      </c>
      <c r="I36" s="23"/>
      <c r="J36" s="28" t="s">
        <v>56</v>
      </c>
      <c r="K36" s="31">
        <v>1.5785E7</v>
      </c>
      <c r="L36" s="28" t="s">
        <v>66</v>
      </c>
      <c r="M36" s="49">
        <v>143500.0</v>
      </c>
      <c r="N36" s="34" t="s">
        <v>69</v>
      </c>
      <c r="O36" s="34"/>
    </row>
    <row r="37">
      <c r="A37" s="39">
        <v>46122.0</v>
      </c>
      <c r="B37" s="13" t="s">
        <v>31</v>
      </c>
      <c r="C37" s="15" t="s">
        <v>105</v>
      </c>
      <c r="D37" s="15" t="s">
        <v>41</v>
      </c>
      <c r="E37" s="15" t="s">
        <v>42</v>
      </c>
      <c r="F37" s="15" t="s">
        <v>44</v>
      </c>
      <c r="G37" s="13"/>
      <c r="H37" s="13" t="s">
        <v>381</v>
      </c>
      <c r="I37" s="23"/>
      <c r="J37" s="28" t="s">
        <v>56</v>
      </c>
      <c r="K37" s="31">
        <v>1.3175E8</v>
      </c>
      <c r="L37" s="28" t="s">
        <v>283</v>
      </c>
      <c r="M37" s="49">
        <v>108500.0</v>
      </c>
      <c r="N37" s="34" t="s">
        <v>69</v>
      </c>
      <c r="O37" s="34"/>
    </row>
    <row r="38">
      <c r="A38" s="39">
        <v>45744.0</v>
      </c>
      <c r="B38" s="13" t="s">
        <v>31</v>
      </c>
      <c r="C38" s="15" t="s">
        <v>380</v>
      </c>
      <c r="D38" s="15" t="s">
        <v>41</v>
      </c>
      <c r="E38" s="15" t="s">
        <v>42</v>
      </c>
      <c r="F38" s="15" t="s">
        <v>44</v>
      </c>
      <c r="G38" s="13"/>
      <c r="H38" s="13" t="s">
        <v>460</v>
      </c>
      <c r="I38" s="23"/>
      <c r="J38" s="28" t="s">
        <v>56</v>
      </c>
      <c r="K38" s="31">
        <v>9624933.0</v>
      </c>
      <c r="L38" s="28" t="s">
        <v>66</v>
      </c>
      <c r="M38" s="49">
        <v>82110.0</v>
      </c>
      <c r="N38" s="34" t="s">
        <v>69</v>
      </c>
      <c r="O38" s="34"/>
    </row>
    <row r="39">
      <c r="A39" s="39">
        <v>45943.0</v>
      </c>
      <c r="B39" s="13" t="s">
        <v>31</v>
      </c>
      <c r="C39" s="15" t="s">
        <v>382</v>
      </c>
      <c r="D39" s="15" t="s">
        <v>41</v>
      </c>
      <c r="E39" s="15" t="s">
        <v>42</v>
      </c>
      <c r="F39" s="15" t="s">
        <v>44</v>
      </c>
      <c r="G39" s="13"/>
      <c r="H39" s="13" t="s">
        <v>512</v>
      </c>
      <c r="I39" s="72"/>
      <c r="J39" s="28" t="s">
        <v>141</v>
      </c>
      <c r="K39" s="31">
        <v>3.950371168E8</v>
      </c>
      <c r="L39" s="28" t="s">
        <v>253</v>
      </c>
      <c r="M39" s="49">
        <v>425600.0</v>
      </c>
      <c r="N39" s="34" t="s">
        <v>69</v>
      </c>
      <c r="O39" s="34"/>
    </row>
    <row r="40">
      <c r="A40" s="8">
        <v>46268.0</v>
      </c>
      <c r="B40" s="13" t="s">
        <v>31</v>
      </c>
      <c r="C40" s="15" t="s">
        <v>373</v>
      </c>
      <c r="D40" s="15" t="s">
        <v>41</v>
      </c>
      <c r="E40" s="15" t="s">
        <v>42</v>
      </c>
      <c r="F40" s="15" t="s">
        <v>44</v>
      </c>
      <c r="G40" s="13"/>
      <c r="H40" s="13" t="s">
        <v>520</v>
      </c>
      <c r="I40" s="23"/>
      <c r="J40" s="28" t="s">
        <v>141</v>
      </c>
      <c r="K40" s="31">
        <v>2.0E8</v>
      </c>
      <c r="L40" s="28"/>
      <c r="M40" s="21">
        <v>128100.0</v>
      </c>
      <c r="N40" s="34" t="s">
        <v>69</v>
      </c>
      <c r="O40" s="34"/>
    </row>
    <row r="41">
      <c r="A41" s="8">
        <v>45597.0</v>
      </c>
      <c r="B41" s="13" t="s">
        <v>31</v>
      </c>
      <c r="C41" s="15" t="s">
        <v>366</v>
      </c>
      <c r="D41" s="15" t="s">
        <v>41</v>
      </c>
      <c r="E41" s="15" t="s">
        <v>42</v>
      </c>
      <c r="F41" s="15" t="s">
        <v>48</v>
      </c>
      <c r="G41" s="13"/>
      <c r="H41" s="13" t="s">
        <v>524</v>
      </c>
      <c r="I41" s="50" t="s">
        <v>525</v>
      </c>
      <c r="J41" s="28" t="s">
        <v>56</v>
      </c>
      <c r="K41" s="31">
        <v>3735875.0</v>
      </c>
      <c r="L41" s="28" t="s">
        <v>66</v>
      </c>
      <c r="M41" s="21">
        <v>35576.76</v>
      </c>
      <c r="N41" s="34" t="s">
        <v>69</v>
      </c>
      <c r="O41" s="34"/>
    </row>
    <row r="42">
      <c r="A42" s="39">
        <v>45833.0</v>
      </c>
      <c r="B42" s="13" t="s">
        <v>31</v>
      </c>
      <c r="C42" s="15" t="s">
        <v>472</v>
      </c>
      <c r="D42" s="15" t="s">
        <v>41</v>
      </c>
      <c r="E42" s="15" t="s">
        <v>42</v>
      </c>
      <c r="F42" s="15" t="s">
        <v>48</v>
      </c>
      <c r="G42" s="13"/>
      <c r="H42" s="13" t="s">
        <v>530</v>
      </c>
      <c r="I42" s="70" t="s">
        <v>531</v>
      </c>
      <c r="J42" s="28" t="s">
        <v>56</v>
      </c>
      <c r="K42" s="31">
        <v>2550000.0</v>
      </c>
      <c r="L42" s="28" t="s">
        <v>66</v>
      </c>
      <c r="M42" s="21">
        <v>14280.11</v>
      </c>
      <c r="N42" s="34" t="s">
        <v>69</v>
      </c>
      <c r="O42" s="34"/>
    </row>
    <row r="43">
      <c r="A43" s="39">
        <v>45879.0</v>
      </c>
      <c r="B43" s="13" t="s">
        <v>31</v>
      </c>
      <c r="C43" s="15" t="s">
        <v>377</v>
      </c>
      <c r="D43" s="15" t="s">
        <v>41</v>
      </c>
      <c r="E43" s="15" t="s">
        <v>42</v>
      </c>
      <c r="F43" s="15" t="s">
        <v>48</v>
      </c>
      <c r="G43" s="13"/>
      <c r="H43" s="13" t="s">
        <v>537</v>
      </c>
      <c r="I43" s="70" t="s">
        <v>538</v>
      </c>
      <c r="J43" s="28" t="s">
        <v>56</v>
      </c>
      <c r="K43" s="31">
        <v>1700000.0</v>
      </c>
      <c r="L43" s="28" t="s">
        <v>66</v>
      </c>
      <c r="M43" s="48">
        <v>9892.347977887694</v>
      </c>
      <c r="N43" s="34" t="s">
        <v>69</v>
      </c>
      <c r="O43" s="34"/>
    </row>
    <row r="44">
      <c r="A44" s="39">
        <v>45834.0</v>
      </c>
      <c r="B44" s="13" t="s">
        <v>31</v>
      </c>
      <c r="C44" s="15" t="s">
        <v>105</v>
      </c>
      <c r="D44" s="15" t="s">
        <v>41</v>
      </c>
      <c r="E44" s="15" t="s">
        <v>42</v>
      </c>
      <c r="F44" s="15" t="s">
        <v>48</v>
      </c>
      <c r="G44" s="73"/>
      <c r="H44" s="73" t="s">
        <v>545</v>
      </c>
      <c r="I44" s="50" t="s">
        <v>546</v>
      </c>
      <c r="J44" s="28" t="s">
        <v>56</v>
      </c>
      <c r="K44" s="31">
        <v>1950000.0</v>
      </c>
      <c r="L44" s="28" t="s">
        <v>66</v>
      </c>
      <c r="M44" s="21">
        <v>10920.09</v>
      </c>
      <c r="N44" s="34" t="s">
        <v>69</v>
      </c>
      <c r="O44" s="34"/>
    </row>
    <row r="45">
      <c r="A45" s="39">
        <v>45744.0</v>
      </c>
      <c r="B45" s="13" t="s">
        <v>31</v>
      </c>
      <c r="C45" s="15" t="s">
        <v>380</v>
      </c>
      <c r="D45" s="15" t="s">
        <v>41</v>
      </c>
      <c r="E45" s="15" t="s">
        <v>42</v>
      </c>
      <c r="F45" s="15" t="s">
        <v>48</v>
      </c>
      <c r="G45" s="13"/>
      <c r="H45" s="13" t="s">
        <v>537</v>
      </c>
      <c r="I45" s="50" t="s">
        <v>549</v>
      </c>
      <c r="J45" s="28" t="s">
        <v>56</v>
      </c>
      <c r="K45" s="31">
        <v>1700000.0</v>
      </c>
      <c r="L45" s="28" t="s">
        <v>66</v>
      </c>
      <c r="M45" s="45">
        <v>8109.913176223643</v>
      </c>
      <c r="N45" s="34" t="s">
        <v>69</v>
      </c>
      <c r="O45" s="34"/>
    </row>
    <row r="46">
      <c r="A46" s="39">
        <v>46001.0</v>
      </c>
      <c r="B46" s="13" t="s">
        <v>82</v>
      </c>
      <c r="C46" s="15" t="s">
        <v>502</v>
      </c>
      <c r="D46" s="15" t="s">
        <v>41</v>
      </c>
      <c r="E46" s="15" t="s">
        <v>42</v>
      </c>
      <c r="F46" s="15" t="s">
        <v>48</v>
      </c>
      <c r="G46" s="13"/>
      <c r="H46" s="13" t="s">
        <v>239</v>
      </c>
      <c r="I46" s="50"/>
      <c r="J46" s="28" t="s">
        <v>56</v>
      </c>
      <c r="K46" s="31">
        <v>1.67E7</v>
      </c>
      <c r="L46" s="28" t="s">
        <v>244</v>
      </c>
      <c r="M46" s="21">
        <v>25150.85</v>
      </c>
      <c r="N46" s="34" t="s">
        <v>69</v>
      </c>
      <c r="O46" s="34"/>
    </row>
    <row r="47">
      <c r="A47" s="39">
        <v>45652.0</v>
      </c>
      <c r="B47" s="13" t="s">
        <v>82</v>
      </c>
      <c r="C47" s="15" t="s">
        <v>502</v>
      </c>
      <c r="D47" s="15" t="s">
        <v>41</v>
      </c>
      <c r="E47" s="15" t="s">
        <v>42</v>
      </c>
      <c r="F47" s="15" t="s">
        <v>48</v>
      </c>
      <c r="G47" s="13"/>
      <c r="H47" s="13" t="s">
        <v>558</v>
      </c>
      <c r="I47" s="50" t="s">
        <v>559</v>
      </c>
      <c r="J47" s="28" t="s">
        <v>141</v>
      </c>
      <c r="K47" s="31">
        <v>8100000.0</v>
      </c>
      <c r="L47" s="28" t="s">
        <v>253</v>
      </c>
      <c r="M47" s="49">
        <v>8214.59</v>
      </c>
      <c r="N47" s="34" t="s">
        <v>69</v>
      </c>
      <c r="O47" s="34"/>
    </row>
    <row r="48">
      <c r="A48" s="39">
        <v>45937.0</v>
      </c>
      <c r="B48" s="13" t="s">
        <v>82</v>
      </c>
      <c r="C48" s="15" t="s">
        <v>502</v>
      </c>
      <c r="D48" s="15" t="s">
        <v>41</v>
      </c>
      <c r="E48" s="15" t="s">
        <v>42</v>
      </c>
      <c r="F48" s="15" t="s">
        <v>44</v>
      </c>
      <c r="G48" s="13"/>
      <c r="H48" s="13" t="s">
        <v>563</v>
      </c>
      <c r="I48" s="50"/>
      <c r="J48" s="28" t="s">
        <v>56</v>
      </c>
      <c r="K48" s="31">
        <v>2.037415363E8</v>
      </c>
      <c r="L48" s="28" t="s">
        <v>244</v>
      </c>
      <c r="M48" s="49">
        <v>270200.0</v>
      </c>
      <c r="N48" s="34" t="s">
        <v>69</v>
      </c>
      <c r="O48" s="34"/>
    </row>
    <row r="49">
      <c r="A49" s="8">
        <v>46233.0</v>
      </c>
      <c r="B49" s="13" t="s">
        <v>82</v>
      </c>
      <c r="C49" s="15" t="s">
        <v>289</v>
      </c>
      <c r="D49" s="15" t="s">
        <v>41</v>
      </c>
      <c r="E49" s="15" t="s">
        <v>42</v>
      </c>
      <c r="F49" s="15" t="s">
        <v>44</v>
      </c>
      <c r="G49" s="13"/>
      <c r="H49" s="13" t="s">
        <v>567</v>
      </c>
      <c r="I49" s="23"/>
      <c r="J49" s="28" t="s">
        <v>141</v>
      </c>
      <c r="K49" s="31">
        <v>1.1774E8</v>
      </c>
      <c r="L49" s="28" t="s">
        <v>144</v>
      </c>
      <c r="M49" s="21">
        <v>91703.5</v>
      </c>
      <c r="N49" s="34" t="s">
        <v>69</v>
      </c>
      <c r="O49" s="34"/>
    </row>
    <row r="50">
      <c r="A50" s="8">
        <v>46268.0</v>
      </c>
      <c r="B50" s="13" t="s">
        <v>82</v>
      </c>
      <c r="C50" s="15" t="s">
        <v>156</v>
      </c>
      <c r="D50" s="15" t="s">
        <v>41</v>
      </c>
      <c r="E50" s="15" t="s">
        <v>42</v>
      </c>
      <c r="F50" s="15" t="s">
        <v>44</v>
      </c>
      <c r="G50" s="13"/>
      <c r="H50" s="13" t="s">
        <v>574</v>
      </c>
      <c r="I50" s="23"/>
      <c r="J50" s="28" t="s">
        <v>141</v>
      </c>
      <c r="K50" s="31">
        <v>3.5694E7</v>
      </c>
      <c r="L50" s="28"/>
      <c r="M50" s="21">
        <v>40250.0</v>
      </c>
      <c r="N50" s="34" t="s">
        <v>69</v>
      </c>
      <c r="O50" s="34"/>
    </row>
    <row r="51">
      <c r="A51" s="8">
        <v>46142.0</v>
      </c>
      <c r="B51" s="13" t="s">
        <v>82</v>
      </c>
      <c r="C51" s="15" t="s">
        <v>576</v>
      </c>
      <c r="D51" s="15" t="s">
        <v>41</v>
      </c>
      <c r="E51" s="15" t="s">
        <v>42</v>
      </c>
      <c r="F51" s="15" t="s">
        <v>44</v>
      </c>
      <c r="G51" s="13"/>
      <c r="H51" s="13" t="s">
        <v>578</v>
      </c>
      <c r="I51" s="23"/>
      <c r="J51" s="28" t="s">
        <v>187</v>
      </c>
      <c r="K51" s="31">
        <v>8.0E7</v>
      </c>
      <c r="L51" s="28" t="s">
        <v>189</v>
      </c>
      <c r="M51" s="21">
        <v>57594.98</v>
      </c>
      <c r="N51" s="34" t="s">
        <v>69</v>
      </c>
      <c r="O51" s="34"/>
    </row>
    <row r="52">
      <c r="A52" s="39">
        <v>45283.0</v>
      </c>
      <c r="B52" s="13" t="s">
        <v>61</v>
      </c>
      <c r="C52" s="15" t="s">
        <v>139</v>
      </c>
      <c r="D52" s="15" t="s">
        <v>41</v>
      </c>
      <c r="E52" s="15" t="s">
        <v>42</v>
      </c>
      <c r="F52" s="15" t="s">
        <v>48</v>
      </c>
      <c r="G52" s="74"/>
      <c r="H52" s="74" t="s">
        <v>353</v>
      </c>
      <c r="I52" s="50" t="s">
        <v>588</v>
      </c>
      <c r="J52" s="28" t="s">
        <v>56</v>
      </c>
      <c r="K52" s="31">
        <v>2340000.0</v>
      </c>
      <c r="L52" s="28" t="s">
        <v>66</v>
      </c>
      <c r="M52" s="21">
        <v>16090.81</v>
      </c>
      <c r="N52" s="34" t="s">
        <v>69</v>
      </c>
      <c r="O52" s="34"/>
    </row>
    <row r="53">
      <c r="A53" s="8">
        <v>46232.0</v>
      </c>
      <c r="B53" s="13" t="s">
        <v>82</v>
      </c>
      <c r="C53" s="15" t="s">
        <v>159</v>
      </c>
      <c r="D53" s="15" t="s">
        <v>41</v>
      </c>
      <c r="E53" s="15" t="s">
        <v>42</v>
      </c>
      <c r="F53" s="15" t="s">
        <v>44</v>
      </c>
      <c r="G53" s="13"/>
      <c r="H53" s="13" t="s">
        <v>592</v>
      </c>
      <c r="I53" s="23"/>
      <c r="J53" s="28" t="s">
        <v>141</v>
      </c>
      <c r="K53" s="31">
        <v>8353186.6</v>
      </c>
      <c r="L53" s="28" t="s">
        <v>253</v>
      </c>
      <c r="M53" s="21">
        <v>150850.0</v>
      </c>
      <c r="N53" s="52"/>
      <c r="O53" s="52"/>
    </row>
    <row r="54">
      <c r="A54" s="8">
        <v>45894.0</v>
      </c>
      <c r="B54" s="13" t="s">
        <v>61</v>
      </c>
      <c r="C54" s="15" t="s">
        <v>167</v>
      </c>
      <c r="D54" s="15" t="s">
        <v>41</v>
      </c>
      <c r="E54" s="15" t="s">
        <v>42</v>
      </c>
      <c r="F54" s="15" t="s">
        <v>48</v>
      </c>
      <c r="G54" s="13"/>
      <c r="H54" s="13" t="s">
        <v>395</v>
      </c>
      <c r="I54" s="50" t="s">
        <v>598</v>
      </c>
      <c r="J54" s="28" t="s">
        <v>56</v>
      </c>
      <c r="K54" s="31">
        <v>1925000.0</v>
      </c>
      <c r="L54" s="28" t="s">
        <v>244</v>
      </c>
      <c r="M54" s="21">
        <v>9864.71</v>
      </c>
      <c r="N54" s="34" t="s">
        <v>69</v>
      </c>
      <c r="O54" s="34"/>
    </row>
    <row r="55">
      <c r="A55" s="8">
        <v>46108.0</v>
      </c>
      <c r="B55" s="13" t="s">
        <v>61</v>
      </c>
      <c r="C55" s="15" t="s">
        <v>167</v>
      </c>
      <c r="D55" s="15" t="s">
        <v>41</v>
      </c>
      <c r="E55" s="15" t="s">
        <v>42</v>
      </c>
      <c r="F55" s="15" t="s">
        <v>48</v>
      </c>
      <c r="G55" s="13"/>
      <c r="H55" s="13" t="s">
        <v>313</v>
      </c>
      <c r="I55" s="50" t="s">
        <v>602</v>
      </c>
      <c r="J55" s="28" t="s">
        <v>56</v>
      </c>
      <c r="K55" s="31">
        <v>915000.0</v>
      </c>
      <c r="L55" s="28" t="s">
        <v>283</v>
      </c>
      <c r="M55" s="21">
        <v>4688.94</v>
      </c>
      <c r="N55" s="34" t="s">
        <v>69</v>
      </c>
      <c r="O55" s="34"/>
    </row>
    <row r="56">
      <c r="A56" s="8">
        <v>46134.0</v>
      </c>
      <c r="B56" s="13" t="s">
        <v>61</v>
      </c>
      <c r="C56" s="15" t="s">
        <v>167</v>
      </c>
      <c r="D56" s="15" t="s">
        <v>41</v>
      </c>
      <c r="E56" s="15" t="s">
        <v>42</v>
      </c>
      <c r="F56" s="15" t="s">
        <v>48</v>
      </c>
      <c r="G56" s="13"/>
      <c r="H56" s="13" t="s">
        <v>606</v>
      </c>
      <c r="I56" s="50" t="s">
        <v>607</v>
      </c>
      <c r="J56" s="28" t="s">
        <v>187</v>
      </c>
      <c r="K56" s="31">
        <v>7.1505E7</v>
      </c>
      <c r="L56" s="28" t="s">
        <v>189</v>
      </c>
      <c r="M56" s="21">
        <v>51479.11</v>
      </c>
      <c r="N56" s="34" t="s">
        <v>69</v>
      </c>
      <c r="O56" s="34"/>
    </row>
    <row r="57">
      <c r="A57" s="8">
        <v>45624.0</v>
      </c>
      <c r="B57" s="13" t="s">
        <v>61</v>
      </c>
      <c r="C57" s="15" t="s">
        <v>167</v>
      </c>
      <c r="D57" s="15" t="s">
        <v>41</v>
      </c>
      <c r="E57" s="15" t="s">
        <v>42</v>
      </c>
      <c r="F57" s="15" t="s">
        <v>48</v>
      </c>
      <c r="G57" s="13"/>
      <c r="H57" s="13" t="s">
        <v>228</v>
      </c>
      <c r="I57" s="50" t="s">
        <v>611</v>
      </c>
      <c r="J57" s="28" t="s">
        <v>56</v>
      </c>
      <c r="K57" s="31">
        <v>1700000.0</v>
      </c>
      <c r="L57" s="28" t="s">
        <v>66</v>
      </c>
      <c r="M57" s="21">
        <v>8711.69</v>
      </c>
      <c r="N57" s="34" t="s">
        <v>69</v>
      </c>
      <c r="O57" s="34"/>
    </row>
    <row r="58">
      <c r="A58" s="39">
        <v>45283.0</v>
      </c>
      <c r="B58" s="13" t="s">
        <v>61</v>
      </c>
      <c r="C58" s="15" t="s">
        <v>614</v>
      </c>
      <c r="D58" s="15" t="s">
        <v>41</v>
      </c>
      <c r="E58" s="15" t="s">
        <v>42</v>
      </c>
      <c r="F58" s="15" t="s">
        <v>48</v>
      </c>
      <c r="G58" s="13"/>
      <c r="H58" s="13" t="s">
        <v>617</v>
      </c>
      <c r="I58" s="50" t="s">
        <v>618</v>
      </c>
      <c r="J58" s="28" t="s">
        <v>56</v>
      </c>
      <c r="K58" s="31">
        <v>1687500.0</v>
      </c>
      <c r="L58" s="28" t="s">
        <v>66</v>
      </c>
      <c r="M58" s="21">
        <v>16033.25</v>
      </c>
      <c r="N58" s="34" t="s">
        <v>69</v>
      </c>
      <c r="O58" s="34"/>
    </row>
    <row r="59">
      <c r="A59" s="8">
        <v>45884.0</v>
      </c>
      <c r="B59" s="13" t="s">
        <v>94</v>
      </c>
      <c r="C59" s="15" t="s">
        <v>192</v>
      </c>
      <c r="D59" s="15" t="s">
        <v>41</v>
      </c>
      <c r="E59" s="15" t="s">
        <v>42</v>
      </c>
      <c r="F59" s="15" t="s">
        <v>44</v>
      </c>
      <c r="G59" s="13"/>
      <c r="H59" s="13" t="s">
        <v>621</v>
      </c>
      <c r="I59" s="23"/>
      <c r="J59" s="28" t="s">
        <v>56</v>
      </c>
      <c r="K59" s="31">
        <v>2.5531242E8</v>
      </c>
      <c r="L59" s="28" t="s">
        <v>66</v>
      </c>
      <c r="M59" s="21">
        <v>218610.0</v>
      </c>
      <c r="N59" s="34" t="s">
        <v>69</v>
      </c>
      <c r="O59" s="34"/>
    </row>
    <row r="60">
      <c r="A60" s="8">
        <v>46014.0</v>
      </c>
      <c r="B60" s="13" t="s">
        <v>94</v>
      </c>
      <c r="C60" s="15" t="s">
        <v>286</v>
      </c>
      <c r="D60" s="15" t="s">
        <v>41</v>
      </c>
      <c r="E60" s="15" t="s">
        <v>42</v>
      </c>
      <c r="F60" s="15" t="s">
        <v>44</v>
      </c>
      <c r="G60" s="13"/>
      <c r="H60" s="13" t="s">
        <v>626</v>
      </c>
      <c r="I60" s="23"/>
      <c r="J60" s="28" t="s">
        <v>56</v>
      </c>
      <c r="K60" s="31">
        <v>2.930964E8</v>
      </c>
      <c r="L60" s="28" t="s">
        <v>66</v>
      </c>
      <c r="M60" s="21">
        <v>216440.0</v>
      </c>
      <c r="N60" s="34" t="s">
        <v>69</v>
      </c>
      <c r="O60" s="34"/>
    </row>
    <row r="61">
      <c r="A61" s="39">
        <v>45986.0</v>
      </c>
      <c r="B61" s="13" t="s">
        <v>61</v>
      </c>
      <c r="C61" s="15" t="s">
        <v>387</v>
      </c>
      <c r="D61" s="15" t="s">
        <v>41</v>
      </c>
      <c r="E61" s="15" t="s">
        <v>42</v>
      </c>
      <c r="F61" s="15" t="s">
        <v>48</v>
      </c>
      <c r="G61" s="13"/>
      <c r="H61" s="13" t="s">
        <v>313</v>
      </c>
      <c r="I61" s="50" t="s">
        <v>631</v>
      </c>
      <c r="J61" s="28" t="s">
        <v>141</v>
      </c>
      <c r="K61" s="31">
        <v>2.1272798E7</v>
      </c>
      <c r="L61" s="47"/>
      <c r="M61" s="21">
        <v>14601.51</v>
      </c>
      <c r="N61" s="34" t="s">
        <v>69</v>
      </c>
      <c r="O61" s="34"/>
    </row>
    <row r="62">
      <c r="A62" s="8">
        <v>46098.0</v>
      </c>
      <c r="B62" s="13" t="s">
        <v>94</v>
      </c>
      <c r="C62" s="15" t="s">
        <v>286</v>
      </c>
      <c r="D62" s="15" t="s">
        <v>41</v>
      </c>
      <c r="E62" s="15" t="s">
        <v>42</v>
      </c>
      <c r="F62" s="15" t="s">
        <v>44</v>
      </c>
      <c r="G62" s="13"/>
      <c r="H62" s="13" t="s">
        <v>635</v>
      </c>
      <c r="I62" s="23"/>
      <c r="J62" s="28" t="s">
        <v>141</v>
      </c>
      <c r="K62" s="31">
        <v>3.65187E8</v>
      </c>
      <c r="L62" s="28" t="s">
        <v>253</v>
      </c>
      <c r="M62" s="21">
        <v>268100.0</v>
      </c>
      <c r="N62" s="34" t="s">
        <v>69</v>
      </c>
      <c r="O62" s="34"/>
    </row>
    <row r="63">
      <c r="A63" s="8">
        <v>45874.0</v>
      </c>
      <c r="B63" s="13" t="s">
        <v>94</v>
      </c>
      <c r="C63" s="15" t="s">
        <v>454</v>
      </c>
      <c r="D63" s="15" t="s">
        <v>41</v>
      </c>
      <c r="E63" s="15" t="s">
        <v>42</v>
      </c>
      <c r="F63" s="15" t="s">
        <v>48</v>
      </c>
      <c r="G63" s="50"/>
      <c r="H63" s="50" t="s">
        <v>638</v>
      </c>
      <c r="I63" s="50" t="s">
        <v>639</v>
      </c>
      <c r="J63" s="28" t="s">
        <v>141</v>
      </c>
      <c r="K63" s="31">
        <v>2.976973981E7</v>
      </c>
      <c r="L63" s="28" t="s">
        <v>253</v>
      </c>
      <c r="M63" s="21">
        <v>26927.05</v>
      </c>
      <c r="N63" s="34" t="s">
        <v>69</v>
      </c>
      <c r="O63" s="34"/>
    </row>
    <row r="64">
      <c r="A64" s="8">
        <v>46098.0</v>
      </c>
      <c r="B64" s="13" t="s">
        <v>94</v>
      </c>
      <c r="C64" s="15" t="s">
        <v>641</v>
      </c>
      <c r="D64" s="15" t="s">
        <v>41</v>
      </c>
      <c r="E64" s="15" t="s">
        <v>42</v>
      </c>
      <c r="F64" s="15" t="s">
        <v>44</v>
      </c>
      <c r="G64" s="13"/>
      <c r="H64" s="13" t="s">
        <v>642</v>
      </c>
      <c r="I64" s="23"/>
      <c r="J64" s="28" t="s">
        <v>141</v>
      </c>
      <c r="K64" s="31">
        <v>2.762425E8</v>
      </c>
      <c r="L64" s="28" t="s">
        <v>253</v>
      </c>
      <c r="M64" s="21">
        <v>164570.0</v>
      </c>
      <c r="N64" s="34" t="s">
        <v>69</v>
      </c>
      <c r="O64" s="34"/>
    </row>
    <row r="65">
      <c r="A65" s="8">
        <v>45443.0</v>
      </c>
      <c r="B65" s="13" t="s">
        <v>99</v>
      </c>
      <c r="C65" s="15" t="s">
        <v>264</v>
      </c>
      <c r="D65" s="15" t="s">
        <v>41</v>
      </c>
      <c r="E65" s="15" t="s">
        <v>42</v>
      </c>
      <c r="F65" s="15" t="s">
        <v>48</v>
      </c>
      <c r="G65" s="13"/>
      <c r="H65" s="13" t="s">
        <v>648</v>
      </c>
      <c r="I65" s="50" t="s">
        <v>649</v>
      </c>
      <c r="J65" s="28" t="s">
        <v>56</v>
      </c>
      <c r="K65" s="31">
        <v>2662200.0</v>
      </c>
      <c r="L65" s="28" t="s">
        <v>66</v>
      </c>
      <c r="M65" s="21">
        <v>22418.53</v>
      </c>
      <c r="N65" s="34" t="s">
        <v>69</v>
      </c>
      <c r="O65" s="34"/>
    </row>
    <row r="66">
      <c r="A66" s="8">
        <v>45884.0</v>
      </c>
      <c r="B66" s="13" t="s">
        <v>99</v>
      </c>
      <c r="C66" s="15" t="s">
        <v>326</v>
      </c>
      <c r="D66" s="15" t="s">
        <v>41</v>
      </c>
      <c r="E66" s="15" t="s">
        <v>42</v>
      </c>
      <c r="F66" s="15" t="s">
        <v>48</v>
      </c>
      <c r="G66" s="13"/>
      <c r="H66" s="13" t="s">
        <v>353</v>
      </c>
      <c r="I66" s="50" t="s">
        <v>653</v>
      </c>
      <c r="J66" s="28" t="s">
        <v>56</v>
      </c>
      <c r="K66" s="31">
        <v>1910000.0</v>
      </c>
      <c r="L66" s="28" t="s">
        <v>66</v>
      </c>
      <c r="M66" s="21">
        <v>10235.25</v>
      </c>
      <c r="N66" s="34" t="s">
        <v>69</v>
      </c>
      <c r="O66" s="34"/>
    </row>
    <row r="67">
      <c r="A67" s="8">
        <v>46142.0</v>
      </c>
      <c r="B67" s="13" t="s">
        <v>94</v>
      </c>
      <c r="C67" s="15" t="s">
        <v>83</v>
      </c>
      <c r="D67" s="15" t="s">
        <v>41</v>
      </c>
      <c r="E67" s="15" t="s">
        <v>42</v>
      </c>
      <c r="F67" s="15" t="s">
        <v>44</v>
      </c>
      <c r="G67" s="13"/>
      <c r="H67" s="13" t="s">
        <v>567</v>
      </c>
      <c r="I67" s="23"/>
      <c r="J67" s="28" t="s">
        <v>141</v>
      </c>
      <c r="K67" s="31">
        <v>5.2124129E7</v>
      </c>
      <c r="L67" s="28" t="s">
        <v>144</v>
      </c>
      <c r="M67" s="21">
        <v>58800.0</v>
      </c>
      <c r="N67" s="34" t="s">
        <v>69</v>
      </c>
      <c r="O67" s="34"/>
    </row>
    <row r="68">
      <c r="A68" s="8">
        <v>46106.0</v>
      </c>
      <c r="B68" s="13" t="s">
        <v>99</v>
      </c>
      <c r="C68" s="15" t="s">
        <v>87</v>
      </c>
      <c r="D68" s="15" t="s">
        <v>41</v>
      </c>
      <c r="E68" s="15" t="s">
        <v>42</v>
      </c>
      <c r="F68" s="15" t="s">
        <v>44</v>
      </c>
      <c r="G68" s="13"/>
      <c r="H68" s="13" t="s">
        <v>660</v>
      </c>
      <c r="I68" s="50"/>
      <c r="J68" s="28" t="s">
        <v>141</v>
      </c>
      <c r="K68" s="31">
        <v>4.3710744822E8</v>
      </c>
      <c r="L68" s="28"/>
      <c r="M68" s="21">
        <v>465780.0</v>
      </c>
      <c r="N68" s="34" t="s">
        <v>69</v>
      </c>
      <c r="O68" s="34"/>
    </row>
    <row r="69">
      <c r="A69" s="8">
        <v>46106.0</v>
      </c>
      <c r="B69" s="13" t="s">
        <v>99</v>
      </c>
      <c r="C69" s="15" t="s">
        <v>148</v>
      </c>
      <c r="D69" s="15" t="s">
        <v>41</v>
      </c>
      <c r="E69" s="15" t="s">
        <v>42</v>
      </c>
      <c r="F69" s="15" t="s">
        <v>44</v>
      </c>
      <c r="G69" s="13"/>
      <c r="H69" s="13" t="s">
        <v>665</v>
      </c>
      <c r="I69" s="50"/>
      <c r="J69" s="28" t="s">
        <v>141</v>
      </c>
      <c r="K69" s="31">
        <v>3.944625E8</v>
      </c>
      <c r="L69" s="28" t="s">
        <v>253</v>
      </c>
      <c r="M69" s="21">
        <v>412125.0</v>
      </c>
      <c r="N69" s="34" t="s">
        <v>69</v>
      </c>
      <c r="O69" s="34"/>
    </row>
    <row r="70">
      <c r="A70" s="39">
        <v>45974.0</v>
      </c>
      <c r="B70" s="13" t="s">
        <v>99</v>
      </c>
      <c r="C70" s="15" t="s">
        <v>264</v>
      </c>
      <c r="D70" s="15" t="s">
        <v>41</v>
      </c>
      <c r="E70" s="15" t="s">
        <v>42</v>
      </c>
      <c r="F70" s="15" t="s">
        <v>44</v>
      </c>
      <c r="G70" s="13"/>
      <c r="H70" s="13" t="s">
        <v>671</v>
      </c>
      <c r="I70" s="23"/>
      <c r="J70" s="28" t="s">
        <v>56</v>
      </c>
      <c r="K70" s="31">
        <v>1.8948133714E8</v>
      </c>
      <c r="L70" s="28" t="s">
        <v>283</v>
      </c>
      <c r="M70" s="21">
        <v>213570.0</v>
      </c>
      <c r="N70" s="34" t="s">
        <v>69</v>
      </c>
      <c r="O70" s="34"/>
    </row>
    <row r="71">
      <c r="A71" s="39">
        <v>46002.0</v>
      </c>
      <c r="B71" s="13" t="s">
        <v>99</v>
      </c>
      <c r="C71" s="15" t="s">
        <v>326</v>
      </c>
      <c r="D71" s="15" t="s">
        <v>41</v>
      </c>
      <c r="E71" s="15" t="s">
        <v>42</v>
      </c>
      <c r="F71" s="15" t="s">
        <v>44</v>
      </c>
      <c r="G71" s="13"/>
      <c r="H71" s="13" t="s">
        <v>676</v>
      </c>
      <c r="I71" s="23"/>
      <c r="J71" s="28" t="s">
        <v>56</v>
      </c>
      <c r="K71" s="31">
        <v>2.0263421112E8</v>
      </c>
      <c r="L71" s="28" t="s">
        <v>66</v>
      </c>
      <c r="M71" s="21">
        <v>183260.0</v>
      </c>
      <c r="N71" s="34" t="s">
        <v>69</v>
      </c>
      <c r="O71" s="34"/>
    </row>
    <row r="72">
      <c r="A72" s="8">
        <v>46204.0</v>
      </c>
      <c r="B72" s="13" t="s">
        <v>99</v>
      </c>
      <c r="C72" s="15" t="s">
        <v>264</v>
      </c>
      <c r="D72" s="15" t="s">
        <v>41</v>
      </c>
      <c r="E72" s="15" t="s">
        <v>42</v>
      </c>
      <c r="F72" s="15" t="s">
        <v>48</v>
      </c>
      <c r="G72" s="13"/>
      <c r="H72" s="13" t="s">
        <v>680</v>
      </c>
      <c r="I72" s="50" t="s">
        <v>681</v>
      </c>
      <c r="J72" s="28" t="s">
        <v>141</v>
      </c>
      <c r="K72" s="31">
        <v>1.05E7</v>
      </c>
      <c r="L72" s="28" t="s">
        <v>144</v>
      </c>
      <c r="M72" s="21">
        <v>7559.34</v>
      </c>
      <c r="N72" s="34" t="s">
        <v>69</v>
      </c>
      <c r="O72" s="34"/>
    </row>
    <row r="73">
      <c r="A73" s="39">
        <v>45988.0</v>
      </c>
      <c r="B73" s="13" t="s">
        <v>99</v>
      </c>
      <c r="C73" s="15" t="s">
        <v>326</v>
      </c>
      <c r="D73" s="15" t="s">
        <v>41</v>
      </c>
      <c r="E73" s="15" t="s">
        <v>42</v>
      </c>
      <c r="F73" s="15" t="s">
        <v>44</v>
      </c>
      <c r="G73" s="13"/>
      <c r="H73" s="13" t="s">
        <v>684</v>
      </c>
      <c r="I73" s="23"/>
      <c r="J73" s="28" t="s">
        <v>141</v>
      </c>
      <c r="K73" s="31">
        <v>8.965050157E7</v>
      </c>
      <c r="L73" s="28" t="s">
        <v>271</v>
      </c>
      <c r="M73" s="21">
        <v>53095.0</v>
      </c>
      <c r="N73" s="34" t="s">
        <v>69</v>
      </c>
      <c r="O73" s="34"/>
    </row>
    <row r="74">
      <c r="A74" s="39">
        <v>46010.0</v>
      </c>
      <c r="B74" s="13" t="s">
        <v>99</v>
      </c>
      <c r="C74" s="15" t="s">
        <v>31</v>
      </c>
      <c r="D74" s="15" t="s">
        <v>41</v>
      </c>
      <c r="E74" s="15" t="s">
        <v>42</v>
      </c>
      <c r="F74" s="15" t="s">
        <v>44</v>
      </c>
      <c r="G74" s="13"/>
      <c r="H74" s="13" t="s">
        <v>688</v>
      </c>
      <c r="I74" s="23"/>
      <c r="J74" s="28" t="s">
        <v>141</v>
      </c>
      <c r="K74" s="31">
        <v>3.6067605482E8</v>
      </c>
      <c r="L74" s="28" t="s">
        <v>144</v>
      </c>
      <c r="M74" s="21">
        <v>384335.0</v>
      </c>
      <c r="N74" s="34" t="s">
        <v>69</v>
      </c>
      <c r="O74" s="34"/>
    </row>
    <row r="75">
      <c r="A75" s="8">
        <v>45860.0</v>
      </c>
      <c r="B75" s="13" t="s">
        <v>99</v>
      </c>
      <c r="C75" s="15" t="s">
        <v>449</v>
      </c>
      <c r="D75" s="15" t="s">
        <v>41</v>
      </c>
      <c r="E75" s="15" t="s">
        <v>42</v>
      </c>
      <c r="F75" s="15" t="s">
        <v>44</v>
      </c>
      <c r="G75" s="13"/>
      <c r="H75" s="13" t="s">
        <v>691</v>
      </c>
      <c r="I75" s="23"/>
      <c r="J75" s="28" t="s">
        <v>141</v>
      </c>
      <c r="K75" s="31">
        <v>3.948024893E8</v>
      </c>
      <c r="L75" s="28" t="s">
        <v>253</v>
      </c>
      <c r="M75" s="21">
        <v>420700.0</v>
      </c>
      <c r="N75" s="34" t="s">
        <v>69</v>
      </c>
      <c r="O75" s="34"/>
    </row>
    <row r="76">
      <c r="A76" s="8">
        <v>45810.0</v>
      </c>
      <c r="B76" s="13" t="s">
        <v>99</v>
      </c>
      <c r="C76" s="15" t="s">
        <v>464</v>
      </c>
      <c r="D76" s="15" t="s">
        <v>41</v>
      </c>
      <c r="E76" s="15" t="s">
        <v>42</v>
      </c>
      <c r="F76" s="15" t="s">
        <v>44</v>
      </c>
      <c r="G76" s="13"/>
      <c r="H76" s="13" t="s">
        <v>694</v>
      </c>
      <c r="I76" s="50"/>
      <c r="J76" s="28" t="s">
        <v>141</v>
      </c>
      <c r="K76" s="31">
        <v>1.8682534237E8</v>
      </c>
      <c r="L76" s="28" t="s">
        <v>271</v>
      </c>
      <c r="M76" s="21">
        <v>174370.0</v>
      </c>
      <c r="N76" s="34" t="s">
        <v>69</v>
      </c>
      <c r="O76" s="34"/>
    </row>
    <row r="77">
      <c r="A77" s="8">
        <v>45546.0</v>
      </c>
      <c r="B77" s="13" t="s">
        <v>99</v>
      </c>
      <c r="C77" s="15" t="s">
        <v>99</v>
      </c>
      <c r="D77" s="15" t="s">
        <v>41</v>
      </c>
      <c r="E77" s="15" t="s">
        <v>42</v>
      </c>
      <c r="F77" s="15" t="s">
        <v>44</v>
      </c>
      <c r="G77" s="13"/>
      <c r="H77" s="13" t="s">
        <v>700</v>
      </c>
      <c r="I77" s="23"/>
      <c r="J77" s="28" t="s">
        <v>56</v>
      </c>
      <c r="K77" s="31">
        <v>5.697597906E7</v>
      </c>
      <c r="L77" s="28" t="s">
        <v>283</v>
      </c>
      <c r="M77" s="21">
        <v>211400.0</v>
      </c>
      <c r="N77" s="34" t="s">
        <v>69</v>
      </c>
      <c r="O77" s="34"/>
    </row>
    <row r="78">
      <c r="A78" s="8">
        <v>45912.0</v>
      </c>
      <c r="B78" s="13" t="s">
        <v>99</v>
      </c>
      <c r="C78" s="15" t="s">
        <v>466</v>
      </c>
      <c r="D78" s="15" t="s">
        <v>41</v>
      </c>
      <c r="E78" s="15" t="s">
        <v>42</v>
      </c>
      <c r="F78" s="15" t="s">
        <v>44</v>
      </c>
      <c r="G78" s="13"/>
      <c r="H78" s="13" t="s">
        <v>708</v>
      </c>
      <c r="I78" s="23"/>
      <c r="J78" s="28" t="s">
        <v>141</v>
      </c>
      <c r="K78" s="31">
        <v>4.2234E8</v>
      </c>
      <c r="L78" s="28" t="s">
        <v>271</v>
      </c>
      <c r="M78" s="21">
        <v>296800.0</v>
      </c>
      <c r="N78" s="34" t="s">
        <v>69</v>
      </c>
      <c r="O78" s="34"/>
    </row>
    <row r="79">
      <c r="A79" s="8">
        <v>45896.0</v>
      </c>
      <c r="B79" s="13" t="s">
        <v>99</v>
      </c>
      <c r="C79" s="15" t="s">
        <v>99</v>
      </c>
      <c r="D79" s="15" t="s">
        <v>41</v>
      </c>
      <c r="E79" s="15" t="s">
        <v>42</v>
      </c>
      <c r="F79" s="15" t="s">
        <v>44</v>
      </c>
      <c r="G79" s="13"/>
      <c r="H79" s="13" t="s">
        <v>712</v>
      </c>
      <c r="I79" s="23"/>
      <c r="J79" s="28" t="s">
        <v>141</v>
      </c>
      <c r="K79" s="31">
        <v>2.09275E8</v>
      </c>
      <c r="L79" s="28" t="s">
        <v>253</v>
      </c>
      <c r="M79" s="21">
        <v>201250.0</v>
      </c>
      <c r="N79" s="34" t="s">
        <v>69</v>
      </c>
      <c r="O79" s="34"/>
    </row>
    <row r="80">
      <c r="A80" s="8">
        <v>46107.0</v>
      </c>
      <c r="B80" s="13" t="s">
        <v>99</v>
      </c>
      <c r="C80" s="15" t="s">
        <v>616</v>
      </c>
      <c r="D80" s="15" t="s">
        <v>41</v>
      </c>
      <c r="E80" s="15" t="s">
        <v>42</v>
      </c>
      <c r="F80" s="15" t="s">
        <v>48</v>
      </c>
      <c r="G80" s="13"/>
      <c r="H80" s="13" t="s">
        <v>718</v>
      </c>
      <c r="I80" s="50" t="s">
        <v>719</v>
      </c>
      <c r="J80" s="28" t="s">
        <v>56</v>
      </c>
      <c r="K80" s="31">
        <v>1.565E7</v>
      </c>
      <c r="L80" s="28" t="s">
        <v>283</v>
      </c>
      <c r="M80" s="21">
        <v>14235.81</v>
      </c>
      <c r="N80" s="34" t="s">
        <v>69</v>
      </c>
      <c r="O80" s="34"/>
    </row>
    <row r="81">
      <c r="A81" s="8">
        <v>45443.0</v>
      </c>
      <c r="B81" s="13" t="s">
        <v>99</v>
      </c>
      <c r="C81" s="15" t="s">
        <v>619</v>
      </c>
      <c r="D81" s="15" t="s">
        <v>41</v>
      </c>
      <c r="E81" s="15" t="s">
        <v>42</v>
      </c>
      <c r="F81" s="15" t="s">
        <v>44</v>
      </c>
      <c r="G81" s="13"/>
      <c r="H81" s="13" t="s">
        <v>720</v>
      </c>
      <c r="I81" s="23"/>
      <c r="J81" s="28" t="s">
        <v>56</v>
      </c>
      <c r="K81" s="31">
        <v>1.54525914E7</v>
      </c>
      <c r="L81" s="28" t="s">
        <v>66</v>
      </c>
      <c r="M81" s="21">
        <v>145600.0</v>
      </c>
      <c r="N81" s="34" t="s">
        <v>69</v>
      </c>
      <c r="O81" s="34"/>
    </row>
    <row r="82">
      <c r="A82" s="8">
        <v>45939.0</v>
      </c>
      <c r="B82" s="13" t="s">
        <v>99</v>
      </c>
      <c r="C82" s="15" t="s">
        <v>616</v>
      </c>
      <c r="D82" s="15" t="s">
        <v>41</v>
      </c>
      <c r="E82" s="15" t="s">
        <v>42</v>
      </c>
      <c r="F82" s="15" t="s">
        <v>48</v>
      </c>
      <c r="G82" s="13"/>
      <c r="H82" s="13" t="s">
        <v>718</v>
      </c>
      <c r="I82" s="50" t="s">
        <v>721</v>
      </c>
      <c r="J82" s="28" t="s">
        <v>56</v>
      </c>
      <c r="K82" s="31">
        <v>1.11E7</v>
      </c>
      <c r="L82" s="28" t="s">
        <v>66</v>
      </c>
      <c r="M82" s="21">
        <v>11317.64</v>
      </c>
      <c r="N82" s="34" t="s">
        <v>69</v>
      </c>
      <c r="O82" s="34"/>
    </row>
    <row r="83">
      <c r="A83" s="8">
        <v>45442.0</v>
      </c>
      <c r="B83" s="13" t="s">
        <v>99</v>
      </c>
      <c r="C83" s="15" t="s">
        <v>619</v>
      </c>
      <c r="D83" s="15" t="s">
        <v>41</v>
      </c>
      <c r="E83" s="15" t="s">
        <v>42</v>
      </c>
      <c r="F83" s="15" t="s">
        <v>48</v>
      </c>
      <c r="G83" s="13"/>
      <c r="H83" s="13" t="s">
        <v>722</v>
      </c>
      <c r="I83" s="50" t="s">
        <v>723</v>
      </c>
      <c r="J83" s="28" t="s">
        <v>56</v>
      </c>
      <c r="K83" s="31">
        <v>574140.7</v>
      </c>
      <c r="L83" s="28" t="s">
        <v>66</v>
      </c>
      <c r="M83" s="21">
        <v>5533.89</v>
      </c>
      <c r="N83" s="34" t="s">
        <v>69</v>
      </c>
      <c r="O83" s="34"/>
    </row>
    <row r="84">
      <c r="A84" s="8">
        <v>46093.0</v>
      </c>
      <c r="B84" s="13" t="s">
        <v>99</v>
      </c>
      <c r="C84" s="15" t="s">
        <v>565</v>
      </c>
      <c r="D84" s="15" t="s">
        <v>41</v>
      </c>
      <c r="E84" s="15" t="s">
        <v>42</v>
      </c>
      <c r="F84" s="15" t="s">
        <v>44</v>
      </c>
      <c r="G84" s="13"/>
      <c r="H84" s="13" t="s">
        <v>724</v>
      </c>
      <c r="I84" s="23"/>
      <c r="J84" s="28" t="s">
        <v>56</v>
      </c>
      <c r="K84" s="31">
        <v>3.71101E8</v>
      </c>
      <c r="L84" s="75" t="s">
        <v>283</v>
      </c>
      <c r="M84" s="21">
        <v>262290.0</v>
      </c>
      <c r="N84" s="34" t="s">
        <v>69</v>
      </c>
      <c r="O84" s="34"/>
    </row>
    <row r="85">
      <c r="A85" s="8">
        <v>46181.0</v>
      </c>
      <c r="B85" s="13" t="s">
        <v>99</v>
      </c>
      <c r="C85" s="15" t="s">
        <v>539</v>
      </c>
      <c r="D85" s="15" t="s">
        <v>41</v>
      </c>
      <c r="E85" s="15" t="s">
        <v>42</v>
      </c>
      <c r="F85" s="15" t="s">
        <v>44</v>
      </c>
      <c r="G85" s="13"/>
      <c r="H85" s="13" t="s">
        <v>725</v>
      </c>
      <c r="I85" s="23"/>
      <c r="J85" s="28" t="s">
        <v>187</v>
      </c>
      <c r="K85" s="51">
        <v>1.6993995863E9</v>
      </c>
      <c r="L85" s="28" t="s">
        <v>189</v>
      </c>
      <c r="M85" s="21">
        <v>700000.0</v>
      </c>
      <c r="N85" s="75"/>
      <c r="O85" s="75"/>
    </row>
    <row r="86">
      <c r="A86" s="8">
        <v>46232.0</v>
      </c>
      <c r="B86" s="13" t="s">
        <v>99</v>
      </c>
      <c r="C86" s="15" t="s">
        <v>616</v>
      </c>
      <c r="D86" s="15" t="s">
        <v>41</v>
      </c>
      <c r="E86" s="15" t="s">
        <v>42</v>
      </c>
      <c r="F86" s="15" t="s">
        <v>44</v>
      </c>
      <c r="G86" s="13"/>
      <c r="H86" s="13" t="s">
        <v>726</v>
      </c>
      <c r="I86" s="23"/>
      <c r="J86" s="28" t="s">
        <v>141</v>
      </c>
      <c r="K86" s="31">
        <v>1.9471999997E8</v>
      </c>
      <c r="L86" s="28" t="s">
        <v>144</v>
      </c>
      <c r="M86" s="21">
        <v>139300.0</v>
      </c>
      <c r="N86" s="75"/>
      <c r="O86" s="75"/>
    </row>
    <row r="87">
      <c r="A87" s="8">
        <v>45916.0</v>
      </c>
      <c r="B87" s="13" t="s">
        <v>90</v>
      </c>
      <c r="C87" s="15" t="s">
        <v>205</v>
      </c>
      <c r="D87" s="15" t="s">
        <v>41</v>
      </c>
      <c r="E87" s="15" t="s">
        <v>42</v>
      </c>
      <c r="F87" s="15" t="s">
        <v>48</v>
      </c>
      <c r="G87" s="13"/>
      <c r="H87" s="13" t="s">
        <v>727</v>
      </c>
      <c r="I87" s="50" t="s">
        <v>728</v>
      </c>
      <c r="J87" s="28" t="s">
        <v>56</v>
      </c>
      <c r="K87" s="31">
        <v>2.5E7</v>
      </c>
      <c r="L87" s="28" t="s">
        <v>66</v>
      </c>
      <c r="M87" s="21">
        <v>7691.22</v>
      </c>
      <c r="N87" s="34" t="s">
        <v>69</v>
      </c>
      <c r="O87" s="34"/>
    </row>
    <row r="88">
      <c r="A88" s="39">
        <v>45980.0</v>
      </c>
      <c r="B88" s="13" t="s">
        <v>115</v>
      </c>
      <c r="C88" s="15" t="s">
        <v>389</v>
      </c>
      <c r="D88" s="15" t="s">
        <v>41</v>
      </c>
      <c r="E88" s="15" t="s">
        <v>42</v>
      </c>
      <c r="F88" s="15" t="s">
        <v>44</v>
      </c>
      <c r="G88" s="13"/>
      <c r="H88" s="13" t="s">
        <v>720</v>
      </c>
      <c r="I88" s="23"/>
      <c r="J88" s="28" t="s">
        <v>56</v>
      </c>
      <c r="K88" s="31">
        <v>9.9E7</v>
      </c>
      <c r="L88" s="28" t="s">
        <v>66</v>
      </c>
      <c r="M88" s="21">
        <v>89880.0</v>
      </c>
      <c r="N88" s="34" t="s">
        <v>69</v>
      </c>
      <c r="O88" s="34"/>
    </row>
    <row r="89">
      <c r="A89" s="8">
        <v>45443.0</v>
      </c>
      <c r="B89" s="13" t="s">
        <v>115</v>
      </c>
      <c r="C89" s="15" t="s">
        <v>396</v>
      </c>
      <c r="D89" s="15" t="s">
        <v>41</v>
      </c>
      <c r="E89" s="15" t="s">
        <v>42</v>
      </c>
      <c r="F89" s="15" t="s">
        <v>44</v>
      </c>
      <c r="G89" s="13"/>
      <c r="H89" s="13" t="s">
        <v>729</v>
      </c>
      <c r="I89" s="23"/>
      <c r="J89" s="28" t="s">
        <v>56</v>
      </c>
      <c r="K89" s="31">
        <v>3.697412611E7</v>
      </c>
      <c r="L89" s="28" t="s">
        <v>66</v>
      </c>
      <c r="M89" s="21">
        <v>61967.5</v>
      </c>
      <c r="N89" s="34" t="s">
        <v>69</v>
      </c>
      <c r="O89" s="34"/>
    </row>
    <row r="90">
      <c r="A90" s="8">
        <v>46080.0</v>
      </c>
      <c r="B90" s="13" t="s">
        <v>115</v>
      </c>
      <c r="C90" s="15" t="s">
        <v>396</v>
      </c>
      <c r="D90" s="15" t="s">
        <v>41</v>
      </c>
      <c r="E90" s="15" t="s">
        <v>42</v>
      </c>
      <c r="F90" s="15" t="s">
        <v>44</v>
      </c>
      <c r="G90" s="13"/>
      <c r="H90" s="13" t="s">
        <v>730</v>
      </c>
      <c r="I90" s="23"/>
      <c r="J90" s="28" t="s">
        <v>56</v>
      </c>
      <c r="K90" s="31">
        <v>1.0979923248E8</v>
      </c>
      <c r="L90" s="28" t="s">
        <v>66</v>
      </c>
      <c r="M90" s="21">
        <v>110040.0</v>
      </c>
      <c r="N90" s="34" t="s">
        <v>69</v>
      </c>
      <c r="O90" s="34"/>
    </row>
    <row r="91">
      <c r="A91" s="8">
        <v>46178.0</v>
      </c>
      <c r="B91" s="13" t="s">
        <v>90</v>
      </c>
      <c r="C91" s="15" t="s">
        <v>205</v>
      </c>
      <c r="D91" s="15" t="s">
        <v>41</v>
      </c>
      <c r="E91" s="15" t="s">
        <v>42</v>
      </c>
      <c r="F91" s="15" t="s">
        <v>48</v>
      </c>
      <c r="G91" s="13"/>
      <c r="H91" s="13" t="s">
        <v>249</v>
      </c>
      <c r="I91" s="50" t="s">
        <v>731</v>
      </c>
      <c r="J91" s="28" t="s">
        <v>141</v>
      </c>
      <c r="K91" s="31">
        <v>797964.0</v>
      </c>
      <c r="L91" s="76" t="s">
        <v>253</v>
      </c>
      <c r="M91" s="21">
        <v>19156.38</v>
      </c>
      <c r="N91" s="34" t="s">
        <v>69</v>
      </c>
      <c r="O91" s="34"/>
    </row>
    <row r="92">
      <c r="A92" s="8">
        <v>45744.0</v>
      </c>
      <c r="B92" s="13" t="s">
        <v>115</v>
      </c>
      <c r="C92" s="15" t="s">
        <v>401</v>
      </c>
      <c r="D92" s="15" t="s">
        <v>41</v>
      </c>
      <c r="E92" s="15" t="s">
        <v>42</v>
      </c>
      <c r="F92" s="15" t="s">
        <v>44</v>
      </c>
      <c r="G92" s="13"/>
      <c r="H92" s="13" t="s">
        <v>732</v>
      </c>
      <c r="I92" s="23"/>
      <c r="J92" s="28" t="s">
        <v>56</v>
      </c>
      <c r="K92" s="31">
        <v>2.767270786E7</v>
      </c>
      <c r="L92" s="28" t="s">
        <v>66</v>
      </c>
      <c r="M92" s="21">
        <v>277340.0</v>
      </c>
      <c r="N92" s="34" t="s">
        <v>69</v>
      </c>
      <c r="O92" s="34"/>
    </row>
    <row r="93">
      <c r="A93" s="8">
        <v>46204.0</v>
      </c>
      <c r="B93" s="13" t="s">
        <v>115</v>
      </c>
      <c r="C93" s="15" t="s">
        <v>396</v>
      </c>
      <c r="D93" s="15" t="s">
        <v>41</v>
      </c>
      <c r="E93" s="15" t="s">
        <v>42</v>
      </c>
      <c r="F93" s="15" t="s">
        <v>48</v>
      </c>
      <c r="G93" s="13"/>
      <c r="H93" s="13" t="s">
        <v>733</v>
      </c>
      <c r="I93" s="50" t="s">
        <v>734</v>
      </c>
      <c r="J93" s="28" t="s">
        <v>141</v>
      </c>
      <c r="K93" s="31">
        <v>4.355581926E7</v>
      </c>
      <c r="L93" s="28"/>
      <c r="M93" s="21">
        <v>31357.46</v>
      </c>
      <c r="N93" s="34" t="s">
        <v>69</v>
      </c>
      <c r="O93" s="34"/>
    </row>
    <row r="94">
      <c r="A94" s="8">
        <v>45748.0</v>
      </c>
      <c r="B94" s="13" t="s">
        <v>115</v>
      </c>
      <c r="C94" s="15" t="s">
        <v>444</v>
      </c>
      <c r="D94" s="15" t="s">
        <v>41</v>
      </c>
      <c r="E94" s="15" t="s">
        <v>42</v>
      </c>
      <c r="F94" s="15" t="s">
        <v>44</v>
      </c>
      <c r="G94" s="13"/>
      <c r="H94" s="13" t="s">
        <v>735</v>
      </c>
      <c r="I94" s="23"/>
      <c r="J94" s="28" t="s">
        <v>56</v>
      </c>
      <c r="K94" s="31">
        <v>1.1670432E7</v>
      </c>
      <c r="L94" s="28" t="s">
        <v>66</v>
      </c>
      <c r="M94" s="21">
        <v>98280.0</v>
      </c>
      <c r="N94" s="34" t="s">
        <v>69</v>
      </c>
      <c r="O94" s="34"/>
    </row>
    <row r="95">
      <c r="A95" s="8">
        <v>45552.0</v>
      </c>
      <c r="B95" s="13" t="s">
        <v>115</v>
      </c>
      <c r="C95" s="15" t="s">
        <v>405</v>
      </c>
      <c r="D95" s="15" t="s">
        <v>41</v>
      </c>
      <c r="E95" s="15" t="s">
        <v>42</v>
      </c>
      <c r="F95" s="15" t="s">
        <v>44</v>
      </c>
      <c r="G95" s="13"/>
      <c r="H95" s="13" t="s">
        <v>735</v>
      </c>
      <c r="I95" s="23"/>
      <c r="J95" s="28" t="s">
        <v>56</v>
      </c>
      <c r="K95" s="31">
        <v>2.0434113E7</v>
      </c>
      <c r="L95" s="28" t="s">
        <v>66</v>
      </c>
      <c r="M95" s="21">
        <v>211680.0</v>
      </c>
      <c r="N95" s="34" t="s">
        <v>69</v>
      </c>
      <c r="O95" s="34"/>
    </row>
    <row r="96">
      <c r="A96" s="8">
        <v>45848.0</v>
      </c>
      <c r="B96" s="13" t="s">
        <v>120</v>
      </c>
      <c r="C96" s="15" t="s">
        <v>426</v>
      </c>
      <c r="D96" s="15" t="s">
        <v>41</v>
      </c>
      <c r="E96" s="15" t="s">
        <v>42</v>
      </c>
      <c r="F96" s="15" t="s">
        <v>48</v>
      </c>
      <c r="G96" s="13"/>
      <c r="H96" s="13" t="s">
        <v>736</v>
      </c>
      <c r="I96" s="77" t="s">
        <v>737</v>
      </c>
      <c r="J96" s="28" t="s">
        <v>56</v>
      </c>
      <c r="K96" s="31">
        <v>1759600.0</v>
      </c>
      <c r="L96" s="28" t="s">
        <v>66</v>
      </c>
      <c r="M96" s="21">
        <v>9840.46</v>
      </c>
      <c r="N96" s="34" t="s">
        <v>69</v>
      </c>
      <c r="O96" s="34"/>
    </row>
    <row r="97">
      <c r="A97" s="8">
        <v>45401.0</v>
      </c>
      <c r="B97" s="13" t="s">
        <v>120</v>
      </c>
      <c r="C97" s="15" t="s">
        <v>250</v>
      </c>
      <c r="D97" s="15" t="s">
        <v>41</v>
      </c>
      <c r="E97" s="15" t="s">
        <v>42</v>
      </c>
      <c r="F97" s="15" t="s">
        <v>44</v>
      </c>
      <c r="G97" s="13"/>
      <c r="H97" s="13" t="s">
        <v>738</v>
      </c>
      <c r="I97" s="23"/>
      <c r="J97" s="28" t="s">
        <v>56</v>
      </c>
      <c r="K97" s="31">
        <v>4.07387771E7</v>
      </c>
      <c r="L97" s="28" t="s">
        <v>66</v>
      </c>
      <c r="M97" s="21">
        <v>420000.0</v>
      </c>
      <c r="N97" s="34" t="s">
        <v>69</v>
      </c>
      <c r="O97" s="34"/>
    </row>
    <row r="98">
      <c r="A98" s="8">
        <v>46106.0</v>
      </c>
      <c r="B98" s="13" t="s">
        <v>115</v>
      </c>
      <c r="C98" s="15" t="s">
        <v>401</v>
      </c>
      <c r="D98" s="15" t="s">
        <v>41</v>
      </c>
      <c r="E98" s="15" t="s">
        <v>42</v>
      </c>
      <c r="F98" s="15" t="s">
        <v>44</v>
      </c>
      <c r="G98" s="13"/>
      <c r="H98" s="13" t="s">
        <v>739</v>
      </c>
      <c r="I98" s="23"/>
      <c r="J98" s="28" t="s">
        <v>56</v>
      </c>
      <c r="K98" s="31">
        <v>2.2894975094E8</v>
      </c>
      <c r="L98" s="28" t="s">
        <v>740</v>
      </c>
      <c r="M98" s="21">
        <v>245000.0</v>
      </c>
      <c r="N98" s="34" t="s">
        <v>69</v>
      </c>
      <c r="O98" s="34"/>
    </row>
    <row r="99">
      <c r="A99" s="8">
        <v>46028.0</v>
      </c>
      <c r="B99" s="13" t="s">
        <v>120</v>
      </c>
      <c r="C99" s="15" t="s">
        <v>374</v>
      </c>
      <c r="D99" s="15" t="s">
        <v>41</v>
      </c>
      <c r="E99" s="15" t="s">
        <v>42</v>
      </c>
      <c r="F99" s="15" t="s">
        <v>44</v>
      </c>
      <c r="G99" s="13"/>
      <c r="H99" s="13" t="s">
        <v>741</v>
      </c>
      <c r="I99" s="23"/>
      <c r="J99" s="28" t="s">
        <v>56</v>
      </c>
      <c r="K99" s="31">
        <v>3.6320925002E8</v>
      </c>
      <c r="L99" s="28" t="s">
        <v>66</v>
      </c>
      <c r="M99" s="21">
        <v>1093400.0</v>
      </c>
      <c r="N99" s="34" t="s">
        <v>69</v>
      </c>
      <c r="O99" s="34"/>
    </row>
    <row r="100">
      <c r="A100" s="8">
        <v>46204.0</v>
      </c>
      <c r="B100" s="13" t="s">
        <v>115</v>
      </c>
      <c r="C100" s="15" t="s">
        <v>444</v>
      </c>
      <c r="D100" s="15" t="s">
        <v>41</v>
      </c>
      <c r="E100" s="15" t="s">
        <v>42</v>
      </c>
      <c r="F100" s="15" t="s">
        <v>44</v>
      </c>
      <c r="G100" s="13"/>
      <c r="H100" s="13" t="s">
        <v>746</v>
      </c>
      <c r="I100" s="23"/>
      <c r="J100" s="28" t="s">
        <v>141</v>
      </c>
      <c r="K100" s="31">
        <v>2.7E8</v>
      </c>
      <c r="L100" s="28" t="s">
        <v>144</v>
      </c>
      <c r="M100" s="21">
        <v>190384.86</v>
      </c>
      <c r="N100" s="83"/>
      <c r="O100" s="52"/>
    </row>
    <row r="101">
      <c r="A101" s="8">
        <v>45441.0</v>
      </c>
      <c r="B101" s="13" t="s">
        <v>120</v>
      </c>
      <c r="C101" s="15" t="s">
        <v>383</v>
      </c>
      <c r="D101" s="15" t="s">
        <v>41</v>
      </c>
      <c r="E101" s="15" t="s">
        <v>42</v>
      </c>
      <c r="F101" s="15" t="s">
        <v>44</v>
      </c>
      <c r="G101" s="13"/>
      <c r="H101" s="13" t="s">
        <v>748</v>
      </c>
      <c r="I101" s="23"/>
      <c r="J101" s="28" t="s">
        <v>56</v>
      </c>
      <c r="K101" s="31">
        <v>2.4415242E7</v>
      </c>
      <c r="L101" s="28" t="s">
        <v>66</v>
      </c>
      <c r="M101" s="21">
        <v>248920.0</v>
      </c>
      <c r="N101" s="34" t="s">
        <v>69</v>
      </c>
      <c r="O101" s="34"/>
    </row>
    <row r="102">
      <c r="A102" s="39">
        <v>45954.0</v>
      </c>
      <c r="B102" s="13" t="s">
        <v>120</v>
      </c>
      <c r="C102" s="15" t="s">
        <v>562</v>
      </c>
      <c r="D102" s="15" t="s">
        <v>41</v>
      </c>
      <c r="E102" s="15" t="s">
        <v>42</v>
      </c>
      <c r="F102" s="15" t="s">
        <v>44</v>
      </c>
      <c r="G102" s="13"/>
      <c r="H102" s="13" t="s">
        <v>749</v>
      </c>
      <c r="I102" s="23"/>
      <c r="J102" s="28" t="s">
        <v>56</v>
      </c>
      <c r="K102" s="44">
        <v>3.8253542943E8</v>
      </c>
      <c r="L102" s="28" t="s">
        <v>283</v>
      </c>
      <c r="M102" s="21">
        <v>275450.0</v>
      </c>
      <c r="N102" s="34" t="s">
        <v>69</v>
      </c>
      <c r="O102" s="34"/>
    </row>
    <row r="103">
      <c r="A103" s="8">
        <v>46175.0</v>
      </c>
      <c r="B103" s="13" t="s">
        <v>120</v>
      </c>
      <c r="C103" s="15" t="s">
        <v>250</v>
      </c>
      <c r="D103" s="15" t="s">
        <v>41</v>
      </c>
      <c r="E103" s="15" t="s">
        <v>42</v>
      </c>
      <c r="F103" s="15" t="s">
        <v>44</v>
      </c>
      <c r="G103" s="13"/>
      <c r="H103" s="13" t="s">
        <v>752</v>
      </c>
      <c r="I103" s="23"/>
      <c r="J103" s="28" t="s">
        <v>141</v>
      </c>
      <c r="K103" s="31">
        <v>3.25E8</v>
      </c>
      <c r="L103" s="28" t="s">
        <v>144</v>
      </c>
      <c r="M103" s="21">
        <v>317240.0</v>
      </c>
      <c r="N103" s="34" t="s">
        <v>69</v>
      </c>
      <c r="O103" s="34"/>
    </row>
    <row r="104">
      <c r="A104" s="8">
        <v>45789.0</v>
      </c>
      <c r="B104" s="13" t="s">
        <v>120</v>
      </c>
      <c r="C104" s="15" t="s">
        <v>623</v>
      </c>
      <c r="D104" s="15" t="s">
        <v>41</v>
      </c>
      <c r="E104" s="15" t="s">
        <v>42</v>
      </c>
      <c r="F104" s="15" t="s">
        <v>44</v>
      </c>
      <c r="G104" s="13"/>
      <c r="H104" s="13" t="s">
        <v>754</v>
      </c>
      <c r="I104" s="23"/>
      <c r="J104" s="28" t="s">
        <v>56</v>
      </c>
      <c r="K104" s="31">
        <v>4.4649E7</v>
      </c>
      <c r="L104" s="28" t="s">
        <v>66</v>
      </c>
      <c r="M104" s="21">
        <v>960575.0</v>
      </c>
      <c r="N104" s="34" t="s">
        <v>69</v>
      </c>
      <c r="O104" s="34"/>
    </row>
    <row r="105">
      <c r="A105" s="8">
        <v>46119.0</v>
      </c>
      <c r="B105" s="13" t="s">
        <v>120</v>
      </c>
      <c r="C105" s="15" t="s">
        <v>623</v>
      </c>
      <c r="D105" s="15" t="s">
        <v>41</v>
      </c>
      <c r="E105" s="15" t="s">
        <v>42</v>
      </c>
      <c r="F105" s="15" t="s">
        <v>44</v>
      </c>
      <c r="G105" s="13"/>
      <c r="H105" s="13" t="s">
        <v>756</v>
      </c>
      <c r="I105" s="23"/>
      <c r="J105" s="28" t="s">
        <v>56</v>
      </c>
      <c r="K105" s="31">
        <v>3.4647076362E8</v>
      </c>
      <c r="L105" s="28" t="s">
        <v>283</v>
      </c>
      <c r="M105" s="21">
        <v>310800.0</v>
      </c>
      <c r="N105" s="34" t="s">
        <v>69</v>
      </c>
      <c r="O105" s="34"/>
    </row>
    <row r="106">
      <c r="A106" s="8">
        <v>46175.0</v>
      </c>
      <c r="B106" s="13" t="s">
        <v>120</v>
      </c>
      <c r="C106" s="15" t="s">
        <v>374</v>
      </c>
      <c r="D106" s="15" t="s">
        <v>41</v>
      </c>
      <c r="E106" s="15" t="s">
        <v>42</v>
      </c>
      <c r="F106" s="15" t="s">
        <v>44</v>
      </c>
      <c r="G106" s="13"/>
      <c r="H106" s="13" t="s">
        <v>759</v>
      </c>
      <c r="I106" s="23"/>
      <c r="J106" s="28" t="s">
        <v>141</v>
      </c>
      <c r="K106" s="31">
        <v>3.3E8</v>
      </c>
      <c r="L106" s="28" t="s">
        <v>253</v>
      </c>
      <c r="M106" s="21">
        <v>392000.0</v>
      </c>
      <c r="N106" s="34" t="s">
        <v>69</v>
      </c>
      <c r="O106" s="34"/>
    </row>
    <row r="107">
      <c r="A107" s="8">
        <v>45474.0</v>
      </c>
      <c r="B107" s="13" t="s">
        <v>120</v>
      </c>
      <c r="C107" s="15" t="s">
        <v>643</v>
      </c>
      <c r="D107" s="15" t="s">
        <v>41</v>
      </c>
      <c r="E107" s="15" t="s">
        <v>42</v>
      </c>
      <c r="F107" s="15" t="s">
        <v>44</v>
      </c>
      <c r="G107" s="13"/>
      <c r="H107" s="13" t="s">
        <v>761</v>
      </c>
      <c r="I107" s="23"/>
      <c r="J107" s="28" t="s">
        <v>56</v>
      </c>
      <c r="K107" s="31">
        <v>3.5E7</v>
      </c>
      <c r="L107" s="28" t="s">
        <v>283</v>
      </c>
      <c r="M107" s="21">
        <v>722750.0</v>
      </c>
      <c r="N107" s="34" t="s">
        <v>69</v>
      </c>
      <c r="O107" s="34"/>
    </row>
    <row r="108">
      <c r="A108" s="8">
        <v>45450.0</v>
      </c>
      <c r="B108" s="13" t="s">
        <v>120</v>
      </c>
      <c r="C108" s="15" t="s">
        <v>707</v>
      </c>
      <c r="D108" s="15" t="s">
        <v>41</v>
      </c>
      <c r="E108" s="15" t="s">
        <v>42</v>
      </c>
      <c r="F108" s="15" t="s">
        <v>44</v>
      </c>
      <c r="G108" s="13"/>
      <c r="H108" s="13" t="s">
        <v>626</v>
      </c>
      <c r="I108" s="23"/>
      <c r="J108" s="28" t="s">
        <v>56</v>
      </c>
      <c r="K108" s="44">
        <v>1.29321975E7</v>
      </c>
      <c r="L108" s="28" t="s">
        <v>66</v>
      </c>
      <c r="M108" s="21">
        <v>68600.0</v>
      </c>
      <c r="N108" s="34" t="s">
        <v>69</v>
      </c>
      <c r="O108" s="34"/>
    </row>
    <row r="109">
      <c r="A109" s="39">
        <v>46204.0</v>
      </c>
      <c r="B109" s="13" t="s">
        <v>120</v>
      </c>
      <c r="C109" s="15" t="s">
        <v>562</v>
      </c>
      <c r="D109" s="15" t="s">
        <v>41</v>
      </c>
      <c r="E109" s="15" t="s">
        <v>42</v>
      </c>
      <c r="F109" s="15" t="s">
        <v>44</v>
      </c>
      <c r="G109" s="13"/>
      <c r="H109" s="13" t="s">
        <v>660</v>
      </c>
      <c r="I109" s="23"/>
      <c r="J109" s="28" t="s">
        <v>141</v>
      </c>
      <c r="K109" s="31">
        <v>1.494713E8</v>
      </c>
      <c r="L109" s="28"/>
      <c r="M109" s="21">
        <v>78610.0</v>
      </c>
      <c r="N109" s="34" t="s">
        <v>69</v>
      </c>
      <c r="O109" s="34"/>
    </row>
    <row r="110">
      <c r="A110" s="8">
        <v>45820.0</v>
      </c>
      <c r="B110" s="13" t="s">
        <v>120</v>
      </c>
      <c r="C110" s="15" t="s">
        <v>692</v>
      </c>
      <c r="D110" s="15" t="s">
        <v>41</v>
      </c>
      <c r="E110" s="15" t="s">
        <v>42</v>
      </c>
      <c r="F110" s="15" t="s">
        <v>48</v>
      </c>
      <c r="G110" s="13"/>
      <c r="H110" s="13" t="s">
        <v>766</v>
      </c>
      <c r="I110" s="50" t="s">
        <v>767</v>
      </c>
      <c r="J110" s="28" t="s">
        <v>56</v>
      </c>
      <c r="K110" s="31">
        <v>2.3711E7</v>
      </c>
      <c r="L110" s="28" t="s">
        <v>66</v>
      </c>
      <c r="M110" s="21">
        <v>23183.57</v>
      </c>
      <c r="N110" s="34" t="s">
        <v>69</v>
      </c>
      <c r="O110" s="34"/>
    </row>
    <row r="111">
      <c r="A111" s="8">
        <v>45931.0</v>
      </c>
      <c r="B111" s="13" t="s">
        <v>120</v>
      </c>
      <c r="C111" s="15" t="s">
        <v>703</v>
      </c>
      <c r="D111" s="15" t="s">
        <v>41</v>
      </c>
      <c r="E111" s="15" t="s">
        <v>42</v>
      </c>
      <c r="F111" s="15" t="s">
        <v>48</v>
      </c>
      <c r="G111" s="13"/>
      <c r="H111" s="13" t="s">
        <v>770</v>
      </c>
      <c r="I111" s="50" t="s">
        <v>771</v>
      </c>
      <c r="J111" s="28" t="s">
        <v>56</v>
      </c>
      <c r="K111" s="31">
        <v>1345000.0</v>
      </c>
      <c r="L111" s="28" t="s">
        <v>66</v>
      </c>
      <c r="M111" s="21">
        <v>12779.1</v>
      </c>
      <c r="N111" s="34" t="s">
        <v>69</v>
      </c>
      <c r="O111" s="34"/>
    </row>
    <row r="112">
      <c r="A112" s="8">
        <v>45815.0</v>
      </c>
      <c r="B112" s="13" t="s">
        <v>120</v>
      </c>
      <c r="C112" s="15" t="s">
        <v>707</v>
      </c>
      <c r="D112" s="15" t="s">
        <v>41</v>
      </c>
      <c r="E112" s="15" t="s">
        <v>42</v>
      </c>
      <c r="F112" s="15" t="s">
        <v>48</v>
      </c>
      <c r="G112" s="13"/>
      <c r="H112" s="13" t="s">
        <v>766</v>
      </c>
      <c r="I112" s="50" t="s">
        <v>774</v>
      </c>
      <c r="J112" s="28" t="s">
        <v>56</v>
      </c>
      <c r="K112" s="31">
        <v>3141000.0</v>
      </c>
      <c r="L112" s="28" t="s">
        <v>66</v>
      </c>
      <c r="M112" s="21">
        <v>13708.97</v>
      </c>
      <c r="N112" s="34" t="s">
        <v>69</v>
      </c>
      <c r="O112" s="34"/>
    </row>
    <row r="113">
      <c r="A113" s="39">
        <v>45989.0</v>
      </c>
      <c r="B113" s="13" t="s">
        <v>125</v>
      </c>
      <c r="C113" s="15" t="s">
        <v>485</v>
      </c>
      <c r="D113" s="15" t="s">
        <v>41</v>
      </c>
      <c r="E113" s="15" t="s">
        <v>42</v>
      </c>
      <c r="F113" s="15" t="s">
        <v>48</v>
      </c>
      <c r="G113" s="13"/>
      <c r="H113" s="13" t="s">
        <v>777</v>
      </c>
      <c r="I113" s="50" t="s">
        <v>778</v>
      </c>
      <c r="J113" s="28" t="s">
        <v>56</v>
      </c>
      <c r="K113" s="31">
        <v>1000000.0</v>
      </c>
      <c r="L113" s="28" t="s">
        <v>66</v>
      </c>
      <c r="M113" s="45">
        <v>5600.044800358403</v>
      </c>
      <c r="N113" s="34" t="s">
        <v>69</v>
      </c>
      <c r="O113" s="34"/>
    </row>
    <row r="114">
      <c r="A114" s="39">
        <v>46001.0</v>
      </c>
      <c r="B114" s="13" t="s">
        <v>120</v>
      </c>
      <c r="C114" s="15" t="s">
        <v>628</v>
      </c>
      <c r="D114" s="15" t="s">
        <v>41</v>
      </c>
      <c r="E114" s="15" t="s">
        <v>42</v>
      </c>
      <c r="F114" s="15" t="s">
        <v>48</v>
      </c>
      <c r="G114" s="13"/>
      <c r="H114" s="13" t="s">
        <v>781</v>
      </c>
      <c r="I114" s="50" t="s">
        <v>782</v>
      </c>
      <c r="J114" s="28" t="s">
        <v>141</v>
      </c>
      <c r="K114" s="31">
        <v>560000.0</v>
      </c>
      <c r="L114" s="47"/>
      <c r="M114" s="21">
        <v>5320.67</v>
      </c>
      <c r="N114" s="34" t="s">
        <v>69</v>
      </c>
      <c r="O114" s="34"/>
    </row>
    <row r="115">
      <c r="A115" s="8">
        <v>46233.0</v>
      </c>
      <c r="B115" s="13" t="s">
        <v>120</v>
      </c>
      <c r="C115" s="15" t="s">
        <v>200</v>
      </c>
      <c r="D115" s="15" t="s">
        <v>41</v>
      </c>
      <c r="E115" s="15" t="s">
        <v>42</v>
      </c>
      <c r="F115" s="15" t="s">
        <v>44</v>
      </c>
      <c r="G115" s="13"/>
      <c r="H115" s="13" t="s">
        <v>746</v>
      </c>
      <c r="I115" s="23"/>
      <c r="J115" s="28" t="s">
        <v>141</v>
      </c>
      <c r="K115" s="31">
        <v>1.0E8</v>
      </c>
      <c r="L115" s="28" t="s">
        <v>144</v>
      </c>
      <c r="M115" s="21">
        <v>109200.0</v>
      </c>
      <c r="N115" s="34" t="s">
        <v>69</v>
      </c>
      <c r="O115" s="34"/>
    </row>
    <row r="116">
      <c r="A116" s="8">
        <v>46206.0</v>
      </c>
      <c r="B116" s="13" t="s">
        <v>125</v>
      </c>
      <c r="C116" s="15" t="s">
        <v>296</v>
      </c>
      <c r="D116" s="15" t="s">
        <v>41</v>
      </c>
      <c r="E116" s="15" t="s">
        <v>42</v>
      </c>
      <c r="F116" s="15" t="s">
        <v>48</v>
      </c>
      <c r="G116" s="13"/>
      <c r="H116" s="13" t="s">
        <v>785</v>
      </c>
      <c r="I116" s="50" t="s">
        <v>786</v>
      </c>
      <c r="J116" s="28" t="s">
        <v>56</v>
      </c>
      <c r="K116" s="31">
        <v>2.2022E7</v>
      </c>
      <c r="L116" s="28" t="s">
        <v>283</v>
      </c>
      <c r="M116" s="45">
        <v>15369.368740621838</v>
      </c>
      <c r="N116" s="34" t="s">
        <v>69</v>
      </c>
      <c r="O116" s="34"/>
    </row>
    <row r="117">
      <c r="A117" s="8">
        <v>46197.0</v>
      </c>
      <c r="B117" s="13" t="s">
        <v>120</v>
      </c>
      <c r="C117" s="15" t="s">
        <v>374</v>
      </c>
      <c r="D117" s="15" t="s">
        <v>41</v>
      </c>
      <c r="E117" s="15" t="s">
        <v>42</v>
      </c>
      <c r="F117" s="15" t="s">
        <v>48</v>
      </c>
      <c r="G117" s="13"/>
      <c r="H117" s="13" t="s">
        <v>789</v>
      </c>
      <c r="I117" s="50" t="s">
        <v>791</v>
      </c>
      <c r="J117" s="28" t="s">
        <v>141</v>
      </c>
      <c r="K117" s="31">
        <v>4.665424873E7</v>
      </c>
      <c r="L117" s="28" t="s">
        <v>253</v>
      </c>
      <c r="M117" s="21">
        <v>33588.13</v>
      </c>
      <c r="N117" s="91"/>
      <c r="O117" s="52"/>
    </row>
    <row r="118">
      <c r="A118" s="39">
        <v>45989.0</v>
      </c>
      <c r="B118" s="13" t="s">
        <v>125</v>
      </c>
      <c r="C118" s="15" t="s">
        <v>485</v>
      </c>
      <c r="D118" s="15" t="s">
        <v>41</v>
      </c>
      <c r="E118" s="15" t="s">
        <v>42</v>
      </c>
      <c r="F118" s="15" t="s">
        <v>44</v>
      </c>
      <c r="G118" s="13"/>
      <c r="H118" s="13" t="s">
        <v>735</v>
      </c>
      <c r="I118" s="23"/>
      <c r="J118" s="28" t="s">
        <v>56</v>
      </c>
      <c r="K118" s="31">
        <v>2.49997283E7</v>
      </c>
      <c r="L118" s="28" t="s">
        <v>66</v>
      </c>
      <c r="M118" s="49">
        <v>126000.0</v>
      </c>
      <c r="N118" s="34" t="s">
        <v>69</v>
      </c>
      <c r="O118" s="34"/>
    </row>
    <row r="119">
      <c r="A119" s="8">
        <v>45063.0</v>
      </c>
      <c r="B119" s="13" t="s">
        <v>125</v>
      </c>
      <c r="C119" s="15" t="s">
        <v>485</v>
      </c>
      <c r="D119" s="15" t="s">
        <v>41</v>
      </c>
      <c r="E119" s="15" t="s">
        <v>42</v>
      </c>
      <c r="F119" s="15" t="s">
        <v>48</v>
      </c>
      <c r="G119" s="13"/>
      <c r="H119" s="13" t="s">
        <v>794</v>
      </c>
      <c r="I119" s="50" t="s">
        <v>795</v>
      </c>
      <c r="J119" s="28" t="s">
        <v>56</v>
      </c>
      <c r="K119" s="31">
        <v>2000000.0</v>
      </c>
      <c r="L119" s="28" t="s">
        <v>244</v>
      </c>
      <c r="M119" s="45">
        <v>11200.089600716807</v>
      </c>
      <c r="N119" s="34" t="s">
        <v>69</v>
      </c>
      <c r="O119" s="34"/>
    </row>
    <row r="120">
      <c r="A120" s="8">
        <v>46097.0</v>
      </c>
      <c r="B120" s="13" t="s">
        <v>125</v>
      </c>
      <c r="C120" s="15" t="s">
        <v>519</v>
      </c>
      <c r="D120" s="15" t="s">
        <v>41</v>
      </c>
      <c r="E120" s="15" t="s">
        <v>42</v>
      </c>
      <c r="F120" s="15" t="s">
        <v>48</v>
      </c>
      <c r="G120" s="13"/>
      <c r="H120" s="13" t="s">
        <v>785</v>
      </c>
      <c r="I120" s="50" t="s">
        <v>796</v>
      </c>
      <c r="J120" s="28" t="s">
        <v>56</v>
      </c>
      <c r="K120" s="31">
        <v>2.80115E7</v>
      </c>
      <c r="L120" s="28" t="s">
        <v>283</v>
      </c>
      <c r="M120" s="45">
        <v>19600.934860645586</v>
      </c>
      <c r="N120" s="34" t="s">
        <v>69</v>
      </c>
      <c r="O120" s="34"/>
    </row>
    <row r="121">
      <c r="A121" s="8">
        <v>46232.0</v>
      </c>
      <c r="B121" s="13" t="s">
        <v>120</v>
      </c>
      <c r="C121" s="15" t="s">
        <v>374</v>
      </c>
      <c r="D121" s="15" t="s">
        <v>41</v>
      </c>
      <c r="E121" s="15" t="s">
        <v>42</v>
      </c>
      <c r="F121" s="15" t="s">
        <v>48</v>
      </c>
      <c r="G121" s="13"/>
      <c r="H121" s="13" t="s">
        <v>797</v>
      </c>
      <c r="I121" s="50" t="s">
        <v>798</v>
      </c>
      <c r="J121" s="28" t="s">
        <v>141</v>
      </c>
      <c r="K121" s="31">
        <v>3.075621E7</v>
      </c>
      <c r="L121" s="28"/>
      <c r="M121" s="21">
        <v>22142.54</v>
      </c>
      <c r="N121" s="52"/>
      <c r="O121" s="52"/>
    </row>
    <row r="122">
      <c r="A122" s="39">
        <v>45958.0</v>
      </c>
      <c r="B122" s="13" t="s">
        <v>125</v>
      </c>
      <c r="C122" s="15" t="s">
        <v>519</v>
      </c>
      <c r="D122" s="15" t="s">
        <v>41</v>
      </c>
      <c r="E122" s="15" t="s">
        <v>42</v>
      </c>
      <c r="F122" s="15" t="s">
        <v>44</v>
      </c>
      <c r="G122" s="13"/>
      <c r="H122" s="13" t="s">
        <v>799</v>
      </c>
      <c r="I122" s="23"/>
      <c r="J122" s="28" t="s">
        <v>56</v>
      </c>
      <c r="K122" s="31">
        <v>4.19265E8</v>
      </c>
      <c r="L122" s="28" t="s">
        <v>66</v>
      </c>
      <c r="M122" s="49">
        <v>373100.0</v>
      </c>
      <c r="N122" s="34" t="s">
        <v>69</v>
      </c>
      <c r="O122" s="34"/>
    </row>
    <row r="123">
      <c r="A123" s="8">
        <v>45992.0</v>
      </c>
      <c r="B123" s="13" t="s">
        <v>125</v>
      </c>
      <c r="C123" s="15" t="s">
        <v>527</v>
      </c>
      <c r="D123" s="15" t="s">
        <v>41</v>
      </c>
      <c r="E123" s="15" t="s">
        <v>42</v>
      </c>
      <c r="F123" s="15" t="s">
        <v>44</v>
      </c>
      <c r="G123" s="13"/>
      <c r="H123" s="13" t="s">
        <v>800</v>
      </c>
      <c r="I123" s="23"/>
      <c r="J123" s="28" t="s">
        <v>56</v>
      </c>
      <c r="K123" s="31">
        <v>1.0974053E8</v>
      </c>
      <c r="L123" s="28" t="s">
        <v>66</v>
      </c>
      <c r="M123" s="43">
        <v>156100.0</v>
      </c>
      <c r="N123" s="34" t="s">
        <v>69</v>
      </c>
      <c r="O123" s="34"/>
    </row>
    <row r="124">
      <c r="A124" s="39">
        <v>45622.0</v>
      </c>
      <c r="B124" s="13" t="s">
        <v>125</v>
      </c>
      <c r="C124" s="15" t="s">
        <v>269</v>
      </c>
      <c r="D124" s="15" t="s">
        <v>41</v>
      </c>
      <c r="E124" s="15" t="s">
        <v>42</v>
      </c>
      <c r="F124" s="15" t="s">
        <v>48</v>
      </c>
      <c r="G124" s="13"/>
      <c r="H124" s="13" t="s">
        <v>801</v>
      </c>
      <c r="I124" s="50" t="s">
        <v>802</v>
      </c>
      <c r="J124" s="50" t="s">
        <v>141</v>
      </c>
      <c r="K124" s="31">
        <v>2.32962415E7</v>
      </c>
      <c r="L124" s="28" t="s">
        <v>253</v>
      </c>
      <c r="M124" s="65">
        <v>23512.79</v>
      </c>
      <c r="N124" s="34" t="s">
        <v>69</v>
      </c>
      <c r="O124" s="34"/>
    </row>
    <row r="125">
      <c r="A125" s="8">
        <v>45534.0</v>
      </c>
      <c r="B125" s="13" t="s">
        <v>125</v>
      </c>
      <c r="C125" s="15" t="s">
        <v>620</v>
      </c>
      <c r="D125" s="15" t="s">
        <v>41</v>
      </c>
      <c r="E125" s="15" t="s">
        <v>42</v>
      </c>
      <c r="F125" s="15" t="s">
        <v>44</v>
      </c>
      <c r="G125" s="13"/>
      <c r="H125" s="13" t="s">
        <v>803</v>
      </c>
      <c r="I125" s="23"/>
      <c r="J125" s="28" t="s">
        <v>56</v>
      </c>
      <c r="K125" s="31">
        <v>4.9864145E7</v>
      </c>
      <c r="L125" s="28" t="s">
        <v>66</v>
      </c>
      <c r="M125" s="43">
        <v>217840.0</v>
      </c>
      <c r="N125" s="34" t="s">
        <v>69</v>
      </c>
      <c r="O125" s="34"/>
    </row>
    <row r="126">
      <c r="A126" s="8">
        <v>44760.0</v>
      </c>
      <c r="B126" s="13" t="s">
        <v>125</v>
      </c>
      <c r="C126" s="15" t="s">
        <v>269</v>
      </c>
      <c r="D126" s="15" t="s">
        <v>41</v>
      </c>
      <c r="E126" s="15" t="s">
        <v>42</v>
      </c>
      <c r="F126" s="15" t="s">
        <v>44</v>
      </c>
      <c r="G126" s="13"/>
      <c r="H126" s="13" t="s">
        <v>44</v>
      </c>
      <c r="I126" s="94" t="s">
        <v>804</v>
      </c>
      <c r="J126" s="50" t="s">
        <v>141</v>
      </c>
      <c r="K126" s="44">
        <v>1.200935E8</v>
      </c>
      <c r="L126" s="47"/>
      <c r="M126" s="67">
        <v>259000.0</v>
      </c>
      <c r="N126" s="34" t="s">
        <v>69</v>
      </c>
      <c r="O126" s="34"/>
    </row>
    <row r="127">
      <c r="A127" s="8">
        <v>46084.0</v>
      </c>
      <c r="B127" s="13" t="s">
        <v>125</v>
      </c>
      <c r="C127" s="15" t="s">
        <v>625</v>
      </c>
      <c r="D127" s="15" t="s">
        <v>41</v>
      </c>
      <c r="E127" s="15" t="s">
        <v>42</v>
      </c>
      <c r="F127" s="15" t="s">
        <v>44</v>
      </c>
      <c r="G127" s="13"/>
      <c r="H127" s="13" t="s">
        <v>805</v>
      </c>
      <c r="I127" s="95"/>
      <c r="J127" s="50" t="s">
        <v>56</v>
      </c>
      <c r="K127" s="31">
        <v>2.929924E8</v>
      </c>
      <c r="L127" s="28" t="s">
        <v>283</v>
      </c>
      <c r="M127" s="69">
        <v>151060.0</v>
      </c>
      <c r="N127" s="34" t="s">
        <v>69</v>
      </c>
      <c r="O127" s="34"/>
    </row>
    <row r="128">
      <c r="A128" s="8">
        <v>45909.0</v>
      </c>
      <c r="B128" s="13" t="s">
        <v>125</v>
      </c>
      <c r="C128" s="15" t="s">
        <v>664</v>
      </c>
      <c r="D128" s="15" t="s">
        <v>41</v>
      </c>
      <c r="E128" s="15" t="s">
        <v>42</v>
      </c>
      <c r="F128" s="15" t="s">
        <v>44</v>
      </c>
      <c r="G128" s="13"/>
      <c r="H128" s="13" t="s">
        <v>735</v>
      </c>
      <c r="I128" s="23"/>
      <c r="J128" s="28" t="s">
        <v>56</v>
      </c>
      <c r="K128" s="31">
        <v>2.979213071E7</v>
      </c>
      <c r="L128" s="28" t="s">
        <v>66</v>
      </c>
      <c r="M128" s="49">
        <v>220500.0</v>
      </c>
      <c r="N128" s="34" t="s">
        <v>69</v>
      </c>
      <c r="O128" s="34"/>
    </row>
    <row r="129">
      <c r="A129" s="8">
        <v>46112.0</v>
      </c>
      <c r="B129" s="13" t="s">
        <v>125</v>
      </c>
      <c r="C129" s="15" t="s">
        <v>673</v>
      </c>
      <c r="D129" s="15" t="s">
        <v>41</v>
      </c>
      <c r="E129" s="15" t="s">
        <v>42</v>
      </c>
      <c r="F129" s="15" t="s">
        <v>48</v>
      </c>
      <c r="G129" s="13"/>
      <c r="H129" s="13" t="s">
        <v>806</v>
      </c>
      <c r="I129" s="50" t="s">
        <v>807</v>
      </c>
      <c r="J129" s="28" t="s">
        <v>56</v>
      </c>
      <c r="K129" s="31">
        <v>1.321E7</v>
      </c>
      <c r="L129" s="28" t="s">
        <v>283</v>
      </c>
      <c r="M129" s="45">
        <v>9880.0482858378</v>
      </c>
      <c r="N129" s="34" t="s">
        <v>69</v>
      </c>
      <c r="O129" s="34"/>
    </row>
    <row r="130">
      <c r="A130" s="8">
        <v>45995.0</v>
      </c>
      <c r="B130" s="13" t="s">
        <v>125</v>
      </c>
      <c r="C130" s="15" t="s">
        <v>296</v>
      </c>
      <c r="D130" s="15" t="s">
        <v>41</v>
      </c>
      <c r="E130" s="15" t="s">
        <v>42</v>
      </c>
      <c r="F130" s="15" t="s">
        <v>44</v>
      </c>
      <c r="G130" s="13"/>
      <c r="H130" s="13" t="s">
        <v>746</v>
      </c>
      <c r="I130" s="50"/>
      <c r="J130" s="28" t="s">
        <v>141</v>
      </c>
      <c r="K130" s="31">
        <v>7.0276122E7</v>
      </c>
      <c r="L130" s="28" t="s">
        <v>144</v>
      </c>
      <c r="M130" s="45">
        <v>47814.04</v>
      </c>
      <c r="N130" s="34" t="s">
        <v>69</v>
      </c>
      <c r="O130" s="34"/>
    </row>
    <row r="131">
      <c r="A131" s="39">
        <v>45989.0</v>
      </c>
      <c r="B131" s="13" t="s">
        <v>125</v>
      </c>
      <c r="C131" s="15" t="s">
        <v>664</v>
      </c>
      <c r="D131" s="15" t="s">
        <v>41</v>
      </c>
      <c r="E131" s="15" t="s">
        <v>42</v>
      </c>
      <c r="F131" s="15" t="s">
        <v>48</v>
      </c>
      <c r="G131" s="13"/>
      <c r="H131" s="13" t="s">
        <v>777</v>
      </c>
      <c r="I131" s="50" t="s">
        <v>808</v>
      </c>
      <c r="J131" s="28" t="s">
        <v>56</v>
      </c>
      <c r="K131" s="31">
        <v>1.082E7</v>
      </c>
      <c r="L131" s="28" t="s">
        <v>66</v>
      </c>
      <c r="M131" s="45">
        <v>10569.502784018756</v>
      </c>
      <c r="N131" s="34" t="s">
        <v>69</v>
      </c>
      <c r="O131" s="34"/>
    </row>
    <row r="132">
      <c r="A132" s="8">
        <v>45902.0</v>
      </c>
      <c r="B132" s="13" t="s">
        <v>117</v>
      </c>
      <c r="C132" s="15" t="s">
        <v>394</v>
      </c>
      <c r="D132" s="15" t="s">
        <v>41</v>
      </c>
      <c r="E132" s="15" t="s">
        <v>42</v>
      </c>
      <c r="F132" s="15" t="s">
        <v>48</v>
      </c>
      <c r="G132" s="50"/>
      <c r="H132" s="50" t="s">
        <v>809</v>
      </c>
      <c r="I132" s="97" t="s">
        <v>810</v>
      </c>
      <c r="J132" s="28" t="s">
        <v>56</v>
      </c>
      <c r="K132" s="31">
        <v>1.03E7</v>
      </c>
      <c r="L132" s="28" t="s">
        <v>66</v>
      </c>
      <c r="M132" s="45">
        <v>10369.057925785733</v>
      </c>
      <c r="N132" s="34" t="s">
        <v>69</v>
      </c>
      <c r="O132" s="34"/>
    </row>
    <row r="133">
      <c r="A133" s="39">
        <v>46178.0</v>
      </c>
      <c r="B133" s="13" t="s">
        <v>117</v>
      </c>
      <c r="C133" s="15" t="s">
        <v>477</v>
      </c>
      <c r="D133" s="15" t="s">
        <v>41</v>
      </c>
      <c r="E133" s="15" t="s">
        <v>42</v>
      </c>
      <c r="F133" s="15" t="s">
        <v>48</v>
      </c>
      <c r="G133" s="13"/>
      <c r="H133" s="13" t="s">
        <v>617</v>
      </c>
      <c r="I133" s="50" t="s">
        <v>811</v>
      </c>
      <c r="J133" s="28" t="s">
        <v>56</v>
      </c>
      <c r="K133" s="31">
        <v>1.5175E7</v>
      </c>
      <c r="L133" s="28" t="s">
        <v>66</v>
      </c>
      <c r="M133" s="21">
        <v>15357.76</v>
      </c>
      <c r="N133" s="34" t="s">
        <v>69</v>
      </c>
      <c r="O133" s="34"/>
    </row>
    <row r="134">
      <c r="A134" s="8">
        <v>45545.0</v>
      </c>
      <c r="B134" s="13" t="s">
        <v>117</v>
      </c>
      <c r="C134" s="15" t="s">
        <v>407</v>
      </c>
      <c r="D134" s="15" t="s">
        <v>41</v>
      </c>
      <c r="E134" s="15" t="s">
        <v>42</v>
      </c>
      <c r="F134" s="15" t="s">
        <v>48</v>
      </c>
      <c r="G134" s="13"/>
      <c r="H134" s="13" t="s">
        <v>813</v>
      </c>
      <c r="I134" s="50" t="s">
        <v>814</v>
      </c>
      <c r="J134" s="28" t="s">
        <v>56</v>
      </c>
      <c r="K134" s="31">
        <v>6370000.0</v>
      </c>
      <c r="L134" s="28" t="s">
        <v>66</v>
      </c>
      <c r="M134" s="21">
        <v>29296.79</v>
      </c>
      <c r="N134" s="34" t="s">
        <v>69</v>
      </c>
      <c r="O134" s="34"/>
    </row>
    <row r="135">
      <c r="A135" s="8">
        <v>45786.0</v>
      </c>
      <c r="B135" s="13" t="s">
        <v>117</v>
      </c>
      <c r="C135" s="15" t="s">
        <v>410</v>
      </c>
      <c r="D135" s="15" t="s">
        <v>41</v>
      </c>
      <c r="E135" s="15" t="s">
        <v>42</v>
      </c>
      <c r="F135" s="15" t="s">
        <v>48</v>
      </c>
      <c r="G135" s="13"/>
      <c r="H135" s="13" t="s">
        <v>820</v>
      </c>
      <c r="I135" s="50" t="s">
        <v>822</v>
      </c>
      <c r="J135" s="28" t="s">
        <v>56</v>
      </c>
      <c r="K135" s="31">
        <v>1.693E7</v>
      </c>
      <c r="L135" s="28" t="s">
        <v>66</v>
      </c>
      <c r="M135" s="21">
        <v>76763.06</v>
      </c>
      <c r="N135" s="34" t="s">
        <v>69</v>
      </c>
      <c r="O135" s="34"/>
    </row>
    <row r="136">
      <c r="A136" s="39">
        <v>46006.0</v>
      </c>
      <c r="B136" s="13" t="s">
        <v>117</v>
      </c>
      <c r="C136" s="15" t="s">
        <v>236</v>
      </c>
      <c r="D136" s="15" t="s">
        <v>41</v>
      </c>
      <c r="E136" s="15" t="s">
        <v>42</v>
      </c>
      <c r="F136" s="15" t="s">
        <v>44</v>
      </c>
      <c r="G136" s="13"/>
      <c r="H136" s="13" t="s">
        <v>739</v>
      </c>
      <c r="I136" s="23"/>
      <c r="J136" s="28" t="s">
        <v>56</v>
      </c>
      <c r="K136" s="31">
        <v>3.064E7</v>
      </c>
      <c r="L136" s="28" t="s">
        <v>740</v>
      </c>
      <c r="M136" s="21">
        <v>33915.0</v>
      </c>
      <c r="N136" s="34" t="s">
        <v>69</v>
      </c>
      <c r="O136" s="34"/>
    </row>
    <row r="137">
      <c r="A137" s="39">
        <v>45988.0</v>
      </c>
      <c r="B137" s="13" t="s">
        <v>117</v>
      </c>
      <c r="C137" s="15" t="s">
        <v>246</v>
      </c>
      <c r="D137" s="15" t="s">
        <v>41</v>
      </c>
      <c r="E137" s="15" t="s">
        <v>42</v>
      </c>
      <c r="F137" s="15" t="s">
        <v>44</v>
      </c>
      <c r="G137" s="13"/>
      <c r="H137" s="13" t="s">
        <v>735</v>
      </c>
      <c r="I137" s="23"/>
      <c r="J137" s="28" t="s">
        <v>56</v>
      </c>
      <c r="K137" s="31">
        <v>1.8589975E7</v>
      </c>
      <c r="L137" s="28" t="s">
        <v>66</v>
      </c>
      <c r="M137" s="49">
        <v>204400.0</v>
      </c>
      <c r="N137" s="34" t="s">
        <v>69</v>
      </c>
      <c r="O137" s="34"/>
    </row>
    <row r="138">
      <c r="A138" s="102"/>
      <c r="B138" s="13" t="s">
        <v>125</v>
      </c>
      <c r="C138" s="15" t="s">
        <v>519</v>
      </c>
      <c r="D138" s="15" t="s">
        <v>41</v>
      </c>
      <c r="E138" s="15" t="s">
        <v>42</v>
      </c>
      <c r="F138" s="15" t="s">
        <v>48</v>
      </c>
      <c r="G138" s="13"/>
      <c r="H138" s="13" t="s">
        <v>558</v>
      </c>
      <c r="I138" s="50" t="s">
        <v>866</v>
      </c>
      <c r="J138" s="28" t="s">
        <v>141</v>
      </c>
      <c r="K138" s="31">
        <v>9823935.55</v>
      </c>
      <c r="L138" s="28"/>
      <c r="M138" s="45">
        <v>6471.332382564705</v>
      </c>
      <c r="N138" s="34" t="s">
        <v>69</v>
      </c>
      <c r="O138" s="34"/>
    </row>
    <row r="139">
      <c r="A139" s="8">
        <v>46129.0</v>
      </c>
      <c r="B139" s="13" t="s">
        <v>125</v>
      </c>
      <c r="C139" s="15" t="s">
        <v>527</v>
      </c>
      <c r="D139" s="15" t="s">
        <v>41</v>
      </c>
      <c r="E139" s="15" t="s">
        <v>42</v>
      </c>
      <c r="F139" s="15" t="s">
        <v>44</v>
      </c>
      <c r="G139" s="13"/>
      <c r="H139" s="13" t="s">
        <v>876</v>
      </c>
      <c r="I139" s="23"/>
      <c r="J139" s="28" t="s">
        <v>141</v>
      </c>
      <c r="K139" s="31">
        <v>2.1880768081E8</v>
      </c>
      <c r="L139" s="28" t="s">
        <v>253</v>
      </c>
      <c r="M139" s="49">
        <v>222250.0</v>
      </c>
      <c r="N139" s="34" t="s">
        <v>69</v>
      </c>
      <c r="O139" s="34"/>
    </row>
    <row r="140">
      <c r="A140" s="8">
        <v>46106.0</v>
      </c>
      <c r="B140" s="13" t="s">
        <v>125</v>
      </c>
      <c r="C140" s="15" t="s">
        <v>620</v>
      </c>
      <c r="D140" s="15" t="s">
        <v>41</v>
      </c>
      <c r="E140" s="15" t="s">
        <v>42</v>
      </c>
      <c r="F140" s="15" t="s">
        <v>44</v>
      </c>
      <c r="G140" s="13"/>
      <c r="H140" s="13" t="s">
        <v>891</v>
      </c>
      <c r="I140" s="23"/>
      <c r="J140" s="28" t="s">
        <v>141</v>
      </c>
      <c r="K140" s="31">
        <v>2.5500252416E8</v>
      </c>
      <c r="L140" s="28" t="s">
        <v>253</v>
      </c>
      <c r="M140" s="49">
        <v>282268.0</v>
      </c>
      <c r="N140" s="34" t="s">
        <v>69</v>
      </c>
      <c r="O140" s="34"/>
    </row>
    <row r="141">
      <c r="A141" s="8">
        <v>45659.0</v>
      </c>
      <c r="B141" s="13" t="s">
        <v>117</v>
      </c>
      <c r="C141" s="15" t="s">
        <v>394</v>
      </c>
      <c r="D141" s="15" t="s">
        <v>41</v>
      </c>
      <c r="E141" s="15" t="s">
        <v>42</v>
      </c>
      <c r="F141" s="15" t="s">
        <v>44</v>
      </c>
      <c r="G141" s="13"/>
      <c r="H141" s="13" t="s">
        <v>735</v>
      </c>
      <c r="I141" s="23"/>
      <c r="J141" s="28" t="s">
        <v>56</v>
      </c>
      <c r="K141" s="31">
        <v>1.85455E7</v>
      </c>
      <c r="L141" s="28" t="s">
        <v>66</v>
      </c>
      <c r="M141" s="21">
        <v>211610.0</v>
      </c>
      <c r="N141" s="34" t="s">
        <v>69</v>
      </c>
      <c r="O141" s="34"/>
    </row>
    <row r="142">
      <c r="A142" s="8">
        <v>46142.0</v>
      </c>
      <c r="B142" s="13" t="s">
        <v>125</v>
      </c>
      <c r="C142" s="15" t="s">
        <v>499</v>
      </c>
      <c r="D142" s="15" t="s">
        <v>41</v>
      </c>
      <c r="E142" s="15" t="s">
        <v>42</v>
      </c>
      <c r="F142" s="15" t="s">
        <v>44</v>
      </c>
      <c r="G142" s="13"/>
      <c r="H142" s="13" t="s">
        <v>567</v>
      </c>
      <c r="I142" s="23"/>
      <c r="J142" s="28" t="s">
        <v>141</v>
      </c>
      <c r="K142" s="31">
        <v>1.5E8</v>
      </c>
      <c r="L142" s="28" t="s">
        <v>144</v>
      </c>
      <c r="M142" s="21">
        <v>124740.0</v>
      </c>
      <c r="N142" s="34" t="s">
        <v>69</v>
      </c>
      <c r="O142" s="34"/>
    </row>
    <row r="143">
      <c r="A143" s="8">
        <v>45352.0</v>
      </c>
      <c r="B143" s="13" t="s">
        <v>117</v>
      </c>
      <c r="C143" s="15" t="s">
        <v>407</v>
      </c>
      <c r="D143" s="15" t="s">
        <v>41</v>
      </c>
      <c r="E143" s="15" t="s">
        <v>42</v>
      </c>
      <c r="F143" s="15" t="s">
        <v>44</v>
      </c>
      <c r="G143" s="13"/>
      <c r="H143" s="13" t="s">
        <v>927</v>
      </c>
      <c r="I143" s="23"/>
      <c r="J143" s="28" t="s">
        <v>56</v>
      </c>
      <c r="K143" s="31">
        <v>3.684114284E7</v>
      </c>
      <c r="L143" s="28" t="s">
        <v>66</v>
      </c>
      <c r="M143" s="21">
        <v>304220.0</v>
      </c>
      <c r="N143" s="34" t="s">
        <v>69</v>
      </c>
      <c r="O143" s="34"/>
    </row>
    <row r="144">
      <c r="A144" s="39"/>
      <c r="B144" s="13" t="s">
        <v>117</v>
      </c>
      <c r="C144" s="15" t="s">
        <v>246</v>
      </c>
      <c r="D144" s="15" t="s">
        <v>41</v>
      </c>
      <c r="E144" s="15" t="s">
        <v>42</v>
      </c>
      <c r="F144" s="15" t="s">
        <v>44</v>
      </c>
      <c r="G144" s="13"/>
      <c r="H144" s="13" t="s">
        <v>938</v>
      </c>
      <c r="I144" s="23"/>
      <c r="J144" s="28" t="s">
        <v>141</v>
      </c>
      <c r="K144" s="31">
        <v>3.1218E8</v>
      </c>
      <c r="L144" s="28" t="s">
        <v>271</v>
      </c>
      <c r="M144" s="49">
        <v>240800.0</v>
      </c>
      <c r="N144" s="34" t="s">
        <v>69</v>
      </c>
      <c r="O144" s="34"/>
    </row>
    <row r="145">
      <c r="A145" s="8">
        <v>45797.0</v>
      </c>
      <c r="B145" s="13" t="s">
        <v>117</v>
      </c>
      <c r="C145" s="15" t="s">
        <v>414</v>
      </c>
      <c r="D145" s="15" t="s">
        <v>41</v>
      </c>
      <c r="E145" s="15" t="s">
        <v>42</v>
      </c>
      <c r="F145" s="15" t="s">
        <v>44</v>
      </c>
      <c r="G145" s="13"/>
      <c r="H145" s="13" t="s">
        <v>948</v>
      </c>
      <c r="I145" s="23"/>
      <c r="J145" s="28" t="s">
        <v>56</v>
      </c>
      <c r="K145" s="31">
        <v>1.505E7</v>
      </c>
      <c r="L145" s="28" t="s">
        <v>283</v>
      </c>
      <c r="M145" s="21">
        <v>147000.0</v>
      </c>
      <c r="N145" s="34" t="s">
        <v>69</v>
      </c>
      <c r="O145" s="34"/>
    </row>
    <row r="146">
      <c r="A146" s="39">
        <v>45270.0</v>
      </c>
      <c r="B146" s="13" t="s">
        <v>117</v>
      </c>
      <c r="C146" s="15" t="s">
        <v>414</v>
      </c>
      <c r="D146" s="15" t="s">
        <v>41</v>
      </c>
      <c r="E146" s="15" t="s">
        <v>42</v>
      </c>
      <c r="F146" s="15" t="s">
        <v>48</v>
      </c>
      <c r="G146" s="13"/>
      <c r="H146" s="13" t="s">
        <v>718</v>
      </c>
      <c r="I146" s="50" t="s">
        <v>966</v>
      </c>
      <c r="J146" s="28" t="s">
        <v>56</v>
      </c>
      <c r="K146" s="31">
        <v>1135000.0</v>
      </c>
      <c r="L146" s="28" t="s">
        <v>283</v>
      </c>
      <c r="M146" s="21">
        <v>6033.7</v>
      </c>
      <c r="N146" s="34" t="s">
        <v>69</v>
      </c>
      <c r="O146" s="34"/>
    </row>
    <row r="147">
      <c r="A147" s="8">
        <v>45786.0</v>
      </c>
      <c r="B147" s="13" t="s">
        <v>117</v>
      </c>
      <c r="C147" s="15" t="s">
        <v>410</v>
      </c>
      <c r="D147" s="15" t="s">
        <v>41</v>
      </c>
      <c r="E147" s="15" t="s">
        <v>42</v>
      </c>
      <c r="F147" s="15" t="s">
        <v>44</v>
      </c>
      <c r="G147" s="13"/>
      <c r="H147" s="13" t="s">
        <v>735</v>
      </c>
      <c r="I147" s="23"/>
      <c r="J147" s="28" t="s">
        <v>56</v>
      </c>
      <c r="K147" s="31">
        <v>2.73E7</v>
      </c>
      <c r="L147" s="28" t="s">
        <v>66</v>
      </c>
      <c r="M147" s="21">
        <v>294000.0</v>
      </c>
      <c r="N147" s="34" t="s">
        <v>69</v>
      </c>
      <c r="O147" s="34"/>
    </row>
    <row r="148">
      <c r="A148" s="39">
        <v>46169.0</v>
      </c>
      <c r="B148" s="13" t="s">
        <v>117</v>
      </c>
      <c r="C148" s="15" t="s">
        <v>591</v>
      </c>
      <c r="D148" s="15" t="s">
        <v>41</v>
      </c>
      <c r="E148" s="15" t="s">
        <v>42</v>
      </c>
      <c r="F148" s="15" t="s">
        <v>48</v>
      </c>
      <c r="G148" s="13"/>
      <c r="H148" s="13" t="s">
        <v>989</v>
      </c>
      <c r="I148" s="50" t="s">
        <v>990</v>
      </c>
      <c r="J148" s="28" t="s">
        <v>56</v>
      </c>
      <c r="K148" s="31">
        <v>1.54E7</v>
      </c>
      <c r="L148" s="28" t="s">
        <v>66</v>
      </c>
      <c r="M148" s="21">
        <v>11168.24</v>
      </c>
      <c r="N148" s="34" t="s">
        <v>69</v>
      </c>
      <c r="O148" s="34"/>
    </row>
    <row r="149">
      <c r="A149" s="8">
        <v>46181.0</v>
      </c>
      <c r="B149" s="13" t="s">
        <v>117</v>
      </c>
      <c r="C149" s="15" t="s">
        <v>246</v>
      </c>
      <c r="D149" s="15" t="s">
        <v>41</v>
      </c>
      <c r="E149" s="15" t="s">
        <v>42</v>
      </c>
      <c r="F149" s="15" t="s">
        <v>48</v>
      </c>
      <c r="G149" s="13"/>
      <c r="H149" s="13" t="s">
        <v>1002</v>
      </c>
      <c r="I149" s="50" t="s">
        <v>1003</v>
      </c>
      <c r="J149" s="28" t="s">
        <v>141</v>
      </c>
      <c r="K149" s="31">
        <v>3.38271E7</v>
      </c>
      <c r="L149" s="28"/>
      <c r="M149" s="21">
        <v>22683.87</v>
      </c>
      <c r="N149" s="34" t="s">
        <v>69</v>
      </c>
      <c r="O149" s="34"/>
    </row>
    <row r="150">
      <c r="A150" s="39">
        <v>45270.0</v>
      </c>
      <c r="B150" s="13" t="s">
        <v>117</v>
      </c>
      <c r="C150" s="15" t="s">
        <v>275</v>
      </c>
      <c r="D150" s="15" t="s">
        <v>41</v>
      </c>
      <c r="E150" s="15" t="s">
        <v>42</v>
      </c>
      <c r="F150" s="15" t="s">
        <v>48</v>
      </c>
      <c r="G150" s="13"/>
      <c r="H150" s="13" t="s">
        <v>1013</v>
      </c>
      <c r="I150" s="50" t="s">
        <v>1014</v>
      </c>
      <c r="J150" s="28" t="s">
        <v>141</v>
      </c>
      <c r="K150" s="31">
        <v>1280000.0</v>
      </c>
      <c r="L150" s="28" t="s">
        <v>253</v>
      </c>
      <c r="M150" s="21">
        <v>6804.53</v>
      </c>
      <c r="N150" s="34" t="s">
        <v>69</v>
      </c>
      <c r="O150" s="34"/>
    </row>
    <row r="151">
      <c r="A151" s="8">
        <v>45771.0</v>
      </c>
      <c r="B151" s="13" t="s">
        <v>117</v>
      </c>
      <c r="C151" s="15" t="s">
        <v>591</v>
      </c>
      <c r="D151" s="15" t="s">
        <v>41</v>
      </c>
      <c r="E151" s="15" t="s">
        <v>42</v>
      </c>
      <c r="F151" s="15" t="s">
        <v>44</v>
      </c>
      <c r="G151" s="13"/>
      <c r="H151" s="13" t="s">
        <v>735</v>
      </c>
      <c r="I151" s="23"/>
      <c r="J151" s="28" t="s">
        <v>56</v>
      </c>
      <c r="K151" s="31">
        <v>2.675768E7</v>
      </c>
      <c r="L151" s="28" t="s">
        <v>66</v>
      </c>
      <c r="M151" s="21">
        <v>272230.0</v>
      </c>
      <c r="N151" s="34" t="s">
        <v>69</v>
      </c>
      <c r="O151" s="34"/>
    </row>
    <row r="152">
      <c r="A152" s="8">
        <v>45896.0</v>
      </c>
      <c r="B152" s="13" t="s">
        <v>117</v>
      </c>
      <c r="C152" s="15" t="s">
        <v>117</v>
      </c>
      <c r="D152" s="15" t="s">
        <v>41</v>
      </c>
      <c r="E152" s="15" t="s">
        <v>42</v>
      </c>
      <c r="F152" s="15" t="s">
        <v>44</v>
      </c>
      <c r="G152" s="13"/>
      <c r="H152" s="13" t="s">
        <v>1031</v>
      </c>
      <c r="I152" s="23"/>
      <c r="J152" s="28" t="s">
        <v>56</v>
      </c>
      <c r="K152" s="31">
        <v>3.4712259428E8</v>
      </c>
      <c r="L152" s="28" t="s">
        <v>283</v>
      </c>
      <c r="M152" s="21">
        <v>324068.5</v>
      </c>
      <c r="N152" s="34" t="s">
        <v>69</v>
      </c>
      <c r="O152" s="34"/>
    </row>
    <row r="153">
      <c r="A153" s="8">
        <v>45818.0</v>
      </c>
      <c r="B153" s="13" t="s">
        <v>117</v>
      </c>
      <c r="C153" s="15" t="s">
        <v>645</v>
      </c>
      <c r="D153" s="15" t="s">
        <v>41</v>
      </c>
      <c r="E153" s="15" t="s">
        <v>42</v>
      </c>
      <c r="F153" s="15" t="s">
        <v>44</v>
      </c>
      <c r="G153" s="13"/>
      <c r="H153" s="13" t="s">
        <v>1040</v>
      </c>
      <c r="I153" s="23"/>
      <c r="J153" s="28" t="s">
        <v>56</v>
      </c>
      <c r="K153" s="31">
        <v>2.4989975E7</v>
      </c>
      <c r="L153" s="28" t="s">
        <v>66</v>
      </c>
      <c r="M153" s="21">
        <v>285250.0</v>
      </c>
      <c r="N153" s="34" t="s">
        <v>69</v>
      </c>
      <c r="O153" s="34"/>
    </row>
    <row r="154">
      <c r="A154" s="8">
        <v>46100.0</v>
      </c>
      <c r="B154" s="13" t="s">
        <v>117</v>
      </c>
      <c r="C154" s="15" t="s">
        <v>394</v>
      </c>
      <c r="D154" s="15" t="s">
        <v>41</v>
      </c>
      <c r="E154" s="15" t="s">
        <v>42</v>
      </c>
      <c r="F154" s="15" t="s">
        <v>48</v>
      </c>
      <c r="G154" s="13"/>
      <c r="H154" s="13" t="s">
        <v>1013</v>
      </c>
      <c r="I154" s="50" t="s">
        <v>1049</v>
      </c>
      <c r="J154" s="28" t="s">
        <v>141</v>
      </c>
      <c r="K154" s="31">
        <v>5400000.0</v>
      </c>
      <c r="L154" s="28" t="s">
        <v>253</v>
      </c>
      <c r="M154" s="45">
        <v>5436.205126140093</v>
      </c>
      <c r="N154" s="34" t="s">
        <v>69</v>
      </c>
      <c r="O154" s="34"/>
    </row>
    <row r="155">
      <c r="A155" s="8">
        <v>46106.0</v>
      </c>
      <c r="B155" s="13" t="s">
        <v>117</v>
      </c>
      <c r="C155" s="15" t="s">
        <v>407</v>
      </c>
      <c r="D155" s="15" t="s">
        <v>41</v>
      </c>
      <c r="E155" s="15" t="s">
        <v>42</v>
      </c>
      <c r="F155" s="15" t="s">
        <v>44</v>
      </c>
      <c r="G155" s="13"/>
      <c r="H155" s="13" t="s">
        <v>1058</v>
      </c>
      <c r="I155" s="23"/>
      <c r="J155" s="28" t="s">
        <v>141</v>
      </c>
      <c r="K155" s="31">
        <v>2.5343269167E8</v>
      </c>
      <c r="L155" s="28"/>
      <c r="M155" s="21">
        <v>248451.0</v>
      </c>
      <c r="N155" s="34" t="s">
        <v>69</v>
      </c>
      <c r="O155" s="34"/>
    </row>
    <row r="156">
      <c r="A156" s="8">
        <v>46178.0</v>
      </c>
      <c r="B156" s="13" t="s">
        <v>117</v>
      </c>
      <c r="C156" s="15" t="s">
        <v>477</v>
      </c>
      <c r="D156" s="15" t="s">
        <v>41</v>
      </c>
      <c r="E156" s="15" t="s">
        <v>42</v>
      </c>
      <c r="F156" s="15" t="s">
        <v>44</v>
      </c>
      <c r="G156" s="13"/>
      <c r="H156" s="13" t="s">
        <v>1066</v>
      </c>
      <c r="I156" s="23"/>
      <c r="J156" s="28" t="s">
        <v>56</v>
      </c>
      <c r="K156" s="31">
        <v>1.64776203E7</v>
      </c>
      <c r="L156" s="28" t="s">
        <v>66</v>
      </c>
      <c r="M156" s="21">
        <v>141400.0</v>
      </c>
      <c r="N156" s="75"/>
      <c r="O156" s="75"/>
    </row>
    <row r="157">
      <c r="A157" s="8">
        <v>46181.0</v>
      </c>
      <c r="B157" s="13" t="s">
        <v>117</v>
      </c>
      <c r="C157" s="15" t="s">
        <v>566</v>
      </c>
      <c r="D157" s="15" t="s">
        <v>41</v>
      </c>
      <c r="E157" s="15" t="s">
        <v>42</v>
      </c>
      <c r="F157" s="15" t="s">
        <v>44</v>
      </c>
      <c r="G157" s="13"/>
      <c r="H157" s="13" t="s">
        <v>1075</v>
      </c>
      <c r="I157" s="23"/>
      <c r="J157" s="28" t="s">
        <v>187</v>
      </c>
      <c r="K157" s="51">
        <v>5.2234840474E8</v>
      </c>
      <c r="L157" s="28" t="s">
        <v>189</v>
      </c>
      <c r="M157" s="21">
        <v>430500.0</v>
      </c>
      <c r="N157" s="52"/>
      <c r="O157" s="52"/>
    </row>
    <row r="158">
      <c r="A158" s="39">
        <v>45283.0</v>
      </c>
      <c r="B158" s="13" t="s">
        <v>84</v>
      </c>
      <c r="C158" s="15" t="s">
        <v>220</v>
      </c>
      <c r="D158" s="15" t="s">
        <v>41</v>
      </c>
      <c r="E158" s="15" t="s">
        <v>42</v>
      </c>
      <c r="F158" s="15" t="s">
        <v>48</v>
      </c>
      <c r="G158" s="13"/>
      <c r="H158" s="13" t="s">
        <v>1084</v>
      </c>
      <c r="I158" s="50" t="s">
        <v>1085</v>
      </c>
      <c r="J158" s="28" t="s">
        <v>56</v>
      </c>
      <c r="K158" s="31">
        <v>2000000.0</v>
      </c>
      <c r="L158" s="28" t="s">
        <v>66</v>
      </c>
      <c r="M158" s="21">
        <v>10632.08</v>
      </c>
      <c r="N158" s="115" t="s">
        <v>1089</v>
      </c>
      <c r="O158" s="115"/>
    </row>
    <row r="159">
      <c r="A159" s="8">
        <v>45809.0</v>
      </c>
      <c r="B159" s="13" t="s">
        <v>117</v>
      </c>
      <c r="C159" s="15" t="s">
        <v>416</v>
      </c>
      <c r="D159" s="15" t="s">
        <v>41</v>
      </c>
      <c r="E159" s="15" t="s">
        <v>42</v>
      </c>
      <c r="F159" s="15" t="s">
        <v>44</v>
      </c>
      <c r="G159" s="13"/>
      <c r="H159" s="13" t="s">
        <v>1097</v>
      </c>
      <c r="I159" s="23"/>
      <c r="J159" s="28" t="s">
        <v>141</v>
      </c>
      <c r="K159" s="31">
        <v>3.685E7</v>
      </c>
      <c r="L159" s="47"/>
      <c r="M159" s="21">
        <v>350000.0</v>
      </c>
      <c r="N159" s="34" t="s">
        <v>69</v>
      </c>
      <c r="O159" s="34"/>
    </row>
    <row r="160">
      <c r="A160" s="39">
        <v>45270.0</v>
      </c>
      <c r="B160" s="13" t="s">
        <v>117</v>
      </c>
      <c r="C160" s="15" t="s">
        <v>416</v>
      </c>
      <c r="D160" s="15" t="s">
        <v>41</v>
      </c>
      <c r="E160" s="15" t="s">
        <v>42</v>
      </c>
      <c r="F160" s="15" t="s">
        <v>48</v>
      </c>
      <c r="G160" s="13"/>
      <c r="H160" s="13" t="s">
        <v>1013</v>
      </c>
      <c r="I160" s="50" t="s">
        <v>1106</v>
      </c>
      <c r="J160" s="28" t="s">
        <v>141</v>
      </c>
      <c r="K160" s="31">
        <v>3.847E7</v>
      </c>
      <c r="L160" s="28" t="s">
        <v>253</v>
      </c>
      <c r="M160" s="21">
        <v>18848.49</v>
      </c>
      <c r="N160" s="34" t="s">
        <v>69</v>
      </c>
      <c r="O160" s="34"/>
    </row>
    <row r="161">
      <c r="A161" s="8">
        <v>46106.0</v>
      </c>
      <c r="B161" s="13" t="s">
        <v>117</v>
      </c>
      <c r="C161" s="15" t="s">
        <v>645</v>
      </c>
      <c r="D161" s="15" t="s">
        <v>41</v>
      </c>
      <c r="E161" s="15" t="s">
        <v>42</v>
      </c>
      <c r="F161" s="15" t="s">
        <v>44</v>
      </c>
      <c r="G161" s="13"/>
      <c r="H161" s="13" t="s">
        <v>938</v>
      </c>
      <c r="I161" s="23"/>
      <c r="J161" s="28" t="s">
        <v>141</v>
      </c>
      <c r="K161" s="31">
        <v>2.3250247405E8</v>
      </c>
      <c r="L161" s="28" t="s">
        <v>271</v>
      </c>
      <c r="M161" s="21">
        <v>200900.0</v>
      </c>
      <c r="N161" s="34" t="s">
        <v>69</v>
      </c>
      <c r="O161" s="34"/>
    </row>
    <row r="162">
      <c r="A162" s="8">
        <v>45870.0</v>
      </c>
      <c r="B162" s="13" t="s">
        <v>136</v>
      </c>
      <c r="C162" s="15" t="s">
        <v>108</v>
      </c>
      <c r="D162" s="15" t="s">
        <v>41</v>
      </c>
      <c r="E162" s="15" t="s">
        <v>42</v>
      </c>
      <c r="F162" s="15" t="s">
        <v>48</v>
      </c>
      <c r="G162" s="13"/>
      <c r="H162" s="13" t="s">
        <v>1117</v>
      </c>
      <c r="I162" s="50" t="s">
        <v>1119</v>
      </c>
      <c r="J162" s="28" t="s">
        <v>56</v>
      </c>
      <c r="K162" s="31">
        <v>4500000.0</v>
      </c>
      <c r="L162" s="28" t="s">
        <v>66</v>
      </c>
      <c r="M162" s="21">
        <v>12261.25</v>
      </c>
      <c r="N162" s="34" t="s">
        <v>69</v>
      </c>
      <c r="O162" s="34"/>
    </row>
    <row r="163">
      <c r="A163" s="8">
        <v>45860.0</v>
      </c>
      <c r="B163" s="13" t="s">
        <v>136</v>
      </c>
      <c r="C163" s="15" t="s">
        <v>216</v>
      </c>
      <c r="D163" s="15" t="s">
        <v>41</v>
      </c>
      <c r="E163" s="15" t="s">
        <v>42</v>
      </c>
      <c r="F163" s="15" t="s">
        <v>44</v>
      </c>
      <c r="G163" s="13"/>
      <c r="H163" s="13" t="s">
        <v>1124</v>
      </c>
      <c r="I163" s="23"/>
      <c r="J163" s="28" t="s">
        <v>56</v>
      </c>
      <c r="K163" s="31">
        <v>1.55068499E8</v>
      </c>
      <c r="L163" s="28" t="s">
        <v>283</v>
      </c>
      <c r="M163" s="49">
        <v>183122.8</v>
      </c>
      <c r="N163" s="34" t="s">
        <v>69</v>
      </c>
      <c r="O163" s="34"/>
    </row>
    <row r="164">
      <c r="A164" s="8">
        <v>46163.0</v>
      </c>
      <c r="B164" s="13" t="s">
        <v>136</v>
      </c>
      <c r="C164" s="15" t="s">
        <v>248</v>
      </c>
      <c r="D164" s="15" t="s">
        <v>41</v>
      </c>
      <c r="E164" s="15" t="s">
        <v>42</v>
      </c>
      <c r="F164" s="15" t="s">
        <v>48</v>
      </c>
      <c r="G164" s="13"/>
      <c r="H164" s="13" t="s">
        <v>1131</v>
      </c>
      <c r="I164" s="50" t="s">
        <v>1132</v>
      </c>
      <c r="J164" s="28" t="s">
        <v>56</v>
      </c>
      <c r="K164" s="31">
        <v>1.6638E7</v>
      </c>
      <c r="L164" s="28" t="s">
        <v>283</v>
      </c>
      <c r="M164" s="21">
        <v>13006.32</v>
      </c>
      <c r="N164" s="34"/>
      <c r="O164" s="34"/>
    </row>
    <row r="165">
      <c r="A165" s="8">
        <v>46100.0</v>
      </c>
      <c r="B165" s="13" t="s">
        <v>136</v>
      </c>
      <c r="C165" s="15" t="s">
        <v>248</v>
      </c>
      <c r="D165" s="15" t="s">
        <v>41</v>
      </c>
      <c r="E165" s="15" t="s">
        <v>42</v>
      </c>
      <c r="F165" s="15" t="s">
        <v>48</v>
      </c>
      <c r="G165" s="13"/>
      <c r="H165" s="13" t="s">
        <v>1131</v>
      </c>
      <c r="I165" s="50" t="s">
        <v>1138</v>
      </c>
      <c r="J165" s="28" t="s">
        <v>56</v>
      </c>
      <c r="K165" s="31">
        <v>1.8538E7</v>
      </c>
      <c r="L165" s="28" t="s">
        <v>283</v>
      </c>
      <c r="M165" s="21">
        <v>14491.6</v>
      </c>
      <c r="N165" s="34" t="s">
        <v>69</v>
      </c>
      <c r="O165" s="34"/>
    </row>
    <row r="166">
      <c r="A166" s="8">
        <v>46104.0</v>
      </c>
      <c r="B166" s="13" t="s">
        <v>136</v>
      </c>
      <c r="C166" s="15" t="s">
        <v>248</v>
      </c>
      <c r="D166" s="15" t="s">
        <v>41</v>
      </c>
      <c r="E166" s="15" t="s">
        <v>42</v>
      </c>
      <c r="F166" s="15" t="s">
        <v>48</v>
      </c>
      <c r="G166" s="13"/>
      <c r="H166" s="13" t="s">
        <v>1144</v>
      </c>
      <c r="I166" s="50" t="s">
        <v>1145</v>
      </c>
      <c r="J166" s="28" t="s">
        <v>56</v>
      </c>
      <c r="K166" s="31">
        <v>7186000.0</v>
      </c>
      <c r="L166" s="28" t="s">
        <v>283</v>
      </c>
      <c r="M166" s="21">
        <v>5617.47</v>
      </c>
      <c r="N166" s="34" t="s">
        <v>69</v>
      </c>
      <c r="O166" s="34"/>
    </row>
    <row r="167">
      <c r="A167" s="39">
        <v>45950.0</v>
      </c>
      <c r="B167" s="13" t="s">
        <v>136</v>
      </c>
      <c r="C167" s="15" t="s">
        <v>248</v>
      </c>
      <c r="D167" s="15" t="s">
        <v>41</v>
      </c>
      <c r="E167" s="15" t="s">
        <v>42</v>
      </c>
      <c r="F167" s="15" t="s">
        <v>44</v>
      </c>
      <c r="G167" s="13"/>
      <c r="H167" s="13" t="s">
        <v>1150</v>
      </c>
      <c r="I167" s="23"/>
      <c r="J167" s="28" t="s">
        <v>56</v>
      </c>
      <c r="K167" s="31">
        <v>3.927886963E7</v>
      </c>
      <c r="L167" s="28" t="s">
        <v>283</v>
      </c>
      <c r="M167" s="21">
        <v>108703.0</v>
      </c>
      <c r="N167" s="34" t="s">
        <v>69</v>
      </c>
      <c r="O167" s="34"/>
    </row>
    <row r="168">
      <c r="A168" s="8">
        <v>45796.0</v>
      </c>
      <c r="B168" s="13" t="s">
        <v>117</v>
      </c>
      <c r="C168" s="15" t="s">
        <v>418</v>
      </c>
      <c r="D168" s="15" t="s">
        <v>41</v>
      </c>
      <c r="E168" s="15" t="s">
        <v>42</v>
      </c>
      <c r="F168" s="15" t="s">
        <v>48</v>
      </c>
      <c r="G168" s="13"/>
      <c r="H168" s="13" t="s">
        <v>1156</v>
      </c>
      <c r="I168" s="50" t="s">
        <v>1158</v>
      </c>
      <c r="J168" s="28" t="s">
        <v>141</v>
      </c>
      <c r="K168" s="31">
        <v>4.55E7</v>
      </c>
      <c r="L168" s="28" t="s">
        <v>253</v>
      </c>
      <c r="M168" s="21">
        <v>41417.48</v>
      </c>
      <c r="N168" s="34" t="s">
        <v>69</v>
      </c>
      <c r="O168" s="34"/>
    </row>
    <row r="169">
      <c r="A169" s="8">
        <v>45993.0</v>
      </c>
      <c r="B169" s="13" t="s">
        <v>136</v>
      </c>
      <c r="C169" s="15" t="s">
        <v>376</v>
      </c>
      <c r="D169" s="15" t="s">
        <v>41</v>
      </c>
      <c r="E169" s="15" t="s">
        <v>42</v>
      </c>
      <c r="F169" s="15" t="s">
        <v>44</v>
      </c>
      <c r="G169" s="13"/>
      <c r="H169" s="13" t="s">
        <v>1164</v>
      </c>
      <c r="I169" s="23"/>
      <c r="J169" s="28" t="s">
        <v>56</v>
      </c>
      <c r="K169" s="31">
        <v>1.4165894352E8</v>
      </c>
      <c r="L169" s="28" t="s">
        <v>283</v>
      </c>
      <c r="M169" s="21">
        <v>176400.0</v>
      </c>
      <c r="N169" s="34" t="s">
        <v>69</v>
      </c>
      <c r="O169" s="34"/>
    </row>
    <row r="170">
      <c r="A170" s="8">
        <v>46048.0</v>
      </c>
      <c r="B170" s="13" t="s">
        <v>136</v>
      </c>
      <c r="C170" s="15" t="s">
        <v>553</v>
      </c>
      <c r="D170" s="15" t="s">
        <v>41</v>
      </c>
      <c r="E170" s="15" t="s">
        <v>42</v>
      </c>
      <c r="F170" s="15" t="s">
        <v>44</v>
      </c>
      <c r="G170" s="13"/>
      <c r="H170" s="13" t="s">
        <v>1169</v>
      </c>
      <c r="I170" s="23"/>
      <c r="J170" s="28" t="s">
        <v>56</v>
      </c>
      <c r="K170" s="31">
        <v>2.683072E8</v>
      </c>
      <c r="L170" s="28" t="s">
        <v>283</v>
      </c>
      <c r="M170" s="21">
        <v>309400.0</v>
      </c>
      <c r="N170" s="34" t="s">
        <v>69</v>
      </c>
      <c r="O170" s="34"/>
    </row>
    <row r="171">
      <c r="A171" s="8">
        <v>45358.0</v>
      </c>
      <c r="B171" s="13" t="s">
        <v>136</v>
      </c>
      <c r="C171" s="15" t="s">
        <v>108</v>
      </c>
      <c r="D171" s="15" t="s">
        <v>41</v>
      </c>
      <c r="E171" s="15" t="s">
        <v>42</v>
      </c>
      <c r="F171" s="15" t="s">
        <v>44</v>
      </c>
      <c r="G171" s="13"/>
      <c r="H171" s="13" t="s">
        <v>735</v>
      </c>
      <c r="I171" s="23"/>
      <c r="J171" s="28" t="s">
        <v>56</v>
      </c>
      <c r="K171" s="31">
        <v>1.818406324E7</v>
      </c>
      <c r="L171" s="28" t="s">
        <v>66</v>
      </c>
      <c r="M171" s="49">
        <v>253470.0</v>
      </c>
      <c r="N171" s="34" t="s">
        <v>69</v>
      </c>
      <c r="O171" s="34"/>
    </row>
    <row r="172">
      <c r="A172" s="8">
        <v>46048.0</v>
      </c>
      <c r="B172" s="13" t="s">
        <v>136</v>
      </c>
      <c r="C172" s="15" t="s">
        <v>557</v>
      </c>
      <c r="D172" s="15" t="s">
        <v>41</v>
      </c>
      <c r="E172" s="15" t="s">
        <v>42</v>
      </c>
      <c r="F172" s="15" t="s">
        <v>44</v>
      </c>
      <c r="G172" s="13"/>
      <c r="H172" s="13" t="s">
        <v>1180</v>
      </c>
      <c r="I172" s="23"/>
      <c r="J172" s="28" t="s">
        <v>56</v>
      </c>
      <c r="K172" s="31">
        <v>7.70704E7</v>
      </c>
      <c r="L172" s="28" t="s">
        <v>283</v>
      </c>
      <c r="M172" s="21">
        <v>71053.5</v>
      </c>
      <c r="N172" s="34" t="s">
        <v>69</v>
      </c>
      <c r="O172" s="34"/>
    </row>
    <row r="173">
      <c r="A173" s="116">
        <v>45506.0</v>
      </c>
      <c r="B173" s="13" t="s">
        <v>136</v>
      </c>
      <c r="C173" s="15" t="s">
        <v>581</v>
      </c>
      <c r="D173" s="15" t="s">
        <v>41</v>
      </c>
      <c r="E173" s="15" t="s">
        <v>42</v>
      </c>
      <c r="F173" s="15" t="s">
        <v>44</v>
      </c>
      <c r="G173" s="13"/>
      <c r="H173" s="13" t="s">
        <v>1187</v>
      </c>
      <c r="I173" s="23"/>
      <c r="J173" s="28" t="s">
        <v>56</v>
      </c>
      <c r="K173" s="31">
        <v>2.3650976E7</v>
      </c>
      <c r="L173" s="28" t="s">
        <v>66</v>
      </c>
      <c r="M173" s="21">
        <v>155341.9</v>
      </c>
      <c r="N173" s="34" t="s">
        <v>69</v>
      </c>
      <c r="O173" s="34"/>
    </row>
    <row r="174">
      <c r="A174" s="8">
        <v>46100.0</v>
      </c>
      <c r="B174" s="13" t="s">
        <v>136</v>
      </c>
      <c r="C174" s="15" t="s">
        <v>581</v>
      </c>
      <c r="D174" s="15" t="s">
        <v>41</v>
      </c>
      <c r="E174" s="15" t="s">
        <v>42</v>
      </c>
      <c r="F174" s="15" t="s">
        <v>44</v>
      </c>
      <c r="G174" s="13"/>
      <c r="H174" s="13" t="s">
        <v>1193</v>
      </c>
      <c r="I174" s="50"/>
      <c r="J174" s="28" t="s">
        <v>56</v>
      </c>
      <c r="K174" s="31">
        <v>4.582E7</v>
      </c>
      <c r="L174" s="28" t="s">
        <v>283</v>
      </c>
      <c r="M174" s="21">
        <v>45353.7</v>
      </c>
      <c r="N174" s="34" t="s">
        <v>69</v>
      </c>
      <c r="O174" s="34"/>
    </row>
    <row r="175">
      <c r="A175" s="116">
        <v>46100.0</v>
      </c>
      <c r="B175" s="13" t="s">
        <v>136</v>
      </c>
      <c r="C175" s="15" t="s">
        <v>590</v>
      </c>
      <c r="D175" s="15" t="s">
        <v>41</v>
      </c>
      <c r="E175" s="15" t="s">
        <v>42</v>
      </c>
      <c r="F175" s="15" t="s">
        <v>48</v>
      </c>
      <c r="G175" s="13"/>
      <c r="H175" s="13" t="s">
        <v>794</v>
      </c>
      <c r="I175" s="50" t="s">
        <v>1199</v>
      </c>
      <c r="J175" s="28" t="s">
        <v>56</v>
      </c>
      <c r="K175" s="31">
        <v>1.615E7</v>
      </c>
      <c r="L175" s="28" t="s">
        <v>283</v>
      </c>
      <c r="M175" s="21">
        <v>13392.99</v>
      </c>
      <c r="N175" s="34" t="s">
        <v>69</v>
      </c>
      <c r="O175" s="34"/>
    </row>
    <row r="176">
      <c r="A176" s="117">
        <v>45948.0</v>
      </c>
      <c r="B176" s="13" t="s">
        <v>136</v>
      </c>
      <c r="C176" s="15" t="s">
        <v>590</v>
      </c>
      <c r="D176" s="15" t="s">
        <v>41</v>
      </c>
      <c r="E176" s="15" t="s">
        <v>42</v>
      </c>
      <c r="F176" s="15" t="s">
        <v>44</v>
      </c>
      <c r="G176" s="13"/>
      <c r="H176" s="13" t="s">
        <v>1205</v>
      </c>
      <c r="I176" s="23"/>
      <c r="J176" s="28" t="s">
        <v>56</v>
      </c>
      <c r="K176" s="31">
        <v>2.48205764E8</v>
      </c>
      <c r="L176" s="28" t="s">
        <v>283</v>
      </c>
      <c r="M176" s="21">
        <v>302253.0</v>
      </c>
      <c r="N176" s="34" t="s">
        <v>69</v>
      </c>
      <c r="O176" s="34"/>
    </row>
    <row r="177">
      <c r="A177" s="39">
        <v>45270.0</v>
      </c>
      <c r="B177" s="13" t="s">
        <v>84</v>
      </c>
      <c r="C177" s="15" t="s">
        <v>214</v>
      </c>
      <c r="D177" s="15" t="s">
        <v>41</v>
      </c>
      <c r="E177" s="15" t="s">
        <v>42</v>
      </c>
      <c r="F177" s="15" t="s">
        <v>48</v>
      </c>
      <c r="G177" s="13"/>
      <c r="H177" s="13" t="s">
        <v>1210</v>
      </c>
      <c r="I177" s="50" t="s">
        <v>1212</v>
      </c>
      <c r="J177" s="28" t="s">
        <v>141</v>
      </c>
      <c r="K177" s="31">
        <v>2000000.0</v>
      </c>
      <c r="L177" s="28" t="s">
        <v>253</v>
      </c>
      <c r="M177" s="21">
        <v>10632.08</v>
      </c>
      <c r="N177" s="34" t="s">
        <v>69</v>
      </c>
      <c r="O177" s="34"/>
    </row>
    <row r="178">
      <c r="A178" s="116">
        <v>45929.0</v>
      </c>
      <c r="B178" s="13" t="s">
        <v>136</v>
      </c>
      <c r="C178" s="15" t="s">
        <v>596</v>
      </c>
      <c r="D178" s="15" t="s">
        <v>41</v>
      </c>
      <c r="E178" s="15" t="s">
        <v>42</v>
      </c>
      <c r="F178" s="15" t="s">
        <v>44</v>
      </c>
      <c r="G178" s="13"/>
      <c r="H178" s="13" t="s">
        <v>1217</v>
      </c>
      <c r="I178" s="50"/>
      <c r="J178" s="28" t="s">
        <v>187</v>
      </c>
      <c r="K178" s="31">
        <v>3.24885E8</v>
      </c>
      <c r="L178" s="28" t="s">
        <v>189</v>
      </c>
      <c r="M178" s="21">
        <v>250600.0</v>
      </c>
      <c r="N178" s="34" t="s">
        <v>69</v>
      </c>
      <c r="O178" s="34"/>
    </row>
    <row r="179">
      <c r="A179" s="39">
        <v>45283.0</v>
      </c>
      <c r="B179" s="13" t="s">
        <v>84</v>
      </c>
      <c r="C179" s="15" t="s">
        <v>235</v>
      </c>
      <c r="D179" s="15" t="s">
        <v>41</v>
      </c>
      <c r="E179" s="15" t="s">
        <v>42</v>
      </c>
      <c r="F179" s="15" t="s">
        <v>48</v>
      </c>
      <c r="G179" s="13"/>
      <c r="H179" s="13" t="s">
        <v>789</v>
      </c>
      <c r="I179" s="50" t="s">
        <v>1224</v>
      </c>
      <c r="J179" s="28" t="s">
        <v>141</v>
      </c>
      <c r="K179" s="31">
        <v>4000000.0</v>
      </c>
      <c r="L179" s="28" t="s">
        <v>253</v>
      </c>
      <c r="M179" s="21">
        <v>21264.15</v>
      </c>
      <c r="N179" s="34" t="s">
        <v>69</v>
      </c>
      <c r="O179" s="34"/>
    </row>
    <row r="180">
      <c r="A180" s="116">
        <v>45867.0</v>
      </c>
      <c r="B180" s="13" t="s">
        <v>136</v>
      </c>
      <c r="C180" s="15" t="s">
        <v>604</v>
      </c>
      <c r="D180" s="15" t="s">
        <v>41</v>
      </c>
      <c r="E180" s="15" t="s">
        <v>42</v>
      </c>
      <c r="F180" s="15" t="s">
        <v>48</v>
      </c>
      <c r="G180" s="13"/>
      <c r="H180" s="13" t="s">
        <v>1233</v>
      </c>
      <c r="I180" s="50" t="s">
        <v>1234</v>
      </c>
      <c r="J180" s="28" t="s">
        <v>187</v>
      </c>
      <c r="K180" s="31">
        <v>1.259E7</v>
      </c>
      <c r="L180" s="28" t="s">
        <v>189</v>
      </c>
      <c r="M180" s="21">
        <v>8641.7</v>
      </c>
      <c r="N180" s="34" t="s">
        <v>69</v>
      </c>
      <c r="O180" s="34"/>
    </row>
    <row r="181">
      <c r="A181" s="39">
        <v>45284.0</v>
      </c>
      <c r="B181" s="13" t="s">
        <v>84</v>
      </c>
      <c r="C181" s="15" t="s">
        <v>650</v>
      </c>
      <c r="D181" s="15" t="s">
        <v>41</v>
      </c>
      <c r="E181" s="15" t="s">
        <v>42</v>
      </c>
      <c r="F181" s="15" t="s">
        <v>48</v>
      </c>
      <c r="G181" s="13"/>
      <c r="H181" s="13" t="s">
        <v>789</v>
      </c>
      <c r="I181" s="50" t="s">
        <v>1240</v>
      </c>
      <c r="J181" s="28" t="s">
        <v>141</v>
      </c>
      <c r="K181" s="31">
        <v>4000000.0</v>
      </c>
      <c r="L181" s="28" t="s">
        <v>253</v>
      </c>
      <c r="M181" s="21">
        <v>21264.0</v>
      </c>
      <c r="N181" s="34" t="s">
        <v>69</v>
      </c>
      <c r="O181" s="34"/>
    </row>
    <row r="182">
      <c r="A182" s="39">
        <v>46100.0</v>
      </c>
      <c r="B182" s="13" t="s">
        <v>136</v>
      </c>
      <c r="C182" s="15" t="s">
        <v>687</v>
      </c>
      <c r="D182" s="15" t="s">
        <v>41</v>
      </c>
      <c r="E182" s="15" t="s">
        <v>42</v>
      </c>
      <c r="F182" s="15" t="s">
        <v>44</v>
      </c>
      <c r="G182" s="13"/>
      <c r="H182" s="13" t="s">
        <v>1245</v>
      </c>
      <c r="I182" s="50"/>
      <c r="J182" s="28" t="s">
        <v>56</v>
      </c>
      <c r="K182" s="31">
        <v>2.20802175E8</v>
      </c>
      <c r="L182" s="28" t="s">
        <v>283</v>
      </c>
      <c r="M182" s="21">
        <v>247100.0</v>
      </c>
      <c r="N182" s="34" t="s">
        <v>69</v>
      </c>
      <c r="O182" s="34"/>
    </row>
    <row r="183">
      <c r="A183" s="39">
        <v>45761.0</v>
      </c>
      <c r="B183" s="13" t="s">
        <v>136</v>
      </c>
      <c r="C183" s="15" t="s">
        <v>646</v>
      </c>
      <c r="D183" s="15" t="s">
        <v>41</v>
      </c>
      <c r="E183" s="15" t="s">
        <v>42</v>
      </c>
      <c r="F183" s="15" t="s">
        <v>44</v>
      </c>
      <c r="G183" s="13"/>
      <c r="H183" s="13" t="s">
        <v>1250</v>
      </c>
      <c r="I183" s="50"/>
      <c r="J183" s="28" t="s">
        <v>56</v>
      </c>
      <c r="K183" s="31">
        <v>2.139071471E7</v>
      </c>
      <c r="L183" s="28" t="s">
        <v>283</v>
      </c>
      <c r="M183" s="21">
        <v>189000.0</v>
      </c>
      <c r="N183" s="34" t="s">
        <v>69</v>
      </c>
      <c r="O183" s="34"/>
    </row>
    <row r="184">
      <c r="A184" s="39">
        <v>45951.0</v>
      </c>
      <c r="B184" s="13" t="s">
        <v>136</v>
      </c>
      <c r="C184" s="15" t="s">
        <v>646</v>
      </c>
      <c r="D184" s="15" t="s">
        <v>41</v>
      </c>
      <c r="E184" s="15" t="s">
        <v>42</v>
      </c>
      <c r="F184" s="15" t="s">
        <v>48</v>
      </c>
      <c r="G184" s="13"/>
      <c r="H184" s="13" t="s">
        <v>1256</v>
      </c>
      <c r="I184" s="50" t="s">
        <v>1257</v>
      </c>
      <c r="J184" s="28" t="s">
        <v>56</v>
      </c>
      <c r="K184" s="31">
        <v>1500000.0</v>
      </c>
      <c r="L184" s="28" t="s">
        <v>283</v>
      </c>
      <c r="M184" s="21">
        <v>6463.01</v>
      </c>
      <c r="N184" s="34" t="s">
        <v>69</v>
      </c>
      <c r="O184" s="34"/>
    </row>
    <row r="185">
      <c r="A185" s="8">
        <v>46100.0</v>
      </c>
      <c r="B185" s="13" t="s">
        <v>136</v>
      </c>
      <c r="C185" s="15" t="s">
        <v>312</v>
      </c>
      <c r="D185" s="15" t="s">
        <v>41</v>
      </c>
      <c r="E185" s="15" t="s">
        <v>42</v>
      </c>
      <c r="F185" s="15" t="s">
        <v>44</v>
      </c>
      <c r="G185" s="13"/>
      <c r="H185" s="13" t="s">
        <v>1263</v>
      </c>
      <c r="I185" s="23"/>
      <c r="J185" s="28" t="s">
        <v>56</v>
      </c>
      <c r="K185" s="31">
        <v>1.302E8</v>
      </c>
      <c r="L185" s="28" t="s">
        <v>740</v>
      </c>
      <c r="M185" s="21">
        <v>126840.0</v>
      </c>
      <c r="N185" s="34" t="s">
        <v>69</v>
      </c>
      <c r="O185" s="34"/>
    </row>
    <row r="186">
      <c r="A186" s="8">
        <v>45902.0</v>
      </c>
      <c r="B186" s="13" t="s">
        <v>136</v>
      </c>
      <c r="C186" s="15" t="s">
        <v>596</v>
      </c>
      <c r="D186" s="15" t="s">
        <v>41</v>
      </c>
      <c r="E186" s="15" t="s">
        <v>42</v>
      </c>
      <c r="F186" s="15" t="s">
        <v>44</v>
      </c>
      <c r="G186" s="13"/>
      <c r="H186" s="13" t="s">
        <v>1269</v>
      </c>
      <c r="I186" s="50"/>
      <c r="J186" s="28" t="s">
        <v>141</v>
      </c>
      <c r="K186" s="31">
        <v>3.203475E8</v>
      </c>
      <c r="L186" s="28"/>
      <c r="M186" s="21">
        <v>247100.0</v>
      </c>
      <c r="N186" s="34" t="s">
        <v>69</v>
      </c>
      <c r="O186" s="34"/>
    </row>
    <row r="187">
      <c r="A187" s="116">
        <v>46198.0</v>
      </c>
      <c r="B187" s="13" t="s">
        <v>136</v>
      </c>
      <c r="C187" s="15" t="s">
        <v>596</v>
      </c>
      <c r="D187" s="15" t="s">
        <v>41</v>
      </c>
      <c r="E187" s="15" t="s">
        <v>42</v>
      </c>
      <c r="F187" s="15" t="s">
        <v>48</v>
      </c>
      <c r="G187" s="13"/>
      <c r="H187" s="13" t="s">
        <v>1274</v>
      </c>
      <c r="I187" s="118" t="s">
        <v>1277</v>
      </c>
      <c r="J187" s="28" t="s">
        <v>141</v>
      </c>
      <c r="K187" s="31">
        <v>2.75668E7</v>
      </c>
      <c r="L187" s="28"/>
      <c r="M187" s="45">
        <v>18485.823878114858</v>
      </c>
      <c r="N187" s="34" t="s">
        <v>69</v>
      </c>
      <c r="O187" s="34"/>
    </row>
    <row r="188">
      <c r="A188" s="8">
        <v>46098.0</v>
      </c>
      <c r="B188" s="13" t="s">
        <v>136</v>
      </c>
      <c r="C188" s="15" t="s">
        <v>136</v>
      </c>
      <c r="D188" s="15" t="s">
        <v>41</v>
      </c>
      <c r="E188" s="15" t="s">
        <v>42</v>
      </c>
      <c r="F188" s="15" t="s">
        <v>44</v>
      </c>
      <c r="G188" s="13"/>
      <c r="H188" s="13" t="s">
        <v>1285</v>
      </c>
      <c r="I188" s="50"/>
      <c r="J188" s="28" t="s">
        <v>141</v>
      </c>
      <c r="K188" s="31">
        <v>4.4425841402E8</v>
      </c>
      <c r="L188" s="28"/>
      <c r="M188" s="21">
        <v>307300.0</v>
      </c>
      <c r="N188" s="34" t="s">
        <v>69</v>
      </c>
      <c r="O188" s="34"/>
    </row>
    <row r="189">
      <c r="A189" s="39">
        <v>45346.0</v>
      </c>
      <c r="B189" s="13" t="s">
        <v>52</v>
      </c>
      <c r="C189" s="15" t="s">
        <v>259</v>
      </c>
      <c r="D189" s="15" t="s">
        <v>41</v>
      </c>
      <c r="E189" s="15" t="s">
        <v>42</v>
      </c>
      <c r="F189" s="15" t="s">
        <v>48</v>
      </c>
      <c r="G189" s="13"/>
      <c r="H189" s="13" t="s">
        <v>1290</v>
      </c>
      <c r="I189" s="50" t="s">
        <v>1291</v>
      </c>
      <c r="J189" s="28" t="s">
        <v>56</v>
      </c>
      <c r="K189" s="31">
        <v>3140461.98</v>
      </c>
      <c r="L189" s="28" t="s">
        <v>66</v>
      </c>
      <c r="M189" s="21">
        <v>13838.29</v>
      </c>
      <c r="N189" s="34" t="s">
        <v>69</v>
      </c>
      <c r="O189" s="34"/>
    </row>
    <row r="190">
      <c r="A190" s="39">
        <v>45270.0</v>
      </c>
      <c r="B190" s="13" t="s">
        <v>136</v>
      </c>
      <c r="C190" s="15" t="s">
        <v>646</v>
      </c>
      <c r="D190" s="15" t="s">
        <v>41</v>
      </c>
      <c r="E190" s="15" t="s">
        <v>42</v>
      </c>
      <c r="F190" s="15" t="s">
        <v>48</v>
      </c>
      <c r="G190" s="13"/>
      <c r="H190" s="13" t="s">
        <v>1293</v>
      </c>
      <c r="I190" s="50" t="s">
        <v>1294</v>
      </c>
      <c r="J190" s="28" t="s">
        <v>141</v>
      </c>
      <c r="K190" s="31">
        <v>5052000.0</v>
      </c>
      <c r="L190" s="28" t="s">
        <v>271</v>
      </c>
      <c r="M190" s="21">
        <v>21767.42</v>
      </c>
      <c r="N190" s="34" t="s">
        <v>69</v>
      </c>
      <c r="O190" s="34"/>
    </row>
    <row r="191">
      <c r="A191" s="8">
        <v>46142.0</v>
      </c>
      <c r="B191" s="13" t="s">
        <v>136</v>
      </c>
      <c r="C191" s="15" t="s">
        <v>604</v>
      </c>
      <c r="D191" s="15" t="s">
        <v>41</v>
      </c>
      <c r="E191" s="15" t="s">
        <v>42</v>
      </c>
      <c r="F191" s="15" t="s">
        <v>44</v>
      </c>
      <c r="G191" s="13"/>
      <c r="H191" s="13" t="s">
        <v>746</v>
      </c>
      <c r="I191" s="23"/>
      <c r="J191" s="28" t="s">
        <v>141</v>
      </c>
      <c r="K191" s="31">
        <v>1.5E8</v>
      </c>
      <c r="L191" s="28" t="s">
        <v>144</v>
      </c>
      <c r="M191" s="21">
        <v>105000.0</v>
      </c>
      <c r="N191" s="34" t="s">
        <v>69</v>
      </c>
      <c r="O191" s="34"/>
    </row>
    <row r="192">
      <c r="A192" s="8">
        <v>45762.0</v>
      </c>
      <c r="B192" s="13" t="s">
        <v>107</v>
      </c>
      <c r="C192" s="15" t="s">
        <v>297</v>
      </c>
      <c r="D192" s="15" t="s">
        <v>41</v>
      </c>
      <c r="E192" s="15" t="s">
        <v>42</v>
      </c>
      <c r="F192" s="15" t="s">
        <v>48</v>
      </c>
      <c r="G192" s="13"/>
      <c r="H192" s="13" t="s">
        <v>1300</v>
      </c>
      <c r="I192" s="50" t="s">
        <v>1301</v>
      </c>
      <c r="J192" s="28" t="s">
        <v>56</v>
      </c>
      <c r="K192" s="31">
        <v>1295000.0</v>
      </c>
      <c r="L192" s="28" t="s">
        <v>66</v>
      </c>
      <c r="M192" s="21">
        <v>12333.33</v>
      </c>
      <c r="N192" s="34" t="s">
        <v>69</v>
      </c>
      <c r="O192" s="34"/>
    </row>
    <row r="193">
      <c r="A193" s="39">
        <v>45974.0</v>
      </c>
      <c r="B193" s="13" t="s">
        <v>107</v>
      </c>
      <c r="C193" s="15" t="s">
        <v>282</v>
      </c>
      <c r="D193" s="15" t="s">
        <v>41</v>
      </c>
      <c r="E193" s="15" t="s">
        <v>42</v>
      </c>
      <c r="F193" s="15" t="s">
        <v>48</v>
      </c>
      <c r="G193" s="13"/>
      <c r="H193" s="13" t="s">
        <v>1306</v>
      </c>
      <c r="I193" s="50" t="s">
        <v>1308</v>
      </c>
      <c r="J193" s="28" t="s">
        <v>56</v>
      </c>
      <c r="K193" s="31">
        <v>4.0402E7</v>
      </c>
      <c r="L193" s="28" t="s">
        <v>283</v>
      </c>
      <c r="M193" s="21">
        <v>29299.95</v>
      </c>
      <c r="N193" s="34" t="s">
        <v>69</v>
      </c>
      <c r="O193" s="34"/>
    </row>
    <row r="194">
      <c r="A194" s="8">
        <v>45796.0</v>
      </c>
      <c r="B194" s="13" t="s">
        <v>107</v>
      </c>
      <c r="C194" s="15" t="s">
        <v>290</v>
      </c>
      <c r="D194" s="15" t="s">
        <v>41</v>
      </c>
      <c r="E194" s="15" t="s">
        <v>42</v>
      </c>
      <c r="F194" s="15" t="s">
        <v>44</v>
      </c>
      <c r="G194" s="13"/>
      <c r="H194" s="13" t="s">
        <v>794</v>
      </c>
      <c r="I194" s="50" t="s">
        <v>1313</v>
      </c>
      <c r="J194" s="28" t="s">
        <v>56</v>
      </c>
      <c r="K194" s="31">
        <v>1.0987596E7</v>
      </c>
      <c r="L194" s="28" t="s">
        <v>283</v>
      </c>
      <c r="M194" s="21">
        <v>10207.63</v>
      </c>
      <c r="N194" s="34" t="s">
        <v>69</v>
      </c>
      <c r="O194" s="34"/>
    </row>
    <row r="195">
      <c r="A195" s="8">
        <v>45762.0</v>
      </c>
      <c r="B195" s="13" t="s">
        <v>107</v>
      </c>
      <c r="C195" s="15" t="s">
        <v>297</v>
      </c>
      <c r="D195" s="15" t="s">
        <v>41</v>
      </c>
      <c r="E195" s="15" t="s">
        <v>42</v>
      </c>
      <c r="F195" s="15" t="s">
        <v>44</v>
      </c>
      <c r="G195" s="13"/>
      <c r="H195" s="13" t="s">
        <v>735</v>
      </c>
      <c r="I195" s="23"/>
      <c r="J195" s="28" t="s">
        <v>56</v>
      </c>
      <c r="K195" s="31">
        <v>2.26958359E7</v>
      </c>
      <c r="L195" s="28" t="s">
        <v>66</v>
      </c>
      <c r="M195" s="21">
        <v>218295.0</v>
      </c>
      <c r="N195" s="34" t="s">
        <v>69</v>
      </c>
      <c r="O195" s="34"/>
    </row>
    <row r="196">
      <c r="A196" s="8">
        <v>46224.0</v>
      </c>
      <c r="B196" s="13" t="s">
        <v>136</v>
      </c>
      <c r="C196" s="15" t="s">
        <v>590</v>
      </c>
      <c r="D196" s="15" t="s">
        <v>41</v>
      </c>
      <c r="E196" s="15" t="s">
        <v>42</v>
      </c>
      <c r="F196" s="15" t="s">
        <v>44</v>
      </c>
      <c r="G196" s="13"/>
      <c r="H196" s="13" t="s">
        <v>1319</v>
      </c>
      <c r="I196" s="23"/>
      <c r="J196" s="28" t="s">
        <v>141</v>
      </c>
      <c r="K196" s="31">
        <v>2.0E8</v>
      </c>
      <c r="L196" s="28" t="s">
        <v>144</v>
      </c>
      <c r="M196" s="21">
        <v>171640.0</v>
      </c>
      <c r="N196" s="34" t="s">
        <v>69</v>
      </c>
      <c r="O196" s="34"/>
    </row>
    <row r="197">
      <c r="A197" s="8">
        <v>46233.0</v>
      </c>
      <c r="B197" s="13" t="s">
        <v>136</v>
      </c>
      <c r="C197" s="15" t="s">
        <v>219</v>
      </c>
      <c r="D197" s="15" t="s">
        <v>41</v>
      </c>
      <c r="E197" s="15" t="s">
        <v>42</v>
      </c>
      <c r="F197" s="15" t="s">
        <v>44</v>
      </c>
      <c r="G197" s="13"/>
      <c r="H197" s="13" t="s">
        <v>1325</v>
      </c>
      <c r="I197" s="23"/>
      <c r="J197" s="28" t="s">
        <v>141</v>
      </c>
      <c r="K197" s="51">
        <v>5.584E7</v>
      </c>
      <c r="L197" s="28" t="s">
        <v>144</v>
      </c>
      <c r="M197" s="21">
        <v>44688.0</v>
      </c>
      <c r="N197" s="52"/>
      <c r="O197" s="52"/>
    </row>
    <row r="198">
      <c r="A198" s="8">
        <v>46192.0</v>
      </c>
      <c r="B198" s="13" t="s">
        <v>107</v>
      </c>
      <c r="C198" s="15" t="s">
        <v>285</v>
      </c>
      <c r="D198" s="15" t="s">
        <v>41</v>
      </c>
      <c r="E198" s="15" t="s">
        <v>42</v>
      </c>
      <c r="F198" s="15" t="s">
        <v>48</v>
      </c>
      <c r="G198" s="13"/>
      <c r="H198" s="13" t="s">
        <v>1330</v>
      </c>
      <c r="I198" s="50" t="s">
        <v>1332</v>
      </c>
      <c r="J198" s="28" t="s">
        <v>187</v>
      </c>
      <c r="K198" s="51">
        <v>8.9991E7</v>
      </c>
      <c r="L198" s="28" t="s">
        <v>189</v>
      </c>
      <c r="M198" s="21">
        <v>65262.42</v>
      </c>
      <c r="N198" s="52"/>
      <c r="O198" s="52"/>
    </row>
    <row r="199">
      <c r="A199" s="8">
        <v>45933.0</v>
      </c>
      <c r="B199" s="13" t="s">
        <v>150</v>
      </c>
      <c r="C199" s="15" t="s">
        <v>342</v>
      </c>
      <c r="D199" s="15" t="s">
        <v>41</v>
      </c>
      <c r="E199" s="15" t="s">
        <v>42</v>
      </c>
      <c r="F199" s="15" t="s">
        <v>48</v>
      </c>
      <c r="G199" s="13"/>
      <c r="H199" s="13" t="s">
        <v>777</v>
      </c>
      <c r="I199" s="50" t="s">
        <v>1337</v>
      </c>
      <c r="J199" s="28" t="s">
        <v>56</v>
      </c>
      <c r="K199" s="31">
        <v>2877929.36</v>
      </c>
      <c r="L199" s="28" t="s">
        <v>66</v>
      </c>
      <c r="M199" s="21">
        <v>19847.79</v>
      </c>
      <c r="N199" s="34" t="s">
        <v>69</v>
      </c>
      <c r="O199" s="34"/>
    </row>
    <row r="200">
      <c r="A200" s="39">
        <v>45800.0</v>
      </c>
      <c r="B200" s="13" t="s">
        <v>150</v>
      </c>
      <c r="C200" s="15" t="s">
        <v>435</v>
      </c>
      <c r="D200" s="15" t="s">
        <v>41</v>
      </c>
      <c r="E200" s="15" t="s">
        <v>42</v>
      </c>
      <c r="F200" s="15" t="s">
        <v>48</v>
      </c>
      <c r="G200" s="13"/>
      <c r="H200" s="13" t="s">
        <v>1342</v>
      </c>
      <c r="I200" s="50" t="s">
        <v>1344</v>
      </c>
      <c r="J200" s="28" t="s">
        <v>56</v>
      </c>
      <c r="K200" s="31">
        <v>791750.0</v>
      </c>
      <c r="L200" s="28" t="s">
        <v>66</v>
      </c>
      <c r="M200" s="21">
        <v>3298.0</v>
      </c>
      <c r="N200" s="34" t="s">
        <v>69</v>
      </c>
      <c r="O200" s="34"/>
    </row>
    <row r="201">
      <c r="A201" s="8">
        <v>45503.0</v>
      </c>
      <c r="B201" s="13" t="s">
        <v>150</v>
      </c>
      <c r="C201" s="15" t="s">
        <v>516</v>
      </c>
      <c r="D201" s="15" t="s">
        <v>41</v>
      </c>
      <c r="E201" s="15" t="s">
        <v>42</v>
      </c>
      <c r="F201" s="15" t="s">
        <v>48</v>
      </c>
      <c r="G201" s="13"/>
      <c r="H201" s="13" t="s">
        <v>1350</v>
      </c>
      <c r="I201" s="50" t="s">
        <v>1351</v>
      </c>
      <c r="J201" s="28" t="s">
        <v>56</v>
      </c>
      <c r="K201" s="31">
        <v>5195000.0</v>
      </c>
      <c r="L201" s="28" t="s">
        <v>66</v>
      </c>
      <c r="M201" s="21">
        <v>25136.69</v>
      </c>
      <c r="N201" s="34" t="s">
        <v>69</v>
      </c>
      <c r="O201" s="34"/>
    </row>
    <row r="202">
      <c r="A202" s="39">
        <v>46010.0</v>
      </c>
      <c r="B202" s="13" t="s">
        <v>52</v>
      </c>
      <c r="C202" s="15" t="s">
        <v>259</v>
      </c>
      <c r="D202" s="15" t="s">
        <v>41</v>
      </c>
      <c r="E202" s="15" t="s">
        <v>42</v>
      </c>
      <c r="F202" s="15" t="s">
        <v>48</v>
      </c>
      <c r="G202" s="13"/>
      <c r="H202" s="13" t="s">
        <v>431</v>
      </c>
      <c r="I202" s="50" t="s">
        <v>1356</v>
      </c>
      <c r="J202" s="28" t="s">
        <v>56</v>
      </c>
      <c r="K202" s="31">
        <v>3.178031407E7</v>
      </c>
      <c r="L202" s="28" t="s">
        <v>283</v>
      </c>
      <c r="M202" s="21">
        <v>22179.79</v>
      </c>
      <c r="N202" s="34" t="s">
        <v>69</v>
      </c>
      <c r="O202" s="34"/>
    </row>
    <row r="203">
      <c r="A203" s="39">
        <v>45944.0</v>
      </c>
      <c r="B203" s="13" t="s">
        <v>150</v>
      </c>
      <c r="C203" s="15" t="s">
        <v>126</v>
      </c>
      <c r="D203" s="15" t="s">
        <v>41</v>
      </c>
      <c r="E203" s="15" t="s">
        <v>42</v>
      </c>
      <c r="F203" s="15" t="s">
        <v>48</v>
      </c>
      <c r="G203" s="13"/>
      <c r="H203" s="13" t="s">
        <v>1361</v>
      </c>
      <c r="I203" s="50" t="s">
        <v>1363</v>
      </c>
      <c r="J203" s="28" t="s">
        <v>56</v>
      </c>
      <c r="K203" s="31">
        <v>1.865E7</v>
      </c>
      <c r="L203" s="28" t="s">
        <v>283</v>
      </c>
      <c r="M203" s="21">
        <v>14041.22</v>
      </c>
      <c r="N203" s="34" t="s">
        <v>69</v>
      </c>
      <c r="O203" s="34"/>
    </row>
    <row r="204">
      <c r="A204" s="39">
        <v>45270.0</v>
      </c>
      <c r="B204" s="13" t="s">
        <v>150</v>
      </c>
      <c r="C204" s="15" t="s">
        <v>152</v>
      </c>
      <c r="D204" s="15" t="s">
        <v>41</v>
      </c>
      <c r="E204" s="15" t="s">
        <v>42</v>
      </c>
      <c r="F204" s="15" t="s">
        <v>44</v>
      </c>
      <c r="G204" s="13"/>
      <c r="H204" s="13" t="s">
        <v>1370</v>
      </c>
      <c r="I204" s="23"/>
      <c r="J204" s="28" t="s">
        <v>56</v>
      </c>
      <c r="K204" s="31">
        <v>6555200.0</v>
      </c>
      <c r="L204" s="28" t="s">
        <v>1371</v>
      </c>
      <c r="M204" s="21">
        <v>78652.0</v>
      </c>
      <c r="N204" s="34" t="s">
        <v>69</v>
      </c>
      <c r="O204" s="34"/>
    </row>
    <row r="205">
      <c r="A205" s="8">
        <v>45870.0</v>
      </c>
      <c r="B205" s="13" t="s">
        <v>150</v>
      </c>
      <c r="C205" s="15" t="s">
        <v>182</v>
      </c>
      <c r="D205" s="15" t="s">
        <v>41</v>
      </c>
      <c r="E205" s="15" t="s">
        <v>42</v>
      </c>
      <c r="F205" s="15" t="s">
        <v>44</v>
      </c>
      <c r="G205" s="13"/>
      <c r="H205" s="13" t="s">
        <v>735</v>
      </c>
      <c r="I205" s="23"/>
      <c r="J205" s="28" t="s">
        <v>56</v>
      </c>
      <c r="K205" s="31">
        <v>2.645063E7</v>
      </c>
      <c r="L205" s="28" t="s">
        <v>66</v>
      </c>
      <c r="M205" s="21">
        <v>206640.0</v>
      </c>
      <c r="N205" s="34" t="s">
        <v>69</v>
      </c>
      <c r="O205" s="34"/>
    </row>
    <row r="206">
      <c r="A206" s="8">
        <v>45400.0</v>
      </c>
      <c r="B206" s="13" t="s">
        <v>150</v>
      </c>
      <c r="C206" s="15" t="s">
        <v>206</v>
      </c>
      <c r="D206" s="15" t="s">
        <v>41</v>
      </c>
      <c r="E206" s="15" t="s">
        <v>42</v>
      </c>
      <c r="F206" s="15" t="s">
        <v>44</v>
      </c>
      <c r="G206" s="13"/>
      <c r="H206" s="13" t="s">
        <v>735</v>
      </c>
      <c r="I206" s="23"/>
      <c r="J206" s="28" t="s">
        <v>56</v>
      </c>
      <c r="K206" s="31">
        <v>4.0285E7</v>
      </c>
      <c r="L206" s="28" t="s">
        <v>66</v>
      </c>
      <c r="M206" s="21">
        <v>441000.0</v>
      </c>
      <c r="N206" s="34" t="s">
        <v>69</v>
      </c>
      <c r="O206" s="34"/>
    </row>
    <row r="207">
      <c r="A207" s="39">
        <v>46010.0</v>
      </c>
      <c r="B207" s="13" t="s">
        <v>52</v>
      </c>
      <c r="C207" s="15" t="s">
        <v>710</v>
      </c>
      <c r="D207" s="15" t="s">
        <v>41</v>
      </c>
      <c r="E207" s="15" t="s">
        <v>42</v>
      </c>
      <c r="F207" s="15" t="s">
        <v>44</v>
      </c>
      <c r="G207" s="13"/>
      <c r="H207" s="13" t="s">
        <v>1396</v>
      </c>
      <c r="I207" s="23"/>
      <c r="J207" s="28" t="s">
        <v>141</v>
      </c>
      <c r="K207" s="31">
        <v>4.66318875E8</v>
      </c>
      <c r="L207" s="28" t="s">
        <v>144</v>
      </c>
      <c r="M207" s="21">
        <v>334600.0</v>
      </c>
      <c r="N207" s="34" t="s">
        <v>69</v>
      </c>
      <c r="O207" s="34"/>
    </row>
    <row r="208">
      <c r="A208" s="8">
        <v>45539.0</v>
      </c>
      <c r="B208" s="13" t="s">
        <v>150</v>
      </c>
      <c r="C208" s="15" t="s">
        <v>392</v>
      </c>
      <c r="D208" s="15" t="s">
        <v>41</v>
      </c>
      <c r="E208" s="15" t="s">
        <v>42</v>
      </c>
      <c r="F208" s="15" t="s">
        <v>44</v>
      </c>
      <c r="G208" s="13"/>
      <c r="H208" s="13" t="s">
        <v>735</v>
      </c>
      <c r="I208" s="23"/>
      <c r="J208" s="28" t="s">
        <v>56</v>
      </c>
      <c r="K208" s="31">
        <v>2.555345E7</v>
      </c>
      <c r="L208" s="28" t="s">
        <v>66</v>
      </c>
      <c r="M208" s="21">
        <v>424550.0</v>
      </c>
      <c r="N208" s="34" t="s">
        <v>69</v>
      </c>
      <c r="O208" s="34"/>
    </row>
    <row r="209">
      <c r="A209" s="8">
        <v>46199.0</v>
      </c>
      <c r="B209" s="13" t="s">
        <v>52</v>
      </c>
      <c r="C209" s="15" t="s">
        <v>255</v>
      </c>
      <c r="D209" s="15" t="s">
        <v>41</v>
      </c>
      <c r="E209" s="15" t="s">
        <v>42</v>
      </c>
      <c r="F209" s="15" t="s">
        <v>48</v>
      </c>
      <c r="G209" s="13"/>
      <c r="H209" s="13" t="s">
        <v>1412</v>
      </c>
      <c r="I209" s="50" t="s">
        <v>1415</v>
      </c>
      <c r="J209" s="28" t="s">
        <v>141</v>
      </c>
      <c r="K209" s="31">
        <v>1.35023941E7</v>
      </c>
      <c r="L209" s="28" t="s">
        <v>253</v>
      </c>
      <c r="M209" s="21">
        <v>12233.42</v>
      </c>
      <c r="N209" s="52"/>
      <c r="O209" s="52"/>
    </row>
    <row r="210">
      <c r="A210" s="39">
        <v>45945.0</v>
      </c>
      <c r="B210" s="13" t="s">
        <v>150</v>
      </c>
      <c r="C210" s="15" t="s">
        <v>435</v>
      </c>
      <c r="D210" s="15" t="s">
        <v>41</v>
      </c>
      <c r="E210" s="15" t="s">
        <v>42</v>
      </c>
      <c r="F210" s="15" t="s">
        <v>48</v>
      </c>
      <c r="G210" s="13"/>
      <c r="H210" s="13" t="s">
        <v>1425</v>
      </c>
      <c r="I210" s="50" t="s">
        <v>1426</v>
      </c>
      <c r="J210" s="28" t="s">
        <v>56</v>
      </c>
      <c r="K210" s="31">
        <v>616780.0</v>
      </c>
      <c r="L210" s="28" t="s">
        <v>283</v>
      </c>
      <c r="M210" s="21">
        <v>2569.17</v>
      </c>
      <c r="N210" s="34" t="s">
        <v>69</v>
      </c>
      <c r="O210" s="34"/>
    </row>
    <row r="211">
      <c r="A211" s="8">
        <v>45919.0</v>
      </c>
      <c r="B211" s="13" t="s">
        <v>150</v>
      </c>
      <c r="C211" s="15" t="s">
        <v>435</v>
      </c>
      <c r="D211" s="15" t="s">
        <v>41</v>
      </c>
      <c r="E211" s="15" t="s">
        <v>42</v>
      </c>
      <c r="F211" s="15" t="s">
        <v>44</v>
      </c>
      <c r="G211" s="13"/>
      <c r="H211" s="13" t="s">
        <v>1435</v>
      </c>
      <c r="I211" s="23"/>
      <c r="J211" s="28" t="s">
        <v>56</v>
      </c>
      <c r="K211" s="31">
        <v>8.7964692E7</v>
      </c>
      <c r="L211" s="28" t="s">
        <v>66</v>
      </c>
      <c r="M211" s="21">
        <v>550900.0</v>
      </c>
      <c r="N211" s="34" t="s">
        <v>69</v>
      </c>
      <c r="O211" s="34"/>
    </row>
    <row r="212">
      <c r="A212" s="39">
        <v>46021.0</v>
      </c>
      <c r="B212" s="13" t="s">
        <v>107</v>
      </c>
      <c r="C212" s="15" t="s">
        <v>299</v>
      </c>
      <c r="D212" s="15" t="s">
        <v>41</v>
      </c>
      <c r="E212" s="15" t="s">
        <v>42</v>
      </c>
      <c r="F212" s="15" t="s">
        <v>48</v>
      </c>
      <c r="G212" s="13"/>
      <c r="H212" s="13" t="s">
        <v>558</v>
      </c>
      <c r="I212" s="50" t="s">
        <v>1444</v>
      </c>
      <c r="J212" s="28" t="s">
        <v>141</v>
      </c>
      <c r="K212" s="31">
        <v>2.0892E7</v>
      </c>
      <c r="L212" s="28" t="s">
        <v>253</v>
      </c>
      <c r="M212" s="21">
        <v>15151.1</v>
      </c>
      <c r="N212" s="34" t="s">
        <v>69</v>
      </c>
      <c r="O212" s="34"/>
    </row>
    <row r="213">
      <c r="A213" s="39">
        <v>45974.0</v>
      </c>
      <c r="B213" s="13" t="s">
        <v>107</v>
      </c>
      <c r="C213" s="15" t="s">
        <v>107</v>
      </c>
      <c r="D213" s="15" t="s">
        <v>41</v>
      </c>
      <c r="E213" s="15" t="s">
        <v>42</v>
      </c>
      <c r="F213" s="15" t="s">
        <v>48</v>
      </c>
      <c r="G213" s="13"/>
      <c r="H213" s="13" t="s">
        <v>1454</v>
      </c>
      <c r="I213" s="50" t="s">
        <v>1456</v>
      </c>
      <c r="J213" s="28" t="s">
        <v>141</v>
      </c>
      <c r="K213" s="31">
        <v>2.31E7</v>
      </c>
      <c r="L213" s="28" t="s">
        <v>253</v>
      </c>
      <c r="M213" s="21">
        <v>17155.4</v>
      </c>
      <c r="N213" s="34" t="s">
        <v>69</v>
      </c>
      <c r="O213" s="34"/>
    </row>
    <row r="214">
      <c r="A214" s="39">
        <v>46107.0</v>
      </c>
      <c r="B214" s="13" t="s">
        <v>150</v>
      </c>
      <c r="C214" s="15" t="s">
        <v>505</v>
      </c>
      <c r="D214" s="15" t="s">
        <v>41</v>
      </c>
      <c r="E214" s="15" t="s">
        <v>42</v>
      </c>
      <c r="F214" s="15" t="s">
        <v>48</v>
      </c>
      <c r="G214" s="13"/>
      <c r="H214" s="13" t="s">
        <v>1466</v>
      </c>
      <c r="I214" s="50" t="s">
        <v>1468</v>
      </c>
      <c r="J214" s="28" t="s">
        <v>56</v>
      </c>
      <c r="K214" s="31">
        <v>3010000.0</v>
      </c>
      <c r="L214" s="28" t="s">
        <v>283</v>
      </c>
      <c r="M214" s="21">
        <v>16751.07</v>
      </c>
      <c r="N214" s="34" t="s">
        <v>69</v>
      </c>
      <c r="O214" s="34"/>
    </row>
    <row r="215">
      <c r="A215" s="39">
        <v>46010.0</v>
      </c>
      <c r="B215" s="13" t="s">
        <v>150</v>
      </c>
      <c r="C215" s="15" t="s">
        <v>95</v>
      </c>
      <c r="D215" s="15" t="s">
        <v>41</v>
      </c>
      <c r="E215" s="15" t="s">
        <v>42</v>
      </c>
      <c r="F215" s="15" t="s">
        <v>44</v>
      </c>
      <c r="G215" s="13"/>
      <c r="H215" s="13" t="s">
        <v>1476</v>
      </c>
      <c r="I215" s="23"/>
      <c r="J215" s="28" t="s">
        <v>141</v>
      </c>
      <c r="K215" s="31">
        <v>7.777E7</v>
      </c>
      <c r="L215" s="28" t="s">
        <v>253</v>
      </c>
      <c r="M215" s="21">
        <v>141400.0</v>
      </c>
      <c r="N215" s="34" t="s">
        <v>69</v>
      </c>
      <c r="O215" s="34"/>
    </row>
    <row r="216">
      <c r="A216" s="39">
        <v>45979.0</v>
      </c>
      <c r="B216" s="13" t="s">
        <v>150</v>
      </c>
      <c r="C216" s="15" t="s">
        <v>336</v>
      </c>
      <c r="D216" s="15" t="s">
        <v>41</v>
      </c>
      <c r="E216" s="15" t="s">
        <v>42</v>
      </c>
      <c r="F216" s="15" t="s">
        <v>48</v>
      </c>
      <c r="G216" s="13"/>
      <c r="H216" s="13" t="s">
        <v>1485</v>
      </c>
      <c r="I216" s="50" t="s">
        <v>1486</v>
      </c>
      <c r="J216" s="28" t="s">
        <v>141</v>
      </c>
      <c r="K216" s="31">
        <v>2.2904123E7</v>
      </c>
      <c r="L216" s="47"/>
      <c r="M216" s="21">
        <v>15974.53</v>
      </c>
      <c r="N216" s="34" t="s">
        <v>69</v>
      </c>
      <c r="O216" s="34"/>
    </row>
    <row r="217">
      <c r="A217" s="39">
        <v>45280.0</v>
      </c>
      <c r="B217" s="13" t="s">
        <v>150</v>
      </c>
      <c r="C217" s="15" t="s">
        <v>560</v>
      </c>
      <c r="D217" s="15" t="s">
        <v>41</v>
      </c>
      <c r="E217" s="15" t="s">
        <v>42</v>
      </c>
      <c r="F217" s="15" t="s">
        <v>44</v>
      </c>
      <c r="G217" s="13"/>
      <c r="H217" s="13" t="s">
        <v>748</v>
      </c>
      <c r="I217" s="23"/>
      <c r="J217" s="28" t="s">
        <v>56</v>
      </c>
      <c r="K217" s="44">
        <v>8.005E7</v>
      </c>
      <c r="L217" s="28" t="s">
        <v>66</v>
      </c>
      <c r="M217" s="21">
        <v>639800.0</v>
      </c>
      <c r="N217" s="34" t="s">
        <v>69</v>
      </c>
      <c r="O217" s="34"/>
    </row>
    <row r="218">
      <c r="A218" s="39">
        <v>45270.0</v>
      </c>
      <c r="B218" s="13" t="s">
        <v>150</v>
      </c>
      <c r="C218" s="15" t="s">
        <v>392</v>
      </c>
      <c r="D218" s="15" t="s">
        <v>41</v>
      </c>
      <c r="E218" s="15" t="s">
        <v>42</v>
      </c>
      <c r="F218" s="15" t="s">
        <v>48</v>
      </c>
      <c r="G218" s="13"/>
      <c r="H218" s="13" t="s">
        <v>1494</v>
      </c>
      <c r="I218" s="50" t="s">
        <v>1495</v>
      </c>
      <c r="J218" s="28" t="s">
        <v>141</v>
      </c>
      <c r="K218" s="31">
        <v>8260000.0</v>
      </c>
      <c r="L218" s="28" t="s">
        <v>253</v>
      </c>
      <c r="M218" s="21">
        <v>44263.44</v>
      </c>
      <c r="N218" s="34" t="s">
        <v>69</v>
      </c>
      <c r="O218" s="34"/>
    </row>
    <row r="219">
      <c r="A219" s="8">
        <v>45912.0</v>
      </c>
      <c r="B219" s="13" t="s">
        <v>150</v>
      </c>
      <c r="C219" s="15" t="s">
        <v>564</v>
      </c>
      <c r="D219" s="15" t="s">
        <v>41</v>
      </c>
      <c r="E219" s="15" t="s">
        <v>42</v>
      </c>
      <c r="F219" s="15" t="s">
        <v>44</v>
      </c>
      <c r="G219" s="13"/>
      <c r="H219" s="13" t="s">
        <v>735</v>
      </c>
      <c r="I219" s="23"/>
      <c r="J219" s="28" t="s">
        <v>56</v>
      </c>
      <c r="K219" s="31">
        <v>2.4E7</v>
      </c>
      <c r="L219" s="28" t="s">
        <v>66</v>
      </c>
      <c r="M219" s="21">
        <v>268380.0</v>
      </c>
      <c r="N219" s="34" t="s">
        <v>69</v>
      </c>
      <c r="O219" s="34"/>
    </row>
    <row r="220">
      <c r="A220" s="39">
        <v>46119.0</v>
      </c>
      <c r="B220" s="13" t="s">
        <v>150</v>
      </c>
      <c r="C220" s="15" t="s">
        <v>573</v>
      </c>
      <c r="D220" s="15" t="s">
        <v>41</v>
      </c>
      <c r="E220" s="15" t="s">
        <v>42</v>
      </c>
      <c r="F220" s="15" t="s">
        <v>48</v>
      </c>
      <c r="G220" s="13"/>
      <c r="H220" s="13" t="s">
        <v>1505</v>
      </c>
      <c r="I220" s="50" t="s">
        <v>1506</v>
      </c>
      <c r="J220" s="28" t="s">
        <v>56</v>
      </c>
      <c r="K220" s="31">
        <v>3.925415E7</v>
      </c>
      <c r="L220" s="28" t="s">
        <v>1508</v>
      </c>
      <c r="M220" s="21">
        <v>26611.0</v>
      </c>
      <c r="N220" s="34" t="s">
        <v>69</v>
      </c>
      <c r="O220" s="34"/>
    </row>
    <row r="221">
      <c r="A221" s="8">
        <v>46097.0</v>
      </c>
      <c r="B221" s="13" t="s">
        <v>150</v>
      </c>
      <c r="C221" s="15" t="s">
        <v>594</v>
      </c>
      <c r="D221" s="15" t="s">
        <v>41</v>
      </c>
      <c r="E221" s="15" t="s">
        <v>42</v>
      </c>
      <c r="F221" s="15" t="s">
        <v>44</v>
      </c>
      <c r="G221" s="13"/>
      <c r="H221" s="13" t="s">
        <v>749</v>
      </c>
      <c r="I221" s="23"/>
      <c r="J221" s="28" t="s">
        <v>56</v>
      </c>
      <c r="K221" s="31">
        <v>3.1393388409E8</v>
      </c>
      <c r="L221" s="28" t="s">
        <v>283</v>
      </c>
      <c r="M221" s="21">
        <v>417361.0</v>
      </c>
      <c r="N221" s="34" t="s">
        <v>69</v>
      </c>
      <c r="O221" s="34"/>
    </row>
    <row r="222">
      <c r="A222" s="8">
        <v>45993.0</v>
      </c>
      <c r="B222" s="13" t="s">
        <v>150</v>
      </c>
      <c r="C222" s="15" t="s">
        <v>647</v>
      </c>
      <c r="D222" s="15" t="s">
        <v>41</v>
      </c>
      <c r="E222" s="15" t="s">
        <v>42</v>
      </c>
      <c r="F222" s="15" t="s">
        <v>48</v>
      </c>
      <c r="G222" s="13"/>
      <c r="H222" s="13" t="s">
        <v>1519</v>
      </c>
      <c r="I222" s="50" t="s">
        <v>1521</v>
      </c>
      <c r="J222" s="28" t="s">
        <v>56</v>
      </c>
      <c r="K222" s="31">
        <v>6998512.27</v>
      </c>
      <c r="L222" s="28" t="s">
        <v>66</v>
      </c>
      <c r="M222" s="21">
        <v>4803.73</v>
      </c>
      <c r="N222" s="34" t="s">
        <v>69</v>
      </c>
      <c r="O222" s="34"/>
    </row>
    <row r="223">
      <c r="A223" s="8">
        <v>45327.0</v>
      </c>
      <c r="B223" s="13" t="s">
        <v>150</v>
      </c>
      <c r="C223" s="15" t="s">
        <v>666</v>
      </c>
      <c r="D223" s="15" t="s">
        <v>41</v>
      </c>
      <c r="E223" s="15" t="s">
        <v>42</v>
      </c>
      <c r="F223" s="15" t="s">
        <v>44</v>
      </c>
      <c r="G223" s="13"/>
      <c r="H223" s="13" t="s">
        <v>738</v>
      </c>
      <c r="I223" s="23"/>
      <c r="J223" s="28" t="s">
        <v>56</v>
      </c>
      <c r="K223" s="31">
        <v>3.07196E7</v>
      </c>
      <c r="L223" s="28" t="s">
        <v>66</v>
      </c>
      <c r="M223" s="21">
        <v>314790.0</v>
      </c>
      <c r="N223" s="34" t="s">
        <v>69</v>
      </c>
      <c r="O223" s="34"/>
    </row>
    <row r="224">
      <c r="A224" s="8">
        <v>46142.0</v>
      </c>
      <c r="B224" s="13" t="s">
        <v>150</v>
      </c>
      <c r="C224" s="15" t="s">
        <v>415</v>
      </c>
      <c r="D224" s="15" t="s">
        <v>41</v>
      </c>
      <c r="E224" s="15" t="s">
        <v>42</v>
      </c>
      <c r="F224" s="15" t="s">
        <v>44</v>
      </c>
      <c r="G224" s="13"/>
      <c r="H224" s="13" t="s">
        <v>1562</v>
      </c>
      <c r="I224" s="23"/>
      <c r="J224" s="28" t="s">
        <v>187</v>
      </c>
      <c r="K224" s="31">
        <v>2.562106187E8</v>
      </c>
      <c r="L224" s="28" t="s">
        <v>189</v>
      </c>
      <c r="M224" s="21">
        <v>128100.0</v>
      </c>
      <c r="N224" s="34" t="s">
        <v>69</v>
      </c>
      <c r="O224" s="34"/>
    </row>
    <row r="225">
      <c r="A225" s="8">
        <v>46120.0</v>
      </c>
      <c r="B225" s="13" t="s">
        <v>150</v>
      </c>
      <c r="C225" s="15" t="s">
        <v>435</v>
      </c>
      <c r="D225" s="15" t="s">
        <v>41</v>
      </c>
      <c r="E225" s="15" t="s">
        <v>42</v>
      </c>
      <c r="F225" s="15" t="s">
        <v>44</v>
      </c>
      <c r="G225" s="13"/>
      <c r="H225" s="13" t="s">
        <v>1572</v>
      </c>
      <c r="I225" s="23"/>
      <c r="J225" s="28" t="s">
        <v>141</v>
      </c>
      <c r="K225" s="31">
        <v>3.0E8</v>
      </c>
      <c r="L225" s="28" t="s">
        <v>253</v>
      </c>
      <c r="M225" s="21">
        <v>747600.0</v>
      </c>
      <c r="N225" s="34" t="s">
        <v>69</v>
      </c>
      <c r="O225" s="34"/>
    </row>
    <row r="226">
      <c r="A226" s="8">
        <v>45793.0</v>
      </c>
      <c r="B226" s="13" t="s">
        <v>154</v>
      </c>
      <c r="C226" s="15" t="s">
        <v>515</v>
      </c>
      <c r="D226" s="15" t="s">
        <v>41</v>
      </c>
      <c r="E226" s="15" t="s">
        <v>42</v>
      </c>
      <c r="F226" s="15" t="s">
        <v>48</v>
      </c>
      <c r="G226" s="13"/>
      <c r="H226" s="13" t="s">
        <v>1582</v>
      </c>
      <c r="I226" s="50" t="s">
        <v>1585</v>
      </c>
      <c r="J226" s="28" t="s">
        <v>56</v>
      </c>
      <c r="K226" s="31">
        <v>8999400.0</v>
      </c>
      <c r="L226" s="28" t="s">
        <v>66</v>
      </c>
      <c r="M226" s="21">
        <v>9107.78</v>
      </c>
      <c r="N226" s="34" t="s">
        <v>69</v>
      </c>
      <c r="O226" s="34"/>
    </row>
    <row r="227">
      <c r="A227" s="8">
        <v>45842.0</v>
      </c>
      <c r="B227" s="13" t="s">
        <v>154</v>
      </c>
      <c r="C227" s="15" t="s">
        <v>551</v>
      </c>
      <c r="D227" s="15" t="s">
        <v>41</v>
      </c>
      <c r="E227" s="15" t="s">
        <v>42</v>
      </c>
      <c r="F227" s="15" t="s">
        <v>48</v>
      </c>
      <c r="G227" s="13"/>
      <c r="H227" s="13" t="s">
        <v>1084</v>
      </c>
      <c r="I227" s="50" t="s">
        <v>1592</v>
      </c>
      <c r="J227" s="28" t="s">
        <v>56</v>
      </c>
      <c r="K227" s="31">
        <v>1.054E7</v>
      </c>
      <c r="L227" s="28" t="s">
        <v>66</v>
      </c>
      <c r="M227" s="21">
        <v>10325.74</v>
      </c>
      <c r="N227" s="34" t="s">
        <v>69</v>
      </c>
      <c r="O227" s="34"/>
    </row>
    <row r="228">
      <c r="A228" s="39">
        <v>46219.0</v>
      </c>
      <c r="B228" s="13" t="s">
        <v>154</v>
      </c>
      <c r="C228" s="15" t="s">
        <v>142</v>
      </c>
      <c r="D228" s="15" t="s">
        <v>41</v>
      </c>
      <c r="E228" s="15" t="s">
        <v>42</v>
      </c>
      <c r="F228" s="15" t="s">
        <v>44</v>
      </c>
      <c r="G228" s="13"/>
      <c r="H228" s="13" t="s">
        <v>1598</v>
      </c>
      <c r="I228" s="23"/>
      <c r="J228" s="28" t="s">
        <v>56</v>
      </c>
      <c r="K228" s="31">
        <v>3.887E7</v>
      </c>
      <c r="L228" s="28" t="s">
        <v>740</v>
      </c>
      <c r="M228" s="21">
        <v>279347.6</v>
      </c>
      <c r="N228" s="34" t="s">
        <v>69</v>
      </c>
      <c r="O228" s="34"/>
    </row>
    <row r="229">
      <c r="A229" s="8">
        <v>46065.0</v>
      </c>
      <c r="B229" s="13" t="s">
        <v>154</v>
      </c>
      <c r="C229" s="15" t="s">
        <v>390</v>
      </c>
      <c r="D229" s="15" t="s">
        <v>41</v>
      </c>
      <c r="E229" s="15" t="s">
        <v>42</v>
      </c>
      <c r="F229" s="15" t="s">
        <v>48</v>
      </c>
      <c r="G229" s="13"/>
      <c r="H229" s="13" t="s">
        <v>1084</v>
      </c>
      <c r="I229" s="50" t="s">
        <v>1604</v>
      </c>
      <c r="J229" s="28" t="s">
        <v>56</v>
      </c>
      <c r="K229" s="31">
        <v>1.0E7</v>
      </c>
      <c r="L229" s="28" t="s">
        <v>66</v>
      </c>
      <c r="M229" s="21">
        <v>8571.62</v>
      </c>
      <c r="N229" s="34" t="s">
        <v>69</v>
      </c>
      <c r="O229" s="34"/>
    </row>
    <row r="230">
      <c r="A230" s="39">
        <v>45597.0</v>
      </c>
      <c r="B230" s="13" t="s">
        <v>154</v>
      </c>
      <c r="C230" s="15" t="s">
        <v>390</v>
      </c>
      <c r="D230" s="15" t="s">
        <v>41</v>
      </c>
      <c r="E230" s="15" t="s">
        <v>42</v>
      </c>
      <c r="F230" s="15" t="s">
        <v>44</v>
      </c>
      <c r="G230" s="13"/>
      <c r="H230" s="13" t="s">
        <v>1435</v>
      </c>
      <c r="I230" s="23"/>
      <c r="J230" s="28" t="s">
        <v>56</v>
      </c>
      <c r="K230" s="31">
        <v>7.9715E7</v>
      </c>
      <c r="L230" s="28" t="s">
        <v>66</v>
      </c>
      <c r="M230" s="21">
        <v>342300.76</v>
      </c>
      <c r="N230" s="34" t="s">
        <v>69</v>
      </c>
      <c r="O230" s="34"/>
    </row>
    <row r="231">
      <c r="A231" s="39">
        <v>46014.0</v>
      </c>
      <c r="B231" s="13" t="s">
        <v>154</v>
      </c>
      <c r="C231" s="15" t="s">
        <v>390</v>
      </c>
      <c r="D231" s="15" t="s">
        <v>41</v>
      </c>
      <c r="E231" s="15" t="s">
        <v>42</v>
      </c>
      <c r="F231" s="15" t="s">
        <v>44</v>
      </c>
      <c r="G231" s="13"/>
      <c r="H231" s="13" t="s">
        <v>1619</v>
      </c>
      <c r="I231" s="23"/>
      <c r="J231" s="28" t="s">
        <v>56</v>
      </c>
      <c r="K231" s="31">
        <v>2.7693606864E8</v>
      </c>
      <c r="L231" s="28" t="s">
        <v>66</v>
      </c>
      <c r="M231" s="21">
        <v>255313.56</v>
      </c>
      <c r="N231" s="34" t="s">
        <v>69</v>
      </c>
      <c r="O231" s="34"/>
    </row>
    <row r="232">
      <c r="A232" s="39">
        <v>46010.0</v>
      </c>
      <c r="B232" s="13" t="s">
        <v>150</v>
      </c>
      <c r="C232" s="15" t="s">
        <v>494</v>
      </c>
      <c r="D232" s="15" t="s">
        <v>41</v>
      </c>
      <c r="E232" s="15" t="s">
        <v>42</v>
      </c>
      <c r="F232" s="15" t="s">
        <v>44</v>
      </c>
      <c r="G232" s="13"/>
      <c r="H232" s="13" t="s">
        <v>1624</v>
      </c>
      <c r="I232" s="23"/>
      <c r="J232" s="28" t="s">
        <v>141</v>
      </c>
      <c r="K232" s="31">
        <v>1.92E8</v>
      </c>
      <c r="L232" s="28" t="s">
        <v>253</v>
      </c>
      <c r="M232" s="21">
        <v>183750.0</v>
      </c>
      <c r="N232" s="34" t="s">
        <v>69</v>
      </c>
      <c r="O232" s="34"/>
    </row>
    <row r="233">
      <c r="A233" s="8">
        <v>45523.0</v>
      </c>
      <c r="B233" s="13" t="s">
        <v>154</v>
      </c>
      <c r="C233" s="15" t="s">
        <v>514</v>
      </c>
      <c r="D233" s="15" t="s">
        <v>41</v>
      </c>
      <c r="E233" s="15" t="s">
        <v>42</v>
      </c>
      <c r="F233" s="15" t="s">
        <v>44</v>
      </c>
      <c r="G233" s="13"/>
      <c r="H233" s="13" t="s">
        <v>1639</v>
      </c>
      <c r="I233" s="23"/>
      <c r="J233" s="28" t="s">
        <v>56</v>
      </c>
      <c r="K233" s="31">
        <v>2.879477319E7</v>
      </c>
      <c r="L233" s="28" t="s">
        <v>66</v>
      </c>
      <c r="M233" s="21">
        <v>189000.0</v>
      </c>
      <c r="N233" s="34" t="s">
        <v>69</v>
      </c>
      <c r="O233" s="34"/>
    </row>
    <row r="234">
      <c r="A234" s="8">
        <v>46100.0</v>
      </c>
      <c r="B234" s="13" t="s">
        <v>154</v>
      </c>
      <c r="C234" s="15" t="s">
        <v>515</v>
      </c>
      <c r="D234" s="15" t="s">
        <v>41</v>
      </c>
      <c r="E234" s="15" t="s">
        <v>42</v>
      </c>
      <c r="F234" s="15" t="s">
        <v>48</v>
      </c>
      <c r="G234" s="13"/>
      <c r="H234" s="13" t="s">
        <v>1647</v>
      </c>
      <c r="I234" s="50" t="s">
        <v>1649</v>
      </c>
      <c r="J234" s="28" t="s">
        <v>56</v>
      </c>
      <c r="K234" s="31">
        <v>7836712.0</v>
      </c>
      <c r="L234" s="28" t="s">
        <v>244</v>
      </c>
      <c r="M234" s="21">
        <v>5469.32</v>
      </c>
      <c r="N234" s="34" t="s">
        <v>69</v>
      </c>
      <c r="O234" s="34"/>
    </row>
    <row r="235">
      <c r="A235" s="8">
        <v>46038.0</v>
      </c>
      <c r="B235" s="13" t="s">
        <v>154</v>
      </c>
      <c r="C235" s="15" t="s">
        <v>551</v>
      </c>
      <c r="D235" s="15" t="s">
        <v>41</v>
      </c>
      <c r="E235" s="15" t="s">
        <v>42</v>
      </c>
      <c r="F235" s="15" t="s">
        <v>44</v>
      </c>
      <c r="G235" s="13"/>
      <c r="H235" s="13" t="s">
        <v>1659</v>
      </c>
      <c r="I235" s="23"/>
      <c r="J235" s="28" t="s">
        <v>56</v>
      </c>
      <c r="K235" s="31">
        <v>3.18090942E8</v>
      </c>
      <c r="L235" s="28" t="s">
        <v>740</v>
      </c>
      <c r="M235" s="21">
        <v>253260.0</v>
      </c>
      <c r="N235" s="34" t="s">
        <v>69</v>
      </c>
      <c r="O235" s="34"/>
    </row>
    <row r="236">
      <c r="A236" s="39"/>
      <c r="B236" s="13" t="s">
        <v>150</v>
      </c>
      <c r="C236" s="15" t="s">
        <v>505</v>
      </c>
      <c r="D236" s="15" t="s">
        <v>41</v>
      </c>
      <c r="E236" s="15" t="s">
        <v>42</v>
      </c>
      <c r="F236" s="15" t="s">
        <v>48</v>
      </c>
      <c r="G236" s="13"/>
      <c r="H236" s="13" t="s">
        <v>1210</v>
      </c>
      <c r="I236" s="50" t="s">
        <v>1679</v>
      </c>
      <c r="J236" s="28" t="s">
        <v>141</v>
      </c>
      <c r="K236" s="31">
        <v>2040000.0</v>
      </c>
      <c r="L236" s="28" t="s">
        <v>253</v>
      </c>
      <c r="M236" s="21">
        <v>11352.89</v>
      </c>
      <c r="N236" s="34" t="s">
        <v>69</v>
      </c>
      <c r="O236" s="34"/>
    </row>
    <row r="237">
      <c r="A237" s="39">
        <v>45270.0</v>
      </c>
      <c r="B237" s="13" t="s">
        <v>154</v>
      </c>
      <c r="C237" s="15" t="s">
        <v>571</v>
      </c>
      <c r="D237" s="15" t="s">
        <v>41</v>
      </c>
      <c r="E237" s="15" t="s">
        <v>42</v>
      </c>
      <c r="F237" s="15" t="s">
        <v>48</v>
      </c>
      <c r="G237" s="13"/>
      <c r="H237" s="13" t="s">
        <v>1647</v>
      </c>
      <c r="I237" s="50" t="s">
        <v>1691</v>
      </c>
      <c r="J237" s="28" t="s">
        <v>56</v>
      </c>
      <c r="K237" s="31">
        <v>500000.0</v>
      </c>
      <c r="L237" s="28" t="s">
        <v>283</v>
      </c>
      <c r="M237" s="21">
        <v>3913.89</v>
      </c>
      <c r="N237" s="34" t="s">
        <v>69</v>
      </c>
      <c r="O237" s="34"/>
    </row>
    <row r="238">
      <c r="A238" s="8">
        <v>46106.0</v>
      </c>
      <c r="B238" s="13" t="s">
        <v>150</v>
      </c>
      <c r="C238" s="15" t="s">
        <v>516</v>
      </c>
      <c r="D238" s="15" t="s">
        <v>41</v>
      </c>
      <c r="E238" s="15" t="s">
        <v>42</v>
      </c>
      <c r="F238" s="15" t="s">
        <v>44</v>
      </c>
      <c r="G238" s="13"/>
      <c r="H238" s="13" t="s">
        <v>1703</v>
      </c>
      <c r="I238" s="50"/>
      <c r="J238" s="28" t="s">
        <v>141</v>
      </c>
      <c r="K238" s="31">
        <v>1.0834233763E8</v>
      </c>
      <c r="L238" s="28" t="s">
        <v>253</v>
      </c>
      <c r="M238" s="21">
        <v>101500.0</v>
      </c>
      <c r="N238" s="34" t="s">
        <v>69</v>
      </c>
      <c r="O238" s="34"/>
    </row>
    <row r="239">
      <c r="A239" s="39">
        <v>46120.0</v>
      </c>
      <c r="B239" s="13" t="s">
        <v>150</v>
      </c>
      <c r="C239" s="15" t="s">
        <v>560</v>
      </c>
      <c r="D239" s="15" t="s">
        <v>41</v>
      </c>
      <c r="E239" s="15" t="s">
        <v>42</v>
      </c>
      <c r="F239" s="15" t="s">
        <v>44</v>
      </c>
      <c r="G239" s="13"/>
      <c r="H239" s="13" t="s">
        <v>660</v>
      </c>
      <c r="I239" s="23"/>
      <c r="J239" s="28" t="s">
        <v>141</v>
      </c>
      <c r="K239" s="31">
        <v>4.4055E8</v>
      </c>
      <c r="L239" s="28" t="s">
        <v>271</v>
      </c>
      <c r="M239" s="21">
        <v>454300.0</v>
      </c>
      <c r="N239" s="34" t="s">
        <v>69</v>
      </c>
      <c r="O239" s="34"/>
    </row>
    <row r="240">
      <c r="A240" s="8">
        <v>46094.0</v>
      </c>
      <c r="B240" s="13" t="s">
        <v>154</v>
      </c>
      <c r="C240" s="15" t="s">
        <v>662</v>
      </c>
      <c r="D240" s="15" t="s">
        <v>41</v>
      </c>
      <c r="E240" s="15" t="s">
        <v>42</v>
      </c>
      <c r="F240" s="15" t="s">
        <v>48</v>
      </c>
      <c r="G240" s="13"/>
      <c r="H240" s="13" t="s">
        <v>1722</v>
      </c>
      <c r="I240" s="50" t="s">
        <v>1723</v>
      </c>
      <c r="J240" s="28" t="s">
        <v>56</v>
      </c>
      <c r="K240" s="31">
        <v>2.26E7</v>
      </c>
      <c r="L240" s="28" t="s">
        <v>283</v>
      </c>
      <c r="M240" s="21">
        <v>20995.72</v>
      </c>
      <c r="N240" s="34" t="s">
        <v>69</v>
      </c>
      <c r="O240" s="34"/>
    </row>
    <row r="241">
      <c r="A241" s="8">
        <v>45308.0</v>
      </c>
      <c r="B241" s="13" t="s">
        <v>154</v>
      </c>
      <c r="C241" s="15" t="s">
        <v>669</v>
      </c>
      <c r="D241" s="15" t="s">
        <v>41</v>
      </c>
      <c r="E241" s="15" t="s">
        <v>42</v>
      </c>
      <c r="F241" s="15" t="s">
        <v>44</v>
      </c>
      <c r="G241" s="13"/>
      <c r="H241" s="13" t="s">
        <v>735</v>
      </c>
      <c r="I241" s="23"/>
      <c r="J241" s="28" t="s">
        <v>56</v>
      </c>
      <c r="K241" s="31">
        <v>2.084487362E7</v>
      </c>
      <c r="L241" s="28" t="s">
        <v>66</v>
      </c>
      <c r="M241" s="21">
        <v>266910.0</v>
      </c>
      <c r="N241" s="115" t="s">
        <v>1742</v>
      </c>
      <c r="O241" s="115"/>
    </row>
    <row r="242">
      <c r="A242" s="8">
        <v>46113.0</v>
      </c>
      <c r="B242" s="13" t="s">
        <v>154</v>
      </c>
      <c r="C242" s="15" t="s">
        <v>679</v>
      </c>
      <c r="D242" s="15" t="s">
        <v>41</v>
      </c>
      <c r="E242" s="15" t="s">
        <v>42</v>
      </c>
      <c r="F242" s="15" t="s">
        <v>48</v>
      </c>
      <c r="G242" s="13"/>
      <c r="H242" s="13" t="s">
        <v>1751</v>
      </c>
      <c r="I242" s="50" t="s">
        <v>1753</v>
      </c>
      <c r="J242" s="28" t="s">
        <v>56</v>
      </c>
      <c r="K242" s="31">
        <v>2.12E7</v>
      </c>
      <c r="L242" s="28" t="s">
        <v>66</v>
      </c>
      <c r="M242" s="21">
        <v>17703.09</v>
      </c>
      <c r="N242" s="34" t="s">
        <v>69</v>
      </c>
      <c r="O242" s="34"/>
    </row>
    <row r="243">
      <c r="A243" s="39">
        <v>45974.0</v>
      </c>
      <c r="B243" s="13" t="s">
        <v>154</v>
      </c>
      <c r="C243" s="15" t="s">
        <v>679</v>
      </c>
      <c r="D243" s="15" t="s">
        <v>41</v>
      </c>
      <c r="E243" s="15" t="s">
        <v>42</v>
      </c>
      <c r="F243" s="15" t="s">
        <v>44</v>
      </c>
      <c r="G243" s="13"/>
      <c r="H243" s="13" t="s">
        <v>735</v>
      </c>
      <c r="I243" s="23"/>
      <c r="J243" s="28" t="s">
        <v>56</v>
      </c>
      <c r="K243" s="31">
        <v>3.416993268E7</v>
      </c>
      <c r="L243" s="28" t="s">
        <v>66</v>
      </c>
      <c r="M243" s="21">
        <v>259350.0</v>
      </c>
      <c r="N243" s="34" t="s">
        <v>69</v>
      </c>
      <c r="O243" s="34"/>
    </row>
    <row r="244">
      <c r="A244" s="8">
        <v>46232.0</v>
      </c>
      <c r="B244" s="13" t="s">
        <v>150</v>
      </c>
      <c r="C244" s="15" t="s">
        <v>647</v>
      </c>
      <c r="D244" s="15" t="s">
        <v>41</v>
      </c>
      <c r="E244" s="15" t="s">
        <v>42</v>
      </c>
      <c r="F244" s="15" t="s">
        <v>44</v>
      </c>
      <c r="G244" s="13"/>
      <c r="H244" s="13" t="s">
        <v>1771</v>
      </c>
      <c r="I244" s="23"/>
      <c r="J244" s="28" t="s">
        <v>141</v>
      </c>
      <c r="K244" s="31">
        <v>5.68826375E7</v>
      </c>
      <c r="L244" s="28" t="s">
        <v>144</v>
      </c>
      <c r="M244" s="21">
        <v>122150.0</v>
      </c>
      <c r="N244" s="34" t="s">
        <v>69</v>
      </c>
      <c r="O244" s="34"/>
    </row>
    <row r="245">
      <c r="A245" s="39">
        <v>46021.0</v>
      </c>
      <c r="B245" s="13" t="s">
        <v>154</v>
      </c>
      <c r="C245" s="15" t="s">
        <v>390</v>
      </c>
      <c r="D245" s="15" t="s">
        <v>41</v>
      </c>
      <c r="E245" s="15" t="s">
        <v>42</v>
      </c>
      <c r="F245" s="15" t="s">
        <v>44</v>
      </c>
      <c r="G245" s="13"/>
      <c r="H245" s="13" t="s">
        <v>1781</v>
      </c>
      <c r="I245" s="23"/>
      <c r="J245" s="28" t="s">
        <v>141</v>
      </c>
      <c r="K245" s="31">
        <v>2.63764264E8</v>
      </c>
      <c r="L245" s="28" t="s">
        <v>253</v>
      </c>
      <c r="M245" s="21">
        <v>176831.92</v>
      </c>
      <c r="N245" s="34" t="s">
        <v>69</v>
      </c>
      <c r="O245" s="34"/>
    </row>
    <row r="246">
      <c r="A246" s="8">
        <v>45796.0</v>
      </c>
      <c r="B246" s="13" t="s">
        <v>154</v>
      </c>
      <c r="C246" s="15" t="s">
        <v>555</v>
      </c>
      <c r="D246" s="15" t="s">
        <v>41</v>
      </c>
      <c r="E246" s="15" t="s">
        <v>42</v>
      </c>
      <c r="F246" s="15" t="s">
        <v>48</v>
      </c>
      <c r="G246" s="13"/>
      <c r="H246" s="13" t="s">
        <v>1791</v>
      </c>
      <c r="I246" s="50" t="s">
        <v>1795</v>
      </c>
      <c r="J246" s="28" t="s">
        <v>141</v>
      </c>
      <c r="K246" s="31">
        <v>3.44E7</v>
      </c>
      <c r="L246" s="28" t="s">
        <v>253</v>
      </c>
      <c r="M246" s="21">
        <v>31313.43</v>
      </c>
      <c r="N246" s="34" t="s">
        <v>69</v>
      </c>
      <c r="O246" s="34"/>
    </row>
    <row r="247">
      <c r="A247" s="39">
        <v>45272.0</v>
      </c>
      <c r="B247" s="13" t="s">
        <v>154</v>
      </c>
      <c r="C247" s="15" t="s">
        <v>595</v>
      </c>
      <c r="D247" s="15" t="s">
        <v>41</v>
      </c>
      <c r="E247" s="15" t="s">
        <v>42</v>
      </c>
      <c r="F247" s="15" t="s">
        <v>48</v>
      </c>
      <c r="G247" s="13"/>
      <c r="H247" s="13" t="s">
        <v>1791</v>
      </c>
      <c r="I247" s="50" t="s">
        <v>1804</v>
      </c>
      <c r="J247" s="28" t="s">
        <v>141</v>
      </c>
      <c r="K247" s="31">
        <v>6670000.0</v>
      </c>
      <c r="L247" s="28" t="s">
        <v>253</v>
      </c>
      <c r="M247" s="21">
        <v>27048.95</v>
      </c>
      <c r="N247" s="34" t="s">
        <v>69</v>
      </c>
      <c r="O247" s="34"/>
    </row>
    <row r="248">
      <c r="A248" s="8">
        <v>45735.0</v>
      </c>
      <c r="B248" s="13" t="s">
        <v>154</v>
      </c>
      <c r="C248" s="15" t="s">
        <v>595</v>
      </c>
      <c r="D248" s="15" t="s">
        <v>41</v>
      </c>
      <c r="E248" s="15" t="s">
        <v>42</v>
      </c>
      <c r="F248" s="15" t="s">
        <v>44</v>
      </c>
      <c r="G248" s="13"/>
      <c r="H248" s="13" t="s">
        <v>1816</v>
      </c>
      <c r="I248" s="50"/>
      <c r="J248" s="28" t="s">
        <v>141</v>
      </c>
      <c r="K248" s="31">
        <v>3.906189627E7</v>
      </c>
      <c r="L248" s="28" t="s">
        <v>271</v>
      </c>
      <c r="M248" s="49">
        <v>261534.0</v>
      </c>
      <c r="N248" s="34"/>
      <c r="O248" s="34"/>
    </row>
    <row r="249">
      <c r="A249" s="8">
        <v>46113.0</v>
      </c>
      <c r="B249" s="13" t="s">
        <v>154</v>
      </c>
      <c r="C249" s="15" t="s">
        <v>693</v>
      </c>
      <c r="D249" s="15" t="s">
        <v>41</v>
      </c>
      <c r="E249" s="15" t="s">
        <v>42</v>
      </c>
      <c r="F249" s="15" t="s">
        <v>44</v>
      </c>
      <c r="G249" s="13"/>
      <c r="H249" s="13" t="s">
        <v>1827</v>
      </c>
      <c r="I249" s="23"/>
      <c r="J249" s="28" t="s">
        <v>141</v>
      </c>
      <c r="K249" s="31">
        <v>2.7104E8</v>
      </c>
      <c r="L249" s="28" t="s">
        <v>144</v>
      </c>
      <c r="M249" s="21">
        <v>196000.0</v>
      </c>
      <c r="N249" s="34" t="s">
        <v>69</v>
      </c>
      <c r="O249" s="34"/>
    </row>
    <row r="250">
      <c r="A250" s="8">
        <v>45968.0</v>
      </c>
      <c r="B250" s="13" t="s">
        <v>161</v>
      </c>
      <c r="C250" s="15" t="s">
        <v>372</v>
      </c>
      <c r="D250" s="15" t="s">
        <v>41</v>
      </c>
      <c r="E250" s="15" t="s">
        <v>42</v>
      </c>
      <c r="F250" s="15" t="s">
        <v>44</v>
      </c>
      <c r="G250" s="13"/>
      <c r="H250" s="13" t="s">
        <v>1840</v>
      </c>
      <c r="I250" s="23"/>
      <c r="J250" s="28" t="s">
        <v>56</v>
      </c>
      <c r="K250" s="31">
        <v>3.08802E8</v>
      </c>
      <c r="L250" s="28" t="s">
        <v>283</v>
      </c>
      <c r="M250" s="21">
        <v>277060.0</v>
      </c>
      <c r="N250" s="34" t="s">
        <v>69</v>
      </c>
      <c r="O250" s="34"/>
    </row>
    <row r="251">
      <c r="A251" s="39">
        <v>46001.0</v>
      </c>
      <c r="B251" s="13" t="s">
        <v>161</v>
      </c>
      <c r="C251" s="15" t="s">
        <v>469</v>
      </c>
      <c r="D251" s="15" t="s">
        <v>41</v>
      </c>
      <c r="E251" s="15" t="s">
        <v>42</v>
      </c>
      <c r="F251" s="15" t="s">
        <v>44</v>
      </c>
      <c r="G251" s="13"/>
      <c r="H251" s="13" t="s">
        <v>724</v>
      </c>
      <c r="I251" s="23"/>
      <c r="J251" s="28" t="s">
        <v>56</v>
      </c>
      <c r="K251" s="31">
        <v>2.51802484E8</v>
      </c>
      <c r="L251" s="28" t="s">
        <v>283</v>
      </c>
      <c r="M251" s="21">
        <v>313810.0</v>
      </c>
      <c r="N251" s="34" t="s">
        <v>69</v>
      </c>
      <c r="O251" s="34"/>
    </row>
    <row r="252">
      <c r="A252" s="8">
        <v>45877.0</v>
      </c>
      <c r="B252" s="13" t="s">
        <v>161</v>
      </c>
      <c r="C252" s="15" t="s">
        <v>579</v>
      </c>
      <c r="D252" s="15" t="s">
        <v>41</v>
      </c>
      <c r="E252" s="15" t="s">
        <v>42</v>
      </c>
      <c r="F252" s="15" t="s">
        <v>44</v>
      </c>
      <c r="G252" s="13"/>
      <c r="H252" s="13" t="s">
        <v>724</v>
      </c>
      <c r="I252" s="23"/>
      <c r="J252" s="28" t="s">
        <v>56</v>
      </c>
      <c r="K252" s="31">
        <v>2.42440348E8</v>
      </c>
      <c r="L252" s="28" t="s">
        <v>283</v>
      </c>
      <c r="M252" s="21">
        <v>299600.0</v>
      </c>
      <c r="N252" s="34" t="s">
        <v>69</v>
      </c>
      <c r="O252" s="34"/>
    </row>
    <row r="253">
      <c r="A253" s="8">
        <v>46038.0</v>
      </c>
      <c r="B253" s="13" t="s">
        <v>161</v>
      </c>
      <c r="C253" s="15" t="s">
        <v>610</v>
      </c>
      <c r="D253" s="15" t="s">
        <v>41</v>
      </c>
      <c r="E253" s="15" t="s">
        <v>42</v>
      </c>
      <c r="F253" s="15" t="s">
        <v>44</v>
      </c>
      <c r="G253" s="13"/>
      <c r="H253" s="13" t="s">
        <v>1867</v>
      </c>
      <c r="I253" s="23"/>
      <c r="J253" s="28" t="s">
        <v>56</v>
      </c>
      <c r="K253" s="31">
        <v>2.0159568E8</v>
      </c>
      <c r="L253" s="28" t="s">
        <v>283</v>
      </c>
      <c r="M253" s="21">
        <v>180320.0</v>
      </c>
      <c r="N253" s="34" t="s">
        <v>69</v>
      </c>
      <c r="O253" s="34"/>
    </row>
    <row r="254">
      <c r="A254" s="39">
        <v>45576.0</v>
      </c>
      <c r="B254" s="13" t="s">
        <v>161</v>
      </c>
      <c r="C254" s="15" t="s">
        <v>656</v>
      </c>
      <c r="D254" s="15" t="s">
        <v>41</v>
      </c>
      <c r="E254" s="15" t="s">
        <v>42</v>
      </c>
      <c r="F254" s="15" t="s">
        <v>44</v>
      </c>
      <c r="G254" s="13"/>
      <c r="H254" s="13" t="s">
        <v>724</v>
      </c>
      <c r="I254" s="23"/>
      <c r="J254" s="28" t="s">
        <v>56</v>
      </c>
      <c r="K254" s="31">
        <v>8.68175E7</v>
      </c>
      <c r="L254" s="28" t="s">
        <v>283</v>
      </c>
      <c r="M254" s="21">
        <v>435890.0</v>
      </c>
      <c r="N254" s="34" t="s">
        <v>69</v>
      </c>
      <c r="O254" s="34"/>
    </row>
    <row r="255">
      <c r="A255" s="8">
        <v>46142.0</v>
      </c>
      <c r="B255" s="13" t="s">
        <v>161</v>
      </c>
      <c r="C255" s="15" t="s">
        <v>100</v>
      </c>
      <c r="D255" s="15" t="s">
        <v>41</v>
      </c>
      <c r="E255" s="15" t="s">
        <v>42</v>
      </c>
      <c r="F255" s="15" t="s">
        <v>44</v>
      </c>
      <c r="G255" s="13"/>
      <c r="H255" s="13" t="s">
        <v>1888</v>
      </c>
      <c r="I255" s="23"/>
      <c r="J255" s="28" t="s">
        <v>187</v>
      </c>
      <c r="K255" s="31">
        <v>1.0E8</v>
      </c>
      <c r="L255" s="28" t="s">
        <v>189</v>
      </c>
      <c r="M255" s="21">
        <v>71993.72</v>
      </c>
      <c r="N255" s="34" t="s">
        <v>69</v>
      </c>
      <c r="O255" s="34"/>
    </row>
    <row r="256">
      <c r="A256" s="39">
        <v>45979.0</v>
      </c>
      <c r="B256" s="13" t="s">
        <v>78</v>
      </c>
      <c r="C256" s="15" t="s">
        <v>329</v>
      </c>
      <c r="D256" s="15" t="s">
        <v>41</v>
      </c>
      <c r="E256" s="15" t="s">
        <v>42</v>
      </c>
      <c r="F256" s="15" t="s">
        <v>48</v>
      </c>
      <c r="G256" s="13"/>
      <c r="H256" s="13" t="s">
        <v>1901</v>
      </c>
      <c r="I256" s="50" t="s">
        <v>1903</v>
      </c>
      <c r="J256" s="28" t="s">
        <v>56</v>
      </c>
      <c r="K256" s="31">
        <v>4000000.0</v>
      </c>
      <c r="L256" s="28" t="s">
        <v>66</v>
      </c>
      <c r="M256" s="21">
        <v>21264.15</v>
      </c>
      <c r="N256" s="34" t="s">
        <v>69</v>
      </c>
      <c r="O256" s="34"/>
    </row>
    <row r="257">
      <c r="A257" s="8">
        <v>46043.0</v>
      </c>
      <c r="B257" s="13" t="s">
        <v>78</v>
      </c>
      <c r="C257" s="15" t="s">
        <v>335</v>
      </c>
      <c r="D257" s="15" t="s">
        <v>41</v>
      </c>
      <c r="E257" s="15" t="s">
        <v>42</v>
      </c>
      <c r="F257" s="15" t="s">
        <v>48</v>
      </c>
      <c r="G257" s="13"/>
      <c r="H257" s="13" t="s">
        <v>1084</v>
      </c>
      <c r="I257" s="50" t="s">
        <v>1912</v>
      </c>
      <c r="J257" s="28" t="s">
        <v>56</v>
      </c>
      <c r="K257" s="31">
        <v>1226000.0</v>
      </c>
      <c r="L257" s="28" t="s">
        <v>66</v>
      </c>
      <c r="M257" s="21">
        <v>11816.87</v>
      </c>
      <c r="N257" s="34" t="s">
        <v>69</v>
      </c>
      <c r="O257" s="34"/>
    </row>
    <row r="258">
      <c r="A258" s="8">
        <v>45838.0</v>
      </c>
      <c r="B258" s="13" t="s">
        <v>154</v>
      </c>
      <c r="C258" s="15" t="s">
        <v>695</v>
      </c>
      <c r="D258" s="15" t="s">
        <v>41</v>
      </c>
      <c r="E258" s="15" t="s">
        <v>42</v>
      </c>
      <c r="F258" s="15" t="s">
        <v>48</v>
      </c>
      <c r="G258" s="13"/>
      <c r="H258" s="13" t="s">
        <v>1791</v>
      </c>
      <c r="I258" s="50" t="s">
        <v>1925</v>
      </c>
      <c r="J258" s="28" t="s">
        <v>141</v>
      </c>
      <c r="K258" s="31">
        <v>4.3E7</v>
      </c>
      <c r="L258" s="28" t="s">
        <v>253</v>
      </c>
      <c r="M258" s="21">
        <v>38893.96</v>
      </c>
      <c r="N258" s="34" t="s">
        <v>69</v>
      </c>
      <c r="O258" s="34"/>
    </row>
    <row r="259">
      <c r="A259" s="8">
        <v>46027.0</v>
      </c>
      <c r="B259" s="13" t="s">
        <v>154</v>
      </c>
      <c r="C259" s="15" t="s">
        <v>699</v>
      </c>
      <c r="D259" s="15" t="s">
        <v>41</v>
      </c>
      <c r="E259" s="15" t="s">
        <v>42</v>
      </c>
      <c r="F259" s="15" t="s">
        <v>44</v>
      </c>
      <c r="G259" s="13"/>
      <c r="H259" s="13" t="s">
        <v>708</v>
      </c>
      <c r="I259" s="23"/>
      <c r="J259" s="28" t="s">
        <v>141</v>
      </c>
      <c r="K259" s="31">
        <v>2.62852535E8</v>
      </c>
      <c r="L259" s="28" t="s">
        <v>271</v>
      </c>
      <c r="M259" s="21">
        <v>217700.0</v>
      </c>
      <c r="N259" s="34" t="s">
        <v>69</v>
      </c>
      <c r="O259" s="34"/>
    </row>
    <row r="260">
      <c r="A260" s="39">
        <v>45979.0</v>
      </c>
      <c r="B260" s="13" t="s">
        <v>78</v>
      </c>
      <c r="C260" s="15" t="s">
        <v>329</v>
      </c>
      <c r="D260" s="15" t="s">
        <v>41</v>
      </c>
      <c r="E260" s="15" t="s">
        <v>42</v>
      </c>
      <c r="F260" s="15" t="s">
        <v>44</v>
      </c>
      <c r="G260" s="13"/>
      <c r="H260" s="13" t="s">
        <v>1639</v>
      </c>
      <c r="I260" s="23"/>
      <c r="J260" s="28" t="s">
        <v>56</v>
      </c>
      <c r="K260" s="31">
        <v>1.517723282E7</v>
      </c>
      <c r="L260" s="28" t="s">
        <v>66</v>
      </c>
      <c r="M260" s="21">
        <v>140000.0</v>
      </c>
      <c r="N260" s="34" t="s">
        <v>69</v>
      </c>
      <c r="O260" s="34"/>
    </row>
    <row r="261">
      <c r="A261" s="8">
        <v>46224.0</v>
      </c>
      <c r="B261" s="13" t="s">
        <v>154</v>
      </c>
      <c r="C261" s="15" t="s">
        <v>601</v>
      </c>
      <c r="D261" s="15" t="s">
        <v>41</v>
      </c>
      <c r="E261" s="15" t="s">
        <v>42</v>
      </c>
      <c r="F261" s="15" t="s">
        <v>48</v>
      </c>
      <c r="G261" s="13"/>
      <c r="H261" s="13" t="s">
        <v>1953</v>
      </c>
      <c r="I261" s="50" t="s">
        <v>1955</v>
      </c>
      <c r="J261" s="28" t="s">
        <v>141</v>
      </c>
      <c r="K261" s="31">
        <v>3.5767354E7</v>
      </c>
      <c r="L261" s="28" t="s">
        <v>144</v>
      </c>
      <c r="M261" s="21">
        <v>25750.25</v>
      </c>
      <c r="N261" s="34" t="s">
        <v>69</v>
      </c>
      <c r="O261" s="34"/>
    </row>
    <row r="262">
      <c r="A262" s="39">
        <v>46100.0</v>
      </c>
      <c r="B262" s="13" t="s">
        <v>72</v>
      </c>
      <c r="C262" s="15" t="s">
        <v>225</v>
      </c>
      <c r="D262" s="15" t="s">
        <v>41</v>
      </c>
      <c r="E262" s="15" t="s">
        <v>42</v>
      </c>
      <c r="F262" s="15" t="s">
        <v>48</v>
      </c>
      <c r="G262" s="13"/>
      <c r="H262" s="13" t="s">
        <v>1968</v>
      </c>
      <c r="I262" s="50" t="s">
        <v>1969</v>
      </c>
      <c r="J262" s="28" t="s">
        <v>141</v>
      </c>
      <c r="K262" s="31">
        <v>2000000.0</v>
      </c>
      <c r="L262" s="28" t="s">
        <v>253</v>
      </c>
      <c r="M262" s="45">
        <v>10632.076976237307</v>
      </c>
      <c r="N262" s="34" t="s">
        <v>69</v>
      </c>
      <c r="O262" s="34"/>
    </row>
    <row r="263">
      <c r="A263" s="39">
        <v>46010.0</v>
      </c>
      <c r="B263" s="13" t="s">
        <v>161</v>
      </c>
      <c r="C263" s="15" t="s">
        <v>100</v>
      </c>
      <c r="D263" s="15" t="s">
        <v>41</v>
      </c>
      <c r="E263" s="15" t="s">
        <v>42</v>
      </c>
      <c r="F263" s="15" t="s">
        <v>48</v>
      </c>
      <c r="G263" s="13"/>
      <c r="H263" s="13" t="s">
        <v>1979</v>
      </c>
      <c r="I263" s="50" t="s">
        <v>1981</v>
      </c>
      <c r="J263" s="28" t="s">
        <v>141</v>
      </c>
      <c r="K263" s="31">
        <v>3.3879111E7</v>
      </c>
      <c r="L263" s="28" t="s">
        <v>253</v>
      </c>
      <c r="M263" s="21">
        <v>23644.56</v>
      </c>
      <c r="N263" s="34" t="s">
        <v>69</v>
      </c>
      <c r="O263" s="34"/>
    </row>
    <row r="264">
      <c r="A264" s="39">
        <v>45270.0</v>
      </c>
      <c r="B264" s="13" t="s">
        <v>78</v>
      </c>
      <c r="C264" s="15" t="s">
        <v>234</v>
      </c>
      <c r="D264" s="15" t="s">
        <v>41</v>
      </c>
      <c r="E264" s="15" t="s">
        <v>42</v>
      </c>
      <c r="F264" s="15" t="s">
        <v>48</v>
      </c>
      <c r="G264" s="13"/>
      <c r="H264" s="13" t="s">
        <v>1210</v>
      </c>
      <c r="I264" s="50" t="s">
        <v>1990</v>
      </c>
      <c r="J264" s="28" t="s">
        <v>141</v>
      </c>
      <c r="K264" s="145">
        <v>1840000.0</v>
      </c>
      <c r="L264" s="28" t="s">
        <v>253</v>
      </c>
      <c r="M264" s="21">
        <v>9781.51</v>
      </c>
      <c r="N264" s="34" t="s">
        <v>69</v>
      </c>
      <c r="O264" s="34"/>
    </row>
    <row r="265">
      <c r="A265" s="39">
        <v>45271.0</v>
      </c>
      <c r="B265" s="13" t="s">
        <v>78</v>
      </c>
      <c r="C265" s="15" t="s">
        <v>254</v>
      </c>
      <c r="D265" s="15" t="s">
        <v>41</v>
      </c>
      <c r="E265" s="15" t="s">
        <v>42</v>
      </c>
      <c r="F265" s="15" t="s">
        <v>48</v>
      </c>
      <c r="G265" s="13"/>
      <c r="H265" s="13" t="s">
        <v>1210</v>
      </c>
      <c r="I265" s="50" t="s">
        <v>2006</v>
      </c>
      <c r="J265" s="28" t="s">
        <v>141</v>
      </c>
      <c r="K265" s="31">
        <v>1280180.0</v>
      </c>
      <c r="L265" s="28" t="s">
        <v>253</v>
      </c>
      <c r="M265" s="21">
        <v>6805.49</v>
      </c>
      <c r="N265" s="115" t="s">
        <v>2010</v>
      </c>
      <c r="O265" s="115"/>
    </row>
    <row r="266">
      <c r="A266" s="8">
        <v>46091.0</v>
      </c>
      <c r="B266" s="13" t="s">
        <v>78</v>
      </c>
      <c r="C266" s="15" t="s">
        <v>331</v>
      </c>
      <c r="D266" s="15" t="s">
        <v>41</v>
      </c>
      <c r="E266" s="15" t="s">
        <v>42</v>
      </c>
      <c r="F266" s="15" t="s">
        <v>48</v>
      </c>
      <c r="G266" s="13"/>
      <c r="H266" s="13" t="s">
        <v>2016</v>
      </c>
      <c r="I266" s="50" t="s">
        <v>2017</v>
      </c>
      <c r="J266" s="28" t="s">
        <v>141</v>
      </c>
      <c r="K266" s="31">
        <v>1.621E7</v>
      </c>
      <c r="L266" s="28" t="s">
        <v>253</v>
      </c>
      <c r="M266" s="21">
        <v>15119.29</v>
      </c>
      <c r="N266" s="34" t="s">
        <v>69</v>
      </c>
      <c r="O266" s="34"/>
    </row>
    <row r="267">
      <c r="A267" s="8">
        <v>46077.0</v>
      </c>
      <c r="B267" s="13" t="s">
        <v>96</v>
      </c>
      <c r="C267" s="15" t="s">
        <v>633</v>
      </c>
      <c r="D267" s="15" t="s">
        <v>41</v>
      </c>
      <c r="E267" s="15" t="s">
        <v>42</v>
      </c>
      <c r="F267" s="15" t="s">
        <v>48</v>
      </c>
      <c r="G267" s="13"/>
      <c r="H267" s="13" t="s">
        <v>1350</v>
      </c>
      <c r="I267" s="50" t="s">
        <v>2029</v>
      </c>
      <c r="J267" s="28" t="s">
        <v>56</v>
      </c>
      <c r="K267" s="31">
        <v>4168800.0</v>
      </c>
      <c r="L267" s="28" t="s">
        <v>66</v>
      </c>
      <c r="M267" s="21">
        <v>40181.2</v>
      </c>
      <c r="N267" s="34" t="s">
        <v>69</v>
      </c>
      <c r="O267" s="34"/>
    </row>
    <row r="268">
      <c r="A268" s="8">
        <v>46099.0</v>
      </c>
      <c r="B268" s="13" t="s">
        <v>78</v>
      </c>
      <c r="C268" s="15" t="s">
        <v>331</v>
      </c>
      <c r="D268" s="15" t="s">
        <v>41</v>
      </c>
      <c r="E268" s="15" t="s">
        <v>42</v>
      </c>
      <c r="F268" s="15" t="s">
        <v>48</v>
      </c>
      <c r="G268" s="13"/>
      <c r="H268" s="13" t="s">
        <v>2036</v>
      </c>
      <c r="I268" s="50" t="s">
        <v>2038</v>
      </c>
      <c r="J268" s="28" t="s">
        <v>141</v>
      </c>
      <c r="K268" s="31">
        <v>1.998E7</v>
      </c>
      <c r="L268" s="47"/>
      <c r="M268" s="21">
        <v>13944.24</v>
      </c>
      <c r="N268" s="34" t="s">
        <v>69</v>
      </c>
      <c r="O268" s="34"/>
    </row>
    <row r="269">
      <c r="A269" s="8">
        <v>45995.0</v>
      </c>
      <c r="B269" s="13" t="s">
        <v>96</v>
      </c>
      <c r="C269" s="15" t="s">
        <v>350</v>
      </c>
      <c r="D269" s="15" t="s">
        <v>41</v>
      </c>
      <c r="E269" s="15" t="s">
        <v>42</v>
      </c>
      <c r="F269" s="15" t="s">
        <v>48</v>
      </c>
      <c r="G269" s="13"/>
      <c r="H269" s="13" t="s">
        <v>1901</v>
      </c>
      <c r="I269" s="50" t="s">
        <v>2049</v>
      </c>
      <c r="J269" s="28" t="s">
        <v>56</v>
      </c>
      <c r="K269" s="31">
        <v>4000000.0</v>
      </c>
      <c r="L269" s="28" t="s">
        <v>66</v>
      </c>
      <c r="M269" s="21">
        <v>21264.15</v>
      </c>
      <c r="N269" s="34" t="s">
        <v>69</v>
      </c>
      <c r="O269" s="34"/>
    </row>
    <row r="270">
      <c r="A270" s="8">
        <v>45995.0</v>
      </c>
      <c r="B270" s="13" t="s">
        <v>96</v>
      </c>
      <c r="C270" s="15" t="s">
        <v>350</v>
      </c>
      <c r="D270" s="15" t="s">
        <v>41</v>
      </c>
      <c r="E270" s="15" t="s">
        <v>42</v>
      </c>
      <c r="F270" s="15" t="s">
        <v>44</v>
      </c>
      <c r="G270" s="13"/>
      <c r="H270" s="13" t="s">
        <v>1639</v>
      </c>
      <c r="I270" s="23"/>
      <c r="J270" s="28" t="s">
        <v>56</v>
      </c>
      <c r="K270" s="31">
        <v>1.537292632E7</v>
      </c>
      <c r="L270" s="28" t="s">
        <v>66</v>
      </c>
      <c r="M270" s="21">
        <v>140000.0</v>
      </c>
      <c r="N270" s="34" t="s">
        <v>69</v>
      </c>
      <c r="O270" s="34"/>
    </row>
    <row r="271">
      <c r="A271" s="39">
        <v>45270.0</v>
      </c>
      <c r="B271" s="13" t="s">
        <v>78</v>
      </c>
      <c r="C271" s="15" t="s">
        <v>339</v>
      </c>
      <c r="D271" s="15" t="s">
        <v>41</v>
      </c>
      <c r="E271" s="15" t="s">
        <v>42</v>
      </c>
      <c r="F271" s="15" t="s">
        <v>48</v>
      </c>
      <c r="G271" s="13"/>
      <c r="H271" s="13" t="s">
        <v>1210</v>
      </c>
      <c r="I271" s="50" t="s">
        <v>2067</v>
      </c>
      <c r="J271" s="28" t="s">
        <v>141</v>
      </c>
      <c r="K271" s="31">
        <v>2000000.0</v>
      </c>
      <c r="L271" s="28" t="s">
        <v>253</v>
      </c>
      <c r="M271" s="21">
        <v>10632.08</v>
      </c>
      <c r="N271" s="34" t="s">
        <v>69</v>
      </c>
      <c r="O271" s="34"/>
    </row>
    <row r="272">
      <c r="A272" s="8">
        <v>45441.0</v>
      </c>
      <c r="B272" s="13" t="s">
        <v>96</v>
      </c>
      <c r="C272" s="15" t="s">
        <v>633</v>
      </c>
      <c r="D272" s="15" t="s">
        <v>41</v>
      </c>
      <c r="E272" s="15" t="s">
        <v>42</v>
      </c>
      <c r="F272" s="15" t="s">
        <v>44</v>
      </c>
      <c r="G272" s="13"/>
      <c r="H272" s="13" t="s">
        <v>1639</v>
      </c>
      <c r="I272" s="23"/>
      <c r="J272" s="28" t="s">
        <v>56</v>
      </c>
      <c r="K272" s="31">
        <v>9583000.0</v>
      </c>
      <c r="L272" s="28" t="s">
        <v>66</v>
      </c>
      <c r="M272" s="21">
        <v>191660.0</v>
      </c>
      <c r="N272" s="34" t="s">
        <v>69</v>
      </c>
      <c r="O272" s="34"/>
    </row>
    <row r="273">
      <c r="A273" s="8">
        <v>45406.0</v>
      </c>
      <c r="B273" s="13" t="s">
        <v>96</v>
      </c>
      <c r="C273" s="15" t="s">
        <v>361</v>
      </c>
      <c r="D273" s="15" t="s">
        <v>41</v>
      </c>
      <c r="E273" s="15" t="s">
        <v>42</v>
      </c>
      <c r="F273" s="15" t="s">
        <v>48</v>
      </c>
      <c r="G273" s="13"/>
      <c r="H273" s="13" t="s">
        <v>1084</v>
      </c>
      <c r="I273" s="50" t="s">
        <v>2086</v>
      </c>
      <c r="J273" s="28" t="s">
        <v>56</v>
      </c>
      <c r="K273" s="31">
        <v>1400000.0</v>
      </c>
      <c r="L273" s="28" t="s">
        <v>66</v>
      </c>
      <c r="M273" s="21">
        <v>13301.66</v>
      </c>
      <c r="N273" s="34" t="s">
        <v>69</v>
      </c>
      <c r="O273" s="34"/>
    </row>
    <row r="274">
      <c r="A274" s="8">
        <v>45930.0</v>
      </c>
      <c r="B274" s="13" t="s">
        <v>171</v>
      </c>
      <c r="C274" s="15" t="s">
        <v>309</v>
      </c>
      <c r="D274" s="15" t="s">
        <v>41</v>
      </c>
      <c r="E274" s="15" t="s">
        <v>42</v>
      </c>
      <c r="F274" s="15" t="s">
        <v>48</v>
      </c>
      <c r="G274" s="13"/>
      <c r="H274" s="13" t="s">
        <v>2099</v>
      </c>
      <c r="I274" s="50" t="s">
        <v>2101</v>
      </c>
      <c r="J274" s="28" t="s">
        <v>56</v>
      </c>
      <c r="K274" s="31">
        <v>1.03E7</v>
      </c>
      <c r="L274" s="28" t="s">
        <v>66</v>
      </c>
      <c r="M274" s="21">
        <v>10109.64</v>
      </c>
      <c r="N274" s="34" t="s">
        <v>69</v>
      </c>
      <c r="O274" s="34"/>
    </row>
    <row r="275">
      <c r="A275" s="8">
        <v>45796.0</v>
      </c>
      <c r="B275" s="13" t="s">
        <v>171</v>
      </c>
      <c r="C275" s="15" t="s">
        <v>116</v>
      </c>
      <c r="D275" s="15" t="s">
        <v>41</v>
      </c>
      <c r="E275" s="15" t="s">
        <v>42</v>
      </c>
      <c r="F275" s="15" t="s">
        <v>48</v>
      </c>
      <c r="G275" s="13"/>
      <c r="H275" s="13" t="s">
        <v>2111</v>
      </c>
      <c r="I275" s="50" t="s">
        <v>2113</v>
      </c>
      <c r="J275" s="28" t="s">
        <v>56</v>
      </c>
      <c r="K275" s="146">
        <v>1.098106799E7</v>
      </c>
      <c r="L275" s="28" t="s">
        <v>283</v>
      </c>
      <c r="M275" s="21">
        <v>9949.05</v>
      </c>
      <c r="N275" s="34" t="s">
        <v>69</v>
      </c>
      <c r="O275" s="34"/>
    </row>
    <row r="276">
      <c r="A276" s="8">
        <v>45860.0</v>
      </c>
      <c r="B276" s="13" t="s">
        <v>78</v>
      </c>
      <c r="C276" s="15" t="s">
        <v>341</v>
      </c>
      <c r="D276" s="15" t="s">
        <v>41</v>
      </c>
      <c r="E276" s="15" t="s">
        <v>42</v>
      </c>
      <c r="F276" s="15" t="s">
        <v>44</v>
      </c>
      <c r="G276" s="13"/>
      <c r="H276" s="147" t="s">
        <v>2130</v>
      </c>
      <c r="I276" s="23"/>
      <c r="J276" s="28" t="s">
        <v>141</v>
      </c>
      <c r="K276" s="148"/>
      <c r="L276" s="28" t="s">
        <v>144</v>
      </c>
      <c r="M276" s="43">
        <v>368900.0</v>
      </c>
      <c r="N276" s="34" t="s">
        <v>69</v>
      </c>
      <c r="O276" s="34"/>
    </row>
    <row r="277">
      <c r="A277" s="8">
        <v>46232.0</v>
      </c>
      <c r="B277" s="13" t="s">
        <v>78</v>
      </c>
      <c r="C277" s="15" t="s">
        <v>343</v>
      </c>
      <c r="D277" s="15" t="s">
        <v>41</v>
      </c>
      <c r="E277" s="15" t="s">
        <v>42</v>
      </c>
      <c r="F277" s="15" t="s">
        <v>44</v>
      </c>
      <c r="G277" s="13"/>
      <c r="H277" s="13" t="s">
        <v>567</v>
      </c>
      <c r="I277" s="23"/>
      <c r="J277" s="28" t="s">
        <v>141</v>
      </c>
      <c r="K277" s="31">
        <v>7.0E7</v>
      </c>
      <c r="L277" s="28" t="s">
        <v>144</v>
      </c>
      <c r="M277" s="21">
        <v>165900.0</v>
      </c>
      <c r="N277" s="34" t="s">
        <v>69</v>
      </c>
      <c r="O277" s="34"/>
    </row>
    <row r="278">
      <c r="A278" s="8">
        <v>45860.0</v>
      </c>
      <c r="B278" s="13" t="s">
        <v>78</v>
      </c>
      <c r="C278" s="15" t="s">
        <v>341</v>
      </c>
      <c r="D278" s="15" t="s">
        <v>41</v>
      </c>
      <c r="E278" s="15" t="s">
        <v>42</v>
      </c>
      <c r="F278" s="15" t="s">
        <v>44</v>
      </c>
      <c r="G278" s="13"/>
      <c r="H278" s="13" t="s">
        <v>44</v>
      </c>
      <c r="I278" s="50" t="s">
        <v>2151</v>
      </c>
      <c r="J278" s="28" t="s">
        <v>141</v>
      </c>
      <c r="K278" s="31">
        <v>5.5E8</v>
      </c>
      <c r="L278" s="28" t="s">
        <v>144</v>
      </c>
      <c r="M278" s="21">
        <v>368900.0</v>
      </c>
      <c r="N278" s="52"/>
      <c r="O278" s="52"/>
    </row>
    <row r="279">
      <c r="A279" s="39">
        <v>45270.0</v>
      </c>
      <c r="B279" s="13" t="s">
        <v>96</v>
      </c>
      <c r="C279" s="15" t="s">
        <v>346</v>
      </c>
      <c r="D279" s="15" t="s">
        <v>41</v>
      </c>
      <c r="E279" s="15" t="s">
        <v>42</v>
      </c>
      <c r="F279" s="15" t="s">
        <v>48</v>
      </c>
      <c r="G279" s="13"/>
      <c r="H279" s="13" t="s">
        <v>1210</v>
      </c>
      <c r="I279" s="50" t="s">
        <v>2162</v>
      </c>
      <c r="J279" s="28" t="s">
        <v>141</v>
      </c>
      <c r="K279" s="31">
        <v>2000000.0</v>
      </c>
      <c r="L279" s="28" t="s">
        <v>253</v>
      </c>
      <c r="M279" s="21">
        <v>10632.08</v>
      </c>
      <c r="N279" s="34" t="s">
        <v>69</v>
      </c>
      <c r="O279" s="34"/>
    </row>
    <row r="280">
      <c r="A280" s="39">
        <v>46010.0</v>
      </c>
      <c r="B280" s="13" t="s">
        <v>96</v>
      </c>
      <c r="C280" s="15" t="s">
        <v>612</v>
      </c>
      <c r="D280" s="15" t="s">
        <v>41</v>
      </c>
      <c r="E280" s="15" t="s">
        <v>42</v>
      </c>
      <c r="F280" s="15" t="s">
        <v>48</v>
      </c>
      <c r="G280" s="13"/>
      <c r="H280" s="13" t="s">
        <v>1210</v>
      </c>
      <c r="I280" s="50" t="s">
        <v>2174</v>
      </c>
      <c r="J280" s="28" t="s">
        <v>141</v>
      </c>
      <c r="K280" s="31">
        <v>1.7587E7</v>
      </c>
      <c r="L280" s="28" t="s">
        <v>253</v>
      </c>
      <c r="M280" s="21">
        <v>14910.93</v>
      </c>
      <c r="N280" s="34" t="s">
        <v>69</v>
      </c>
      <c r="O280" s="34"/>
    </row>
    <row r="281">
      <c r="A281" s="8">
        <v>45476.0</v>
      </c>
      <c r="B281" s="13" t="s">
        <v>171</v>
      </c>
      <c r="C281" s="15" t="s">
        <v>292</v>
      </c>
      <c r="D281" s="15" t="s">
        <v>41</v>
      </c>
      <c r="E281" s="15" t="s">
        <v>42</v>
      </c>
      <c r="F281" s="15" t="s">
        <v>44</v>
      </c>
      <c r="G281" s="13"/>
      <c r="H281" s="13" t="s">
        <v>381</v>
      </c>
      <c r="I281" s="23"/>
      <c r="J281" s="28" t="s">
        <v>56</v>
      </c>
      <c r="K281" s="44">
        <v>3.6918764E7</v>
      </c>
      <c r="L281" s="28" t="s">
        <v>283</v>
      </c>
      <c r="M281" s="21">
        <v>215250.0</v>
      </c>
      <c r="N281" s="34" t="s">
        <v>69</v>
      </c>
      <c r="O281" s="34"/>
    </row>
    <row r="282">
      <c r="A282" s="8">
        <v>45922.0</v>
      </c>
      <c r="B282" s="13" t="s">
        <v>171</v>
      </c>
      <c r="C282" s="15" t="s">
        <v>116</v>
      </c>
      <c r="D282" s="15" t="s">
        <v>41</v>
      </c>
      <c r="E282" s="15" t="s">
        <v>42</v>
      </c>
      <c r="F282" s="15" t="s">
        <v>44</v>
      </c>
      <c r="G282" s="13"/>
      <c r="H282" s="13" t="s">
        <v>2195</v>
      </c>
      <c r="I282" s="23"/>
      <c r="J282" s="28" t="s">
        <v>141</v>
      </c>
      <c r="K282" s="31">
        <v>7.3371375E7</v>
      </c>
      <c r="L282" s="28" t="s">
        <v>144</v>
      </c>
      <c r="M282" s="21">
        <v>63784.56</v>
      </c>
      <c r="N282" s="34" t="s">
        <v>69</v>
      </c>
      <c r="O282" s="34"/>
    </row>
    <row r="283">
      <c r="A283" s="8">
        <v>46119.0</v>
      </c>
      <c r="B283" s="13" t="s">
        <v>171</v>
      </c>
      <c r="C283" s="15" t="s">
        <v>309</v>
      </c>
      <c r="D283" s="15" t="s">
        <v>41</v>
      </c>
      <c r="E283" s="15" t="s">
        <v>42</v>
      </c>
      <c r="F283" s="15" t="s">
        <v>44</v>
      </c>
      <c r="G283" s="13"/>
      <c r="H283" s="13" t="s">
        <v>2208</v>
      </c>
      <c r="I283" s="23"/>
      <c r="J283" s="28" t="s">
        <v>56</v>
      </c>
      <c r="K283" s="31">
        <v>2.05E8</v>
      </c>
      <c r="L283" s="28" t="s">
        <v>66</v>
      </c>
      <c r="M283" s="21">
        <v>160559.4</v>
      </c>
      <c r="N283" s="34" t="s">
        <v>69</v>
      </c>
      <c r="O283" s="34"/>
    </row>
    <row r="284">
      <c r="A284" s="39">
        <v>45974.0</v>
      </c>
      <c r="B284" s="13" t="s">
        <v>171</v>
      </c>
      <c r="C284" s="15" t="s">
        <v>137</v>
      </c>
      <c r="D284" s="15" t="s">
        <v>41</v>
      </c>
      <c r="E284" s="15" t="s">
        <v>42</v>
      </c>
      <c r="F284" s="15" t="s">
        <v>44</v>
      </c>
      <c r="G284" s="13"/>
      <c r="H284" s="13" t="s">
        <v>2221</v>
      </c>
      <c r="I284" s="23"/>
      <c r="J284" s="28" t="s">
        <v>141</v>
      </c>
      <c r="K284" s="31">
        <v>5.32E7</v>
      </c>
      <c r="L284" s="28" t="s">
        <v>144</v>
      </c>
      <c r="M284" s="21">
        <v>37104.46</v>
      </c>
      <c r="N284" s="34" t="s">
        <v>69</v>
      </c>
      <c r="O284" s="34"/>
    </row>
    <row r="285">
      <c r="A285" s="8">
        <v>46204.0</v>
      </c>
      <c r="B285" s="13" t="s">
        <v>171</v>
      </c>
      <c r="C285" s="15" t="s">
        <v>176</v>
      </c>
      <c r="D285" s="15" t="s">
        <v>41</v>
      </c>
      <c r="E285" s="15" t="s">
        <v>42</v>
      </c>
      <c r="F285" s="15" t="s">
        <v>44</v>
      </c>
      <c r="G285" s="13"/>
      <c r="H285" s="13" t="s">
        <v>1325</v>
      </c>
      <c r="I285" s="23"/>
      <c r="J285" s="28" t="s">
        <v>141</v>
      </c>
      <c r="K285" s="31">
        <v>5.1152634225E8</v>
      </c>
      <c r="L285" s="28" t="s">
        <v>144</v>
      </c>
      <c r="M285" s="21">
        <v>480879.0</v>
      </c>
      <c r="N285" s="34" t="s">
        <v>69</v>
      </c>
      <c r="O285" s="34"/>
    </row>
    <row r="286">
      <c r="A286" s="8">
        <v>46084.0</v>
      </c>
      <c r="B286" s="13" t="s">
        <v>171</v>
      </c>
      <c r="C286" s="15" t="s">
        <v>194</v>
      </c>
      <c r="D286" s="15" t="s">
        <v>41</v>
      </c>
      <c r="E286" s="15" t="s">
        <v>42</v>
      </c>
      <c r="F286" s="15" t="s">
        <v>44</v>
      </c>
      <c r="G286" s="13"/>
      <c r="H286" s="13" t="s">
        <v>2195</v>
      </c>
      <c r="I286" s="23"/>
      <c r="J286" s="28" t="s">
        <v>141</v>
      </c>
      <c r="K286" s="31">
        <v>8.347867994E7</v>
      </c>
      <c r="L286" s="28" t="s">
        <v>144</v>
      </c>
      <c r="M286" s="21">
        <v>130102.0</v>
      </c>
      <c r="N286" s="34" t="s">
        <v>69</v>
      </c>
      <c r="O286" s="34"/>
    </row>
    <row r="287">
      <c r="A287" s="8">
        <v>46051.0</v>
      </c>
      <c r="B287" s="13" t="s">
        <v>171</v>
      </c>
      <c r="C287" s="15" t="s">
        <v>575</v>
      </c>
      <c r="D287" s="15" t="s">
        <v>41</v>
      </c>
      <c r="E287" s="15" t="s">
        <v>42</v>
      </c>
      <c r="F287" s="15" t="s">
        <v>48</v>
      </c>
      <c r="G287" s="13"/>
      <c r="H287" s="13" t="s">
        <v>2251</v>
      </c>
      <c r="I287" s="50" t="s">
        <v>2252</v>
      </c>
      <c r="J287" s="28" t="s">
        <v>56</v>
      </c>
      <c r="K287" s="31">
        <v>2536565.0</v>
      </c>
      <c r="L287" s="28" t="s">
        <v>283</v>
      </c>
      <c r="M287" s="21">
        <v>8911.17</v>
      </c>
      <c r="N287" s="34" t="s">
        <v>69</v>
      </c>
      <c r="O287" s="34"/>
    </row>
    <row r="288">
      <c r="A288" s="8">
        <v>46056.0</v>
      </c>
      <c r="B288" s="13" t="s">
        <v>171</v>
      </c>
      <c r="C288" s="15" t="s">
        <v>575</v>
      </c>
      <c r="D288" s="15" t="s">
        <v>41</v>
      </c>
      <c r="E288" s="15" t="s">
        <v>42</v>
      </c>
      <c r="F288" s="15" t="s">
        <v>44</v>
      </c>
      <c r="G288" s="13"/>
      <c r="H288" s="13" t="s">
        <v>2262</v>
      </c>
      <c r="I288" s="23"/>
      <c r="J288" s="28" t="s">
        <v>56</v>
      </c>
      <c r="K288" s="31">
        <v>2.911582E8</v>
      </c>
      <c r="L288" s="28" t="s">
        <v>283</v>
      </c>
      <c r="M288" s="21">
        <v>288750.0</v>
      </c>
      <c r="N288" s="34" t="s">
        <v>69</v>
      </c>
      <c r="O288" s="34"/>
    </row>
    <row r="289">
      <c r="A289" s="39">
        <v>46010.0</v>
      </c>
      <c r="B289" s="13" t="s">
        <v>171</v>
      </c>
      <c r="C289" s="15" t="s">
        <v>292</v>
      </c>
      <c r="D289" s="15" t="s">
        <v>41</v>
      </c>
      <c r="E289" s="15" t="s">
        <v>42</v>
      </c>
      <c r="F289" s="15" t="s">
        <v>48</v>
      </c>
      <c r="G289" s="13"/>
      <c r="H289" s="13" t="s">
        <v>2269</v>
      </c>
      <c r="I289" s="50" t="s">
        <v>2271</v>
      </c>
      <c r="J289" s="28" t="s">
        <v>141</v>
      </c>
      <c r="K289" s="31">
        <v>3.4765E7</v>
      </c>
      <c r="L289" s="28" t="s">
        <v>253</v>
      </c>
      <c r="M289" s="21">
        <v>24246.0</v>
      </c>
      <c r="N289" s="34" t="s">
        <v>69</v>
      </c>
      <c r="O289" s="34"/>
    </row>
    <row r="290">
      <c r="A290" s="8">
        <v>45862.0</v>
      </c>
      <c r="B290" s="13" t="s">
        <v>171</v>
      </c>
      <c r="C290" s="15" t="s">
        <v>672</v>
      </c>
      <c r="D290" s="15" t="s">
        <v>41</v>
      </c>
      <c r="E290" s="15" t="s">
        <v>42</v>
      </c>
      <c r="F290" s="15" t="s">
        <v>48</v>
      </c>
      <c r="G290" s="13"/>
      <c r="H290" s="13" t="s">
        <v>2281</v>
      </c>
      <c r="I290" s="50" t="s">
        <v>2283</v>
      </c>
      <c r="J290" s="28" t="s">
        <v>56</v>
      </c>
      <c r="K290" s="31">
        <v>1.44207042E7</v>
      </c>
      <c r="L290" s="28" t="s">
        <v>283</v>
      </c>
      <c r="M290" s="21">
        <v>13906.71</v>
      </c>
      <c r="N290" s="34" t="s">
        <v>69</v>
      </c>
      <c r="O290" s="34"/>
    </row>
    <row r="291">
      <c r="A291" s="8">
        <v>45293.0</v>
      </c>
      <c r="B291" s="13" t="s">
        <v>171</v>
      </c>
      <c r="C291" s="15" t="s">
        <v>714</v>
      </c>
      <c r="D291" s="15" t="s">
        <v>41</v>
      </c>
      <c r="E291" s="15" t="s">
        <v>42</v>
      </c>
      <c r="F291" s="15" t="s">
        <v>44</v>
      </c>
      <c r="G291" s="13"/>
      <c r="H291" s="13" t="s">
        <v>2294</v>
      </c>
      <c r="I291" s="23"/>
      <c r="J291" s="28" t="s">
        <v>56</v>
      </c>
      <c r="K291" s="44">
        <v>7.01757E7</v>
      </c>
      <c r="L291" s="28" t="s">
        <v>283</v>
      </c>
      <c r="M291" s="21">
        <v>442400.0</v>
      </c>
      <c r="N291" s="34" t="s">
        <v>69</v>
      </c>
      <c r="O291" s="34"/>
    </row>
    <row r="292">
      <c r="A292" s="8">
        <v>45901.0</v>
      </c>
      <c r="B292" s="13" t="s">
        <v>171</v>
      </c>
      <c r="C292" s="15" t="s">
        <v>309</v>
      </c>
      <c r="D292" s="15" t="s">
        <v>41</v>
      </c>
      <c r="E292" s="15" t="s">
        <v>42</v>
      </c>
      <c r="F292" s="15" t="s">
        <v>48</v>
      </c>
      <c r="G292" s="13"/>
      <c r="H292" s="13" t="s">
        <v>2305</v>
      </c>
      <c r="I292" s="50" t="s">
        <v>2306</v>
      </c>
      <c r="J292" s="28" t="s">
        <v>56</v>
      </c>
      <c r="K292" s="31">
        <v>2.56E7</v>
      </c>
      <c r="L292" s="28" t="s">
        <v>66</v>
      </c>
      <c r="M292" s="21">
        <v>23155.48</v>
      </c>
      <c r="N292" s="34" t="s">
        <v>69</v>
      </c>
      <c r="O292" s="34"/>
    </row>
    <row r="293">
      <c r="A293" s="8">
        <v>46134.0</v>
      </c>
      <c r="B293" s="13" t="s">
        <v>171</v>
      </c>
      <c r="C293" s="15" t="s">
        <v>309</v>
      </c>
      <c r="D293" s="15" t="s">
        <v>41</v>
      </c>
      <c r="E293" s="15" t="s">
        <v>42</v>
      </c>
      <c r="F293" s="15" t="s">
        <v>48</v>
      </c>
      <c r="G293" s="13"/>
      <c r="H293" s="13" t="s">
        <v>1953</v>
      </c>
      <c r="I293" s="50" t="s">
        <v>2101</v>
      </c>
      <c r="J293" s="28" t="s">
        <v>141</v>
      </c>
      <c r="K293" s="31">
        <v>1.40208E7</v>
      </c>
      <c r="L293" s="28" t="s">
        <v>144</v>
      </c>
      <c r="M293" s="21">
        <v>10094.1</v>
      </c>
      <c r="N293" s="34" t="s">
        <v>69</v>
      </c>
      <c r="O293" s="34"/>
    </row>
    <row r="294">
      <c r="A294" s="8">
        <v>46045.0</v>
      </c>
      <c r="B294" s="13" t="s">
        <v>171</v>
      </c>
      <c r="C294" s="15" t="s">
        <v>323</v>
      </c>
      <c r="D294" s="15" t="s">
        <v>41</v>
      </c>
      <c r="E294" s="15" t="s">
        <v>42</v>
      </c>
      <c r="F294" s="15" t="s">
        <v>48</v>
      </c>
      <c r="G294" s="13"/>
      <c r="H294" s="13" t="s">
        <v>2325</v>
      </c>
      <c r="I294" s="50" t="s">
        <v>2327</v>
      </c>
      <c r="J294" s="28" t="s">
        <v>141</v>
      </c>
      <c r="K294" s="31">
        <v>2.5875E7</v>
      </c>
      <c r="L294" s="28" t="s">
        <v>144</v>
      </c>
      <c r="M294" s="21">
        <v>18850.0</v>
      </c>
      <c r="N294" s="34" t="s">
        <v>69</v>
      </c>
      <c r="O294" s="34"/>
    </row>
    <row r="295">
      <c r="A295" s="8">
        <v>46197.0</v>
      </c>
      <c r="B295" s="13" t="s">
        <v>94</v>
      </c>
      <c r="C295" s="15" t="s">
        <v>441</v>
      </c>
      <c r="D295" s="15" t="s">
        <v>41</v>
      </c>
      <c r="E295" s="15" t="s">
        <v>42</v>
      </c>
      <c r="F295" s="15" t="s">
        <v>44</v>
      </c>
      <c r="G295" s="13"/>
      <c r="H295" s="13" t="s">
        <v>2335</v>
      </c>
      <c r="I295" s="23"/>
      <c r="J295" s="28" t="s">
        <v>187</v>
      </c>
      <c r="K295" s="31">
        <v>1.56E7</v>
      </c>
      <c r="L295" s="28" t="s">
        <v>189</v>
      </c>
      <c r="M295" s="21">
        <v>15750.0</v>
      </c>
      <c r="N295" s="52"/>
      <c r="O295" s="52"/>
    </row>
    <row r="296">
      <c r="A296" s="8">
        <v>46197.0</v>
      </c>
      <c r="B296" s="13" t="s">
        <v>154</v>
      </c>
      <c r="C296" s="15" t="s">
        <v>110</v>
      </c>
      <c r="D296" s="15" t="s">
        <v>41</v>
      </c>
      <c r="E296" s="15" t="s">
        <v>42</v>
      </c>
      <c r="F296" s="15" t="s">
        <v>44</v>
      </c>
      <c r="G296" s="13"/>
      <c r="H296" s="13" t="s">
        <v>2345</v>
      </c>
      <c r="I296" s="23"/>
      <c r="J296" s="28" t="s">
        <v>187</v>
      </c>
      <c r="K296" s="31">
        <v>1.546E8</v>
      </c>
      <c r="L296" s="28" t="s">
        <v>189</v>
      </c>
      <c r="M296" s="21">
        <v>111302.29</v>
      </c>
      <c r="N296" s="52"/>
      <c r="O296" s="52"/>
    </row>
    <row r="297">
      <c r="A297" s="39">
        <v>46181.0</v>
      </c>
      <c r="B297" s="13" t="s">
        <v>171</v>
      </c>
      <c r="C297" s="15" t="s">
        <v>475</v>
      </c>
      <c r="D297" s="15" t="s">
        <v>41</v>
      </c>
      <c r="E297" s="15" t="s">
        <v>42</v>
      </c>
      <c r="F297" s="15" t="s">
        <v>44</v>
      </c>
      <c r="G297" s="13"/>
      <c r="H297" s="13" t="s">
        <v>2363</v>
      </c>
      <c r="I297" s="23"/>
      <c r="J297" s="28" t="s">
        <v>141</v>
      </c>
      <c r="K297" s="31">
        <v>3.4857578186E8</v>
      </c>
      <c r="L297" s="28" t="s">
        <v>144</v>
      </c>
      <c r="M297" s="21">
        <v>371441.0</v>
      </c>
      <c r="N297" s="34" t="s">
        <v>69</v>
      </c>
      <c r="O297" s="34"/>
    </row>
    <row r="298">
      <c r="A298" s="8">
        <v>46119.0</v>
      </c>
      <c r="B298" s="13" t="s">
        <v>171</v>
      </c>
      <c r="C298" s="15" t="s">
        <v>637</v>
      </c>
      <c r="D298" s="15" t="s">
        <v>41</v>
      </c>
      <c r="E298" s="15" t="s">
        <v>42</v>
      </c>
      <c r="F298" s="15" t="s">
        <v>44</v>
      </c>
      <c r="G298" s="13"/>
      <c r="H298" s="13" t="s">
        <v>2373</v>
      </c>
      <c r="I298" s="23"/>
      <c r="J298" s="28" t="s">
        <v>56</v>
      </c>
      <c r="K298" s="31">
        <v>2.907443484E8</v>
      </c>
      <c r="L298" s="28" t="s">
        <v>283</v>
      </c>
      <c r="M298" s="21">
        <v>331100.0</v>
      </c>
      <c r="N298" s="34" t="s">
        <v>69</v>
      </c>
      <c r="O298" s="34"/>
    </row>
    <row r="299">
      <c r="A299" s="8">
        <v>46142.0</v>
      </c>
      <c r="B299" s="13" t="s">
        <v>171</v>
      </c>
      <c r="C299" s="15" t="s">
        <v>292</v>
      </c>
      <c r="D299" s="15" t="s">
        <v>41</v>
      </c>
      <c r="E299" s="15" t="s">
        <v>42</v>
      </c>
      <c r="F299" s="15" t="s">
        <v>44</v>
      </c>
      <c r="G299" s="13"/>
      <c r="H299" s="13" t="s">
        <v>2386</v>
      </c>
      <c r="I299" s="23"/>
      <c r="J299" s="28" t="s">
        <v>141</v>
      </c>
      <c r="K299" s="31">
        <v>1.0E8</v>
      </c>
      <c r="L299" s="28" t="s">
        <v>253</v>
      </c>
      <c r="M299" s="21">
        <v>178220.0</v>
      </c>
      <c r="N299" s="34" t="s">
        <v>69</v>
      </c>
      <c r="O299" s="34"/>
    </row>
    <row r="300">
      <c r="A300" s="8">
        <v>46174.0</v>
      </c>
      <c r="B300" s="13" t="s">
        <v>120</v>
      </c>
      <c r="C300" s="15" t="s">
        <v>200</v>
      </c>
      <c r="D300" s="15" t="s">
        <v>41</v>
      </c>
      <c r="E300" s="15" t="s">
        <v>42</v>
      </c>
      <c r="F300" s="15" t="s">
        <v>44</v>
      </c>
      <c r="G300" s="13"/>
      <c r="H300" s="13" t="s">
        <v>2395</v>
      </c>
      <c r="I300" s="23"/>
      <c r="J300" s="28" t="s">
        <v>56</v>
      </c>
      <c r="K300" s="21">
        <v>2.974049616E7</v>
      </c>
      <c r="L300" s="15" t="s">
        <v>283</v>
      </c>
      <c r="M300" s="21">
        <v>508200.0</v>
      </c>
      <c r="N300" s="52"/>
      <c r="O300" s="52"/>
    </row>
    <row r="301">
      <c r="A301" s="102"/>
      <c r="B301" s="13"/>
      <c r="C301" s="15"/>
      <c r="D301" s="15"/>
      <c r="E301" s="15"/>
      <c r="F301" s="15"/>
      <c r="G301" s="13"/>
      <c r="H301" s="13"/>
      <c r="I301" s="23"/>
      <c r="J301" s="28"/>
      <c r="K301" s="21"/>
      <c r="L301" s="102"/>
      <c r="M301" s="21"/>
      <c r="N301" s="52"/>
      <c r="O301" s="52"/>
    </row>
    <row r="302">
      <c r="A302" s="102"/>
      <c r="B302" s="13"/>
      <c r="C302" s="15"/>
      <c r="D302" s="15"/>
      <c r="E302" s="15"/>
      <c r="F302" s="15"/>
      <c r="G302" s="13"/>
      <c r="H302" s="13"/>
      <c r="I302" s="23"/>
      <c r="J302" s="28"/>
      <c r="K302" s="21"/>
      <c r="L302" s="102"/>
      <c r="M302" s="21"/>
      <c r="N302" s="52"/>
      <c r="O302" s="52"/>
    </row>
    <row r="303">
      <c r="A303" s="102"/>
      <c r="B303" s="13"/>
      <c r="C303" s="15"/>
      <c r="D303" s="15"/>
      <c r="E303" s="15"/>
      <c r="F303" s="15"/>
      <c r="G303" s="13"/>
      <c r="H303" s="13"/>
      <c r="I303" s="23"/>
      <c r="J303" s="28"/>
      <c r="K303" s="21"/>
      <c r="L303" s="102"/>
      <c r="M303" s="21"/>
      <c r="N303" s="52"/>
      <c r="O303" s="52"/>
    </row>
    <row r="304">
      <c r="A304" s="102"/>
      <c r="B304" s="13"/>
      <c r="C304" s="15"/>
      <c r="D304" s="15"/>
      <c r="E304" s="15"/>
      <c r="F304" s="15"/>
      <c r="G304" s="13"/>
      <c r="H304" s="13"/>
      <c r="I304" s="23"/>
      <c r="J304" s="28"/>
      <c r="K304" s="21"/>
      <c r="L304" s="102"/>
      <c r="M304" s="21"/>
      <c r="N304" s="52"/>
      <c r="O304" s="52"/>
    </row>
    <row r="305">
      <c r="A305" s="102"/>
      <c r="B305" s="13"/>
      <c r="C305" s="15"/>
      <c r="D305" s="15"/>
      <c r="E305" s="15"/>
      <c r="F305" s="15"/>
      <c r="G305" s="13"/>
      <c r="H305" s="13"/>
      <c r="I305" s="23"/>
      <c r="J305" s="28"/>
      <c r="K305" s="21"/>
      <c r="L305" s="102"/>
      <c r="M305" s="21"/>
      <c r="N305" s="52"/>
      <c r="O305" s="52"/>
    </row>
    <row r="306">
      <c r="A306" s="102"/>
      <c r="B306" s="13"/>
      <c r="C306" s="15"/>
      <c r="D306" s="15"/>
      <c r="E306" s="15"/>
      <c r="F306" s="15"/>
      <c r="G306" s="13"/>
      <c r="H306" s="13"/>
      <c r="I306" s="23"/>
      <c r="J306" s="28"/>
      <c r="K306" s="21"/>
      <c r="L306" s="102"/>
      <c r="M306" s="21"/>
      <c r="N306" s="52"/>
      <c r="O306" s="52"/>
    </row>
    <row r="307">
      <c r="A307" s="102"/>
      <c r="B307" s="13"/>
      <c r="C307" s="15"/>
      <c r="D307" s="15"/>
      <c r="E307" s="15"/>
      <c r="F307" s="15"/>
      <c r="G307" s="13"/>
      <c r="H307" s="13"/>
      <c r="I307" s="23"/>
      <c r="J307" s="28"/>
      <c r="K307" s="21"/>
      <c r="L307" s="102"/>
      <c r="M307" s="21"/>
      <c r="N307" s="52"/>
      <c r="O307" s="52"/>
    </row>
    <row r="308">
      <c r="A308" s="102"/>
      <c r="B308" s="13"/>
      <c r="C308" s="15"/>
      <c r="D308" s="15"/>
      <c r="E308" s="15"/>
      <c r="F308" s="15"/>
      <c r="G308" s="13"/>
      <c r="H308" s="13"/>
      <c r="I308" s="23"/>
      <c r="J308" s="28"/>
      <c r="K308" s="21"/>
      <c r="L308" s="102"/>
      <c r="M308" s="21"/>
      <c r="N308" s="52"/>
      <c r="O308" s="52"/>
    </row>
    <row r="309">
      <c r="A309" s="102"/>
      <c r="B309" s="13"/>
      <c r="C309" s="15"/>
      <c r="D309" s="15"/>
      <c r="E309" s="15"/>
      <c r="F309" s="15"/>
      <c r="G309" s="13"/>
      <c r="H309" s="13"/>
      <c r="I309" s="23"/>
      <c r="J309" s="28"/>
      <c r="K309" s="21"/>
      <c r="L309" s="102"/>
      <c r="M309" s="21"/>
      <c r="N309" s="52"/>
      <c r="O309" s="52"/>
    </row>
    <row r="310">
      <c r="A310" s="102"/>
      <c r="B310" s="13"/>
      <c r="C310" s="15"/>
      <c r="D310" s="15"/>
      <c r="E310" s="15"/>
      <c r="F310" s="15"/>
      <c r="G310" s="13"/>
      <c r="H310" s="13"/>
      <c r="I310" s="23"/>
      <c r="J310" s="28"/>
      <c r="K310" s="21"/>
      <c r="L310" s="102"/>
      <c r="M310" s="21"/>
      <c r="N310" s="52"/>
      <c r="O310" s="52"/>
    </row>
    <row r="311">
      <c r="A311" s="102"/>
      <c r="B311" s="13"/>
      <c r="C311" s="15"/>
      <c r="D311" s="15"/>
      <c r="E311" s="15"/>
      <c r="F311" s="15"/>
      <c r="G311" s="13"/>
      <c r="H311" s="13"/>
      <c r="I311" s="23"/>
      <c r="J311" s="28"/>
      <c r="K311" s="21"/>
      <c r="L311" s="102"/>
      <c r="M311" s="21"/>
      <c r="N311" s="52"/>
      <c r="O311" s="52"/>
    </row>
    <row r="312">
      <c r="A312" s="102"/>
      <c r="B312" s="13"/>
      <c r="C312" s="15"/>
      <c r="D312" s="15"/>
      <c r="E312" s="15"/>
      <c r="F312" s="15"/>
      <c r="G312" s="13"/>
      <c r="H312" s="13"/>
      <c r="I312" s="23"/>
      <c r="J312" s="28"/>
      <c r="K312" s="21"/>
      <c r="L312" s="102"/>
      <c r="M312" s="21"/>
      <c r="N312" s="52"/>
      <c r="O312" s="52"/>
    </row>
    <row r="313">
      <c r="A313" s="102"/>
      <c r="B313" s="13"/>
      <c r="C313" s="15"/>
      <c r="D313" s="15"/>
      <c r="E313" s="15"/>
      <c r="F313" s="15"/>
      <c r="G313" s="13"/>
      <c r="H313" s="13"/>
      <c r="I313" s="23"/>
      <c r="J313" s="28"/>
      <c r="K313" s="21"/>
      <c r="L313" s="102"/>
      <c r="M313" s="21"/>
      <c r="N313" s="52"/>
      <c r="O313" s="52"/>
    </row>
    <row r="314">
      <c r="A314" s="102"/>
      <c r="B314" s="13"/>
      <c r="C314" s="15"/>
      <c r="D314" s="15"/>
      <c r="E314" s="15"/>
      <c r="F314" s="15"/>
      <c r="G314" s="13"/>
      <c r="H314" s="13"/>
      <c r="I314" s="23"/>
      <c r="J314" s="28"/>
      <c r="K314" s="21"/>
      <c r="L314" s="102"/>
      <c r="M314" s="21"/>
      <c r="N314" s="52"/>
      <c r="O314" s="52"/>
    </row>
    <row r="315">
      <c r="A315" s="102"/>
      <c r="B315" s="13"/>
      <c r="C315" s="15"/>
      <c r="D315" s="15"/>
      <c r="E315" s="15"/>
      <c r="F315" s="15"/>
      <c r="G315" s="13"/>
      <c r="H315" s="13"/>
      <c r="I315" s="23"/>
      <c r="J315" s="28"/>
      <c r="K315" s="21"/>
      <c r="L315" s="102"/>
      <c r="M315" s="21"/>
      <c r="N315" s="52"/>
      <c r="O315" s="52"/>
    </row>
    <row r="316">
      <c r="A316" s="102"/>
      <c r="B316" s="13"/>
      <c r="C316" s="15"/>
      <c r="D316" s="15"/>
      <c r="E316" s="15"/>
      <c r="F316" s="15"/>
      <c r="G316" s="13"/>
      <c r="H316" s="13"/>
      <c r="I316" s="23"/>
      <c r="J316" s="28"/>
      <c r="K316" s="21"/>
      <c r="L316" s="102"/>
      <c r="M316" s="21"/>
      <c r="N316" s="52"/>
      <c r="O316" s="52"/>
    </row>
    <row r="317">
      <c r="A317" s="102"/>
      <c r="B317" s="13"/>
      <c r="C317" s="15"/>
      <c r="D317" s="15"/>
      <c r="E317" s="15"/>
      <c r="F317" s="15"/>
      <c r="G317" s="13"/>
      <c r="H317" s="13"/>
      <c r="I317" s="23"/>
      <c r="J317" s="28"/>
      <c r="K317" s="21"/>
      <c r="L317" s="102"/>
      <c r="M317" s="21"/>
      <c r="N317" s="52"/>
      <c r="O317" s="52"/>
    </row>
    <row r="318">
      <c r="A318" s="102"/>
      <c r="B318" s="13"/>
      <c r="C318" s="15"/>
      <c r="D318" s="15"/>
      <c r="E318" s="15"/>
      <c r="F318" s="15"/>
      <c r="G318" s="13"/>
      <c r="H318" s="13"/>
      <c r="I318" s="23"/>
      <c r="J318" s="28"/>
      <c r="K318" s="21"/>
      <c r="L318" s="102"/>
      <c r="M318" s="21"/>
      <c r="N318" s="52"/>
      <c r="O318" s="52"/>
    </row>
    <row r="319">
      <c r="A319" s="102"/>
      <c r="B319" s="13"/>
      <c r="C319" s="15"/>
      <c r="D319" s="15"/>
      <c r="E319" s="15"/>
      <c r="F319" s="15"/>
      <c r="G319" s="13"/>
      <c r="H319" s="13"/>
      <c r="I319" s="23"/>
      <c r="J319" s="28"/>
      <c r="K319" s="21"/>
      <c r="L319" s="102"/>
      <c r="M319" s="21"/>
      <c r="N319" s="52"/>
      <c r="O319" s="52"/>
    </row>
    <row r="320">
      <c r="A320" s="102"/>
      <c r="B320" s="13"/>
      <c r="C320" s="15"/>
      <c r="D320" s="15"/>
      <c r="E320" s="15"/>
      <c r="F320" s="15"/>
      <c r="G320" s="13"/>
      <c r="H320" s="13"/>
      <c r="I320" s="23"/>
      <c r="J320" s="28"/>
      <c r="K320" s="21"/>
      <c r="L320" s="102"/>
      <c r="M320" s="21"/>
      <c r="N320" s="52"/>
      <c r="O320" s="52"/>
    </row>
    <row r="321">
      <c r="A321" s="102"/>
      <c r="B321" s="13"/>
      <c r="C321" s="15"/>
      <c r="D321" s="15"/>
      <c r="E321" s="15"/>
      <c r="F321" s="15"/>
      <c r="G321" s="13"/>
      <c r="H321" s="13"/>
      <c r="I321" s="23"/>
      <c r="J321" s="28"/>
      <c r="K321" s="21"/>
      <c r="L321" s="102"/>
      <c r="M321" s="21"/>
      <c r="N321" s="52"/>
      <c r="O321" s="52"/>
    </row>
    <row r="322">
      <c r="A322" s="102"/>
      <c r="B322" s="13"/>
      <c r="C322" s="15"/>
      <c r="D322" s="15"/>
      <c r="E322" s="15"/>
      <c r="F322" s="15"/>
      <c r="G322" s="13"/>
      <c r="H322" s="13"/>
      <c r="I322" s="23"/>
      <c r="J322" s="28"/>
      <c r="K322" s="21"/>
      <c r="L322" s="102"/>
      <c r="M322" s="21"/>
      <c r="N322" s="52"/>
      <c r="O322" s="52"/>
    </row>
    <row r="323">
      <c r="A323" s="102"/>
      <c r="B323" s="13"/>
      <c r="C323" s="15"/>
      <c r="D323" s="15"/>
      <c r="E323" s="15"/>
      <c r="F323" s="15"/>
      <c r="G323" s="13"/>
      <c r="H323" s="13"/>
      <c r="I323" s="23"/>
      <c r="J323" s="28"/>
      <c r="K323" s="21"/>
      <c r="L323" s="102"/>
      <c r="M323" s="21"/>
      <c r="N323" s="52"/>
      <c r="O323" s="52"/>
    </row>
    <row r="324">
      <c r="A324" s="102"/>
      <c r="B324" s="13"/>
      <c r="C324" s="15"/>
      <c r="D324" s="15"/>
      <c r="E324" s="15"/>
      <c r="F324" s="15"/>
      <c r="G324" s="13"/>
      <c r="H324" s="13"/>
      <c r="I324" s="23"/>
      <c r="J324" s="28"/>
      <c r="K324" s="21"/>
      <c r="L324" s="102"/>
      <c r="M324" s="21"/>
      <c r="N324" s="52"/>
      <c r="O324" s="52"/>
    </row>
    <row r="325">
      <c r="A325" s="102"/>
      <c r="B325" s="13"/>
      <c r="C325" s="15"/>
      <c r="D325" s="15"/>
      <c r="E325" s="15"/>
      <c r="F325" s="15"/>
      <c r="G325" s="13"/>
      <c r="H325" s="13"/>
      <c r="I325" s="23"/>
      <c r="J325" s="28"/>
      <c r="K325" s="21"/>
      <c r="L325" s="102"/>
      <c r="M325" s="21"/>
      <c r="N325" s="52"/>
      <c r="O325" s="52"/>
    </row>
    <row r="326">
      <c r="A326" s="102"/>
      <c r="B326" s="13"/>
      <c r="C326" s="15"/>
      <c r="D326" s="15"/>
      <c r="E326" s="15"/>
      <c r="F326" s="15"/>
      <c r="G326" s="13"/>
      <c r="H326" s="13"/>
      <c r="I326" s="23"/>
      <c r="J326" s="28"/>
      <c r="K326" s="21"/>
      <c r="L326" s="102"/>
      <c r="M326" s="21"/>
      <c r="N326" s="52"/>
      <c r="O326" s="52"/>
    </row>
    <row r="327">
      <c r="A327" s="102"/>
      <c r="B327" s="13"/>
      <c r="C327" s="15"/>
      <c r="D327" s="15"/>
      <c r="E327" s="15"/>
      <c r="F327" s="15"/>
      <c r="G327" s="13"/>
      <c r="H327" s="13"/>
      <c r="I327" s="23"/>
      <c r="J327" s="28"/>
      <c r="K327" s="21"/>
      <c r="L327" s="102"/>
      <c r="M327" s="21"/>
      <c r="N327" s="52"/>
      <c r="O327" s="52"/>
    </row>
    <row r="328">
      <c r="A328" s="102"/>
      <c r="B328" s="13"/>
      <c r="C328" s="15"/>
      <c r="D328" s="15"/>
      <c r="E328" s="15"/>
      <c r="F328" s="15"/>
      <c r="G328" s="13"/>
      <c r="H328" s="13"/>
      <c r="I328" s="23"/>
      <c r="J328" s="28"/>
      <c r="K328" s="21"/>
      <c r="L328" s="102"/>
      <c r="M328" s="21"/>
      <c r="N328" s="52"/>
      <c r="O328" s="52"/>
    </row>
    <row r="329">
      <c r="A329" s="102"/>
      <c r="B329" s="13"/>
      <c r="C329" s="15"/>
      <c r="D329" s="15"/>
      <c r="E329" s="15"/>
      <c r="F329" s="15"/>
      <c r="G329" s="13"/>
      <c r="H329" s="13"/>
      <c r="I329" s="23"/>
      <c r="J329" s="28"/>
      <c r="K329" s="21"/>
      <c r="L329" s="102"/>
      <c r="M329" s="21"/>
      <c r="N329" s="52"/>
      <c r="O329" s="52"/>
    </row>
    <row r="330">
      <c r="A330" s="102"/>
      <c r="B330" s="13"/>
      <c r="C330" s="15"/>
      <c r="D330" s="15"/>
      <c r="E330" s="15"/>
      <c r="F330" s="15"/>
      <c r="G330" s="13"/>
      <c r="H330" s="13"/>
      <c r="I330" s="23"/>
      <c r="J330" s="28"/>
      <c r="K330" s="21"/>
      <c r="L330" s="102"/>
      <c r="M330" s="21"/>
      <c r="N330" s="52"/>
      <c r="O330" s="52"/>
    </row>
    <row r="331">
      <c r="A331" s="102"/>
      <c r="B331" s="13"/>
      <c r="C331" s="15"/>
      <c r="D331" s="15"/>
      <c r="E331" s="15"/>
      <c r="F331" s="15"/>
      <c r="G331" s="13"/>
      <c r="H331" s="13"/>
      <c r="I331" s="23"/>
      <c r="J331" s="28"/>
      <c r="K331" s="21"/>
      <c r="L331" s="102"/>
      <c r="M331" s="21"/>
      <c r="N331" s="52"/>
      <c r="O331" s="52"/>
    </row>
    <row r="332">
      <c r="A332" s="102"/>
      <c r="B332" s="13"/>
      <c r="C332" s="15"/>
      <c r="D332" s="15"/>
      <c r="E332" s="15"/>
      <c r="F332" s="15"/>
      <c r="G332" s="13"/>
      <c r="H332" s="13"/>
      <c r="I332" s="23"/>
      <c r="J332" s="28"/>
      <c r="K332" s="21"/>
      <c r="L332" s="102"/>
      <c r="M332" s="21"/>
      <c r="N332" s="52"/>
      <c r="O332" s="52"/>
    </row>
    <row r="333">
      <c r="A333" s="102"/>
      <c r="B333" s="13"/>
      <c r="C333" s="15"/>
      <c r="D333" s="15"/>
      <c r="E333" s="15"/>
      <c r="F333" s="15"/>
      <c r="G333" s="13"/>
      <c r="H333" s="13"/>
      <c r="I333" s="23"/>
      <c r="J333" s="28"/>
      <c r="K333" s="21"/>
      <c r="L333" s="102"/>
      <c r="M333" s="21"/>
      <c r="N333" s="52"/>
      <c r="O333" s="52"/>
    </row>
    <row r="334">
      <c r="A334" s="102"/>
      <c r="B334" s="13"/>
      <c r="C334" s="15"/>
      <c r="D334" s="15"/>
      <c r="E334" s="15"/>
      <c r="F334" s="15"/>
      <c r="G334" s="13"/>
      <c r="H334" s="13"/>
      <c r="I334" s="23"/>
      <c r="J334" s="28"/>
      <c r="K334" s="21"/>
      <c r="L334" s="102"/>
      <c r="M334" s="21"/>
      <c r="N334" s="52"/>
      <c r="O334" s="52"/>
    </row>
    <row r="335">
      <c r="A335" s="102"/>
      <c r="B335" s="13"/>
      <c r="C335" s="15"/>
      <c r="D335" s="15"/>
      <c r="E335" s="15"/>
      <c r="F335" s="15"/>
      <c r="G335" s="13"/>
      <c r="H335" s="13"/>
      <c r="I335" s="23"/>
      <c r="J335" s="28"/>
      <c r="K335" s="21"/>
      <c r="L335" s="102"/>
      <c r="M335" s="21"/>
      <c r="N335" s="52"/>
      <c r="O335" s="52"/>
    </row>
    <row r="336">
      <c r="A336" s="102"/>
      <c r="B336" s="13"/>
      <c r="C336" s="15"/>
      <c r="D336" s="15"/>
      <c r="E336" s="15"/>
      <c r="F336" s="15"/>
      <c r="G336" s="13"/>
      <c r="H336" s="13"/>
      <c r="I336" s="23"/>
      <c r="J336" s="28"/>
      <c r="K336" s="21"/>
      <c r="L336" s="102"/>
      <c r="M336" s="21"/>
      <c r="N336" s="52"/>
      <c r="O336" s="52"/>
    </row>
    <row r="337">
      <c r="A337" s="102"/>
      <c r="B337" s="13"/>
      <c r="C337" s="15"/>
      <c r="D337" s="15"/>
      <c r="E337" s="15"/>
      <c r="F337" s="15"/>
      <c r="G337" s="13"/>
      <c r="H337" s="13"/>
      <c r="I337" s="23"/>
      <c r="J337" s="28"/>
      <c r="K337" s="21"/>
      <c r="L337" s="102"/>
      <c r="M337" s="21"/>
      <c r="N337" s="52"/>
      <c r="O337" s="52"/>
    </row>
    <row r="338">
      <c r="A338" s="102"/>
      <c r="B338" s="13"/>
      <c r="C338" s="15"/>
      <c r="D338" s="15"/>
      <c r="E338" s="15"/>
      <c r="F338" s="15"/>
      <c r="G338" s="13"/>
      <c r="H338" s="13"/>
      <c r="I338" s="23"/>
      <c r="J338" s="28"/>
      <c r="K338" s="21"/>
      <c r="L338" s="102"/>
      <c r="M338" s="21"/>
      <c r="N338" s="52"/>
      <c r="O338" s="52"/>
    </row>
    <row r="339">
      <c r="A339" s="102"/>
      <c r="B339" s="13"/>
      <c r="C339" s="15"/>
      <c r="D339" s="15"/>
      <c r="E339" s="15"/>
      <c r="F339" s="15"/>
      <c r="G339" s="13"/>
      <c r="H339" s="13"/>
      <c r="I339" s="23"/>
      <c r="J339" s="28"/>
      <c r="K339" s="21"/>
      <c r="L339" s="102"/>
      <c r="M339" s="21"/>
      <c r="N339" s="52"/>
      <c r="O339" s="52"/>
    </row>
    <row r="340">
      <c r="A340" s="102"/>
      <c r="B340" s="13"/>
      <c r="C340" s="15"/>
      <c r="D340" s="15"/>
      <c r="E340" s="15"/>
      <c r="F340" s="15"/>
      <c r="G340" s="13"/>
      <c r="H340" s="13"/>
      <c r="I340" s="23"/>
      <c r="J340" s="28"/>
      <c r="K340" s="21"/>
      <c r="L340" s="102"/>
      <c r="M340" s="21"/>
      <c r="N340" s="52"/>
      <c r="O340" s="52"/>
    </row>
    <row r="341">
      <c r="A341" s="102"/>
      <c r="B341" s="13"/>
      <c r="C341" s="15"/>
      <c r="D341" s="15"/>
      <c r="E341" s="15"/>
      <c r="F341" s="15"/>
      <c r="G341" s="13"/>
      <c r="H341" s="13"/>
      <c r="I341" s="23"/>
      <c r="J341" s="28"/>
      <c r="K341" s="21"/>
      <c r="L341" s="102"/>
      <c r="M341" s="21"/>
      <c r="N341" s="52"/>
      <c r="O341" s="52"/>
    </row>
    <row r="342">
      <c r="A342" s="102"/>
      <c r="B342" s="13"/>
      <c r="C342" s="15"/>
      <c r="D342" s="15"/>
      <c r="E342" s="15"/>
      <c r="F342" s="15"/>
      <c r="G342" s="13"/>
      <c r="H342" s="13"/>
      <c r="I342" s="23"/>
      <c r="J342" s="28"/>
      <c r="K342" s="21"/>
      <c r="L342" s="102"/>
      <c r="M342" s="21"/>
      <c r="N342" s="52"/>
      <c r="O342" s="52"/>
    </row>
    <row r="343">
      <c r="A343" s="102"/>
      <c r="B343" s="13"/>
      <c r="C343" s="15"/>
      <c r="D343" s="15"/>
      <c r="E343" s="15"/>
      <c r="F343" s="15"/>
      <c r="G343" s="13"/>
      <c r="H343" s="13"/>
      <c r="I343" s="23"/>
      <c r="J343" s="28"/>
      <c r="K343" s="21"/>
      <c r="L343" s="102"/>
      <c r="M343" s="21"/>
      <c r="N343" s="52"/>
      <c r="O343" s="52"/>
    </row>
    <row r="344">
      <c r="A344" s="102"/>
      <c r="B344" s="13"/>
      <c r="C344" s="15"/>
      <c r="D344" s="15"/>
      <c r="E344" s="15"/>
      <c r="F344" s="15"/>
      <c r="G344" s="13"/>
      <c r="H344" s="13"/>
      <c r="I344" s="23"/>
      <c r="J344" s="28"/>
      <c r="K344" s="21"/>
      <c r="L344" s="102"/>
      <c r="M344" s="21"/>
      <c r="N344" s="52"/>
      <c r="O344" s="52"/>
    </row>
    <row r="345">
      <c r="A345" s="102"/>
      <c r="B345" s="13"/>
      <c r="C345" s="15"/>
      <c r="D345" s="15"/>
      <c r="E345" s="15"/>
      <c r="F345" s="15"/>
      <c r="G345" s="13"/>
      <c r="H345" s="13"/>
      <c r="I345" s="23"/>
      <c r="J345" s="28"/>
      <c r="K345" s="21"/>
      <c r="L345" s="102"/>
      <c r="M345" s="21"/>
      <c r="N345" s="52"/>
      <c r="O345" s="52"/>
    </row>
    <row r="346">
      <c r="A346" s="102"/>
      <c r="B346" s="13"/>
      <c r="C346" s="15"/>
      <c r="D346" s="15"/>
      <c r="E346" s="15"/>
      <c r="F346" s="15"/>
      <c r="G346" s="13"/>
      <c r="H346" s="13"/>
      <c r="I346" s="23"/>
      <c r="J346" s="28"/>
      <c r="K346" s="21"/>
      <c r="L346" s="102"/>
      <c r="M346" s="21"/>
      <c r="N346" s="52"/>
      <c r="O346" s="52"/>
    </row>
    <row r="347">
      <c r="A347" s="102"/>
      <c r="B347" s="13"/>
      <c r="C347" s="15"/>
      <c r="D347" s="15"/>
      <c r="E347" s="15"/>
      <c r="F347" s="15"/>
      <c r="G347" s="13"/>
      <c r="H347" s="13"/>
      <c r="I347" s="23"/>
      <c r="J347" s="28"/>
      <c r="K347" s="21"/>
      <c r="L347" s="102"/>
      <c r="M347" s="21"/>
      <c r="N347" s="52"/>
      <c r="O347" s="52"/>
    </row>
    <row r="348">
      <c r="A348" s="102"/>
      <c r="B348" s="13"/>
      <c r="C348" s="15"/>
      <c r="D348" s="15"/>
      <c r="E348" s="15"/>
      <c r="F348" s="15"/>
      <c r="G348" s="13"/>
      <c r="H348" s="13"/>
      <c r="I348" s="23"/>
      <c r="J348" s="28"/>
      <c r="K348" s="21"/>
      <c r="L348" s="102"/>
      <c r="M348" s="21"/>
      <c r="N348" s="52"/>
      <c r="O348" s="52"/>
    </row>
    <row r="349">
      <c r="A349" s="102"/>
      <c r="B349" s="13"/>
      <c r="C349" s="15"/>
      <c r="D349" s="15"/>
      <c r="E349" s="15"/>
      <c r="F349" s="15"/>
      <c r="G349" s="13"/>
      <c r="H349" s="13"/>
      <c r="I349" s="23"/>
      <c r="J349" s="28"/>
      <c r="K349" s="21"/>
      <c r="L349" s="102"/>
      <c r="M349" s="21"/>
      <c r="N349" s="52"/>
      <c r="O349" s="52"/>
    </row>
    <row r="350">
      <c r="A350" s="102"/>
      <c r="B350" s="13"/>
      <c r="C350" s="15"/>
      <c r="D350" s="15"/>
      <c r="E350" s="15"/>
      <c r="F350" s="15"/>
      <c r="G350" s="13"/>
      <c r="H350" s="13"/>
      <c r="I350" s="23"/>
      <c r="J350" s="28"/>
      <c r="K350" s="21"/>
      <c r="L350" s="102"/>
      <c r="M350" s="21"/>
      <c r="N350" s="52"/>
      <c r="O350" s="52"/>
    </row>
    <row r="351">
      <c r="A351" s="102"/>
      <c r="B351" s="13"/>
      <c r="C351" s="15"/>
      <c r="D351" s="15"/>
      <c r="E351" s="15"/>
      <c r="F351" s="15"/>
      <c r="G351" s="13"/>
      <c r="H351" s="13"/>
      <c r="I351" s="23"/>
      <c r="J351" s="28"/>
      <c r="K351" s="21"/>
      <c r="L351" s="102"/>
      <c r="M351" s="21"/>
      <c r="N351" s="52"/>
      <c r="O351" s="52"/>
    </row>
    <row r="352">
      <c r="A352" s="102"/>
      <c r="B352" s="13"/>
      <c r="C352" s="15"/>
      <c r="D352" s="15"/>
      <c r="E352" s="15"/>
      <c r="F352" s="15"/>
      <c r="G352" s="13"/>
      <c r="H352" s="13"/>
      <c r="I352" s="23"/>
      <c r="J352" s="28"/>
      <c r="K352" s="21"/>
      <c r="L352" s="102"/>
      <c r="M352" s="21"/>
      <c r="N352" s="52"/>
      <c r="O352" s="52"/>
    </row>
    <row r="353">
      <c r="A353" s="102"/>
      <c r="B353" s="13"/>
      <c r="C353" s="15"/>
      <c r="D353" s="15"/>
      <c r="E353" s="15"/>
      <c r="F353" s="15"/>
      <c r="G353" s="13"/>
      <c r="H353" s="13"/>
      <c r="I353" s="23"/>
      <c r="J353" s="28"/>
      <c r="K353" s="21"/>
      <c r="L353" s="102"/>
      <c r="M353" s="21"/>
      <c r="N353" s="52"/>
      <c r="O353" s="52"/>
    </row>
    <row r="354">
      <c r="A354" s="102"/>
      <c r="B354" s="13"/>
      <c r="C354" s="15"/>
      <c r="D354" s="15"/>
      <c r="E354" s="15"/>
      <c r="F354" s="15"/>
      <c r="G354" s="13"/>
      <c r="H354" s="13"/>
      <c r="I354" s="23"/>
      <c r="J354" s="28"/>
      <c r="K354" s="21"/>
      <c r="L354" s="102"/>
      <c r="M354" s="21"/>
      <c r="N354" s="52"/>
      <c r="O354" s="52"/>
    </row>
    <row r="355">
      <c r="A355" s="102"/>
      <c r="B355" s="13"/>
      <c r="C355" s="15"/>
      <c r="D355" s="15"/>
      <c r="E355" s="15"/>
      <c r="F355" s="15"/>
      <c r="G355" s="13"/>
      <c r="H355" s="13"/>
      <c r="I355" s="23"/>
      <c r="J355" s="28"/>
      <c r="K355" s="21"/>
      <c r="L355" s="102"/>
      <c r="M355" s="21"/>
      <c r="N355" s="52"/>
      <c r="O355" s="52"/>
    </row>
    <row r="356">
      <c r="A356" s="102"/>
      <c r="B356" s="13"/>
      <c r="C356" s="15"/>
      <c r="D356" s="15"/>
      <c r="E356" s="15"/>
      <c r="F356" s="15"/>
      <c r="G356" s="13"/>
      <c r="H356" s="13"/>
      <c r="I356" s="23"/>
      <c r="J356" s="28"/>
      <c r="K356" s="21"/>
      <c r="L356" s="102"/>
      <c r="M356" s="21"/>
      <c r="N356" s="52"/>
      <c r="O356" s="52"/>
    </row>
    <row r="357">
      <c r="A357" s="102"/>
      <c r="B357" s="13"/>
      <c r="C357" s="15"/>
      <c r="D357" s="15"/>
      <c r="E357" s="15"/>
      <c r="F357" s="15"/>
      <c r="G357" s="13"/>
      <c r="H357" s="13"/>
      <c r="I357" s="23"/>
      <c r="J357" s="28"/>
      <c r="K357" s="21"/>
      <c r="L357" s="102"/>
      <c r="M357" s="21"/>
      <c r="N357" s="52"/>
      <c r="O357" s="52"/>
    </row>
    <row r="358">
      <c r="A358" s="102"/>
      <c r="B358" s="13"/>
      <c r="C358" s="15"/>
      <c r="D358" s="15"/>
      <c r="E358" s="15"/>
      <c r="F358" s="15"/>
      <c r="G358" s="13"/>
      <c r="H358" s="13"/>
      <c r="I358" s="23"/>
      <c r="J358" s="28"/>
      <c r="K358" s="21"/>
      <c r="L358" s="102"/>
      <c r="M358" s="21"/>
      <c r="N358" s="52"/>
      <c r="O358" s="52"/>
    </row>
    <row r="359">
      <c r="A359" s="102"/>
      <c r="B359" s="13"/>
      <c r="C359" s="15"/>
      <c r="D359" s="15"/>
      <c r="E359" s="15"/>
      <c r="F359" s="15"/>
      <c r="G359" s="13"/>
      <c r="H359" s="13"/>
      <c r="I359" s="23"/>
      <c r="J359" s="28"/>
      <c r="K359" s="21"/>
      <c r="L359" s="102"/>
      <c r="M359" s="21"/>
      <c r="N359" s="52"/>
      <c r="O359" s="52"/>
    </row>
    <row r="360">
      <c r="A360" s="102"/>
      <c r="B360" s="13"/>
      <c r="C360" s="15"/>
      <c r="D360" s="15"/>
      <c r="E360" s="15"/>
      <c r="F360" s="15"/>
      <c r="G360" s="13"/>
      <c r="H360" s="13"/>
      <c r="I360" s="23"/>
      <c r="J360" s="28"/>
      <c r="K360" s="21"/>
      <c r="L360" s="102"/>
      <c r="M360" s="21"/>
      <c r="N360" s="52"/>
      <c r="O360" s="52"/>
    </row>
    <row r="361">
      <c r="A361" s="102"/>
      <c r="B361" s="13"/>
      <c r="C361" s="15"/>
      <c r="D361" s="15"/>
      <c r="E361" s="15"/>
      <c r="F361" s="15"/>
      <c r="G361" s="13"/>
      <c r="H361" s="13"/>
      <c r="I361" s="23"/>
      <c r="J361" s="28"/>
      <c r="K361" s="21"/>
      <c r="L361" s="102"/>
      <c r="M361" s="21"/>
      <c r="N361" s="52"/>
      <c r="O361" s="52"/>
    </row>
    <row r="362">
      <c r="A362" s="102"/>
      <c r="B362" s="13"/>
      <c r="C362" s="15"/>
      <c r="D362" s="15"/>
      <c r="E362" s="15"/>
      <c r="F362" s="15"/>
      <c r="G362" s="13"/>
      <c r="H362" s="13"/>
      <c r="I362" s="23"/>
      <c r="J362" s="28"/>
      <c r="K362" s="21"/>
      <c r="L362" s="102"/>
      <c r="M362" s="21"/>
      <c r="N362" s="52"/>
      <c r="O362" s="52"/>
    </row>
    <row r="363">
      <c r="A363" s="102"/>
      <c r="B363" s="13"/>
      <c r="C363" s="15"/>
      <c r="D363" s="15"/>
      <c r="E363" s="15"/>
      <c r="F363" s="15"/>
      <c r="G363" s="13"/>
      <c r="H363" s="13"/>
      <c r="I363" s="23"/>
      <c r="J363" s="28"/>
      <c r="K363" s="21"/>
      <c r="L363" s="102"/>
      <c r="M363" s="21"/>
      <c r="N363" s="52"/>
      <c r="O363" s="52"/>
    </row>
    <row r="364">
      <c r="A364" s="102"/>
      <c r="B364" s="13"/>
      <c r="C364" s="15"/>
      <c r="D364" s="15"/>
      <c r="E364" s="15"/>
      <c r="F364" s="15"/>
      <c r="G364" s="13"/>
      <c r="H364" s="13"/>
      <c r="I364" s="23"/>
      <c r="J364" s="28"/>
      <c r="K364" s="21"/>
      <c r="L364" s="102"/>
      <c r="M364" s="21"/>
      <c r="N364" s="52"/>
      <c r="O364" s="52"/>
    </row>
    <row r="365">
      <c r="A365" s="102"/>
      <c r="B365" s="13"/>
      <c r="C365" s="15"/>
      <c r="D365" s="15"/>
      <c r="E365" s="15"/>
      <c r="F365" s="15"/>
      <c r="G365" s="13"/>
      <c r="H365" s="13"/>
      <c r="I365" s="23"/>
      <c r="J365" s="28"/>
      <c r="K365" s="21"/>
      <c r="L365" s="102"/>
      <c r="M365" s="21"/>
      <c r="N365" s="52"/>
      <c r="O365" s="52"/>
    </row>
    <row r="366">
      <c r="A366" s="102"/>
      <c r="B366" s="13"/>
      <c r="C366" s="15"/>
      <c r="D366" s="15"/>
      <c r="E366" s="15"/>
      <c r="F366" s="15"/>
      <c r="G366" s="13"/>
      <c r="H366" s="13"/>
      <c r="I366" s="23"/>
      <c r="J366" s="28"/>
      <c r="K366" s="21"/>
      <c r="L366" s="102"/>
      <c r="M366" s="21"/>
      <c r="N366" s="52"/>
      <c r="O366" s="52"/>
    </row>
    <row r="367">
      <c r="A367" s="102"/>
      <c r="B367" s="13"/>
      <c r="C367" s="15"/>
      <c r="D367" s="15"/>
      <c r="E367" s="15"/>
      <c r="F367" s="15"/>
      <c r="G367" s="13"/>
      <c r="H367" s="13"/>
      <c r="I367" s="23"/>
      <c r="J367" s="28"/>
      <c r="K367" s="21"/>
      <c r="L367" s="102"/>
      <c r="M367" s="21"/>
      <c r="N367" s="52"/>
      <c r="O367" s="52"/>
    </row>
    <row r="368">
      <c r="A368" s="102"/>
      <c r="B368" s="13"/>
      <c r="C368" s="15"/>
      <c r="D368" s="15"/>
      <c r="E368" s="15"/>
      <c r="F368" s="15"/>
      <c r="G368" s="13"/>
      <c r="H368" s="13"/>
      <c r="I368" s="23"/>
      <c r="J368" s="28"/>
      <c r="K368" s="21"/>
      <c r="L368" s="102"/>
      <c r="M368" s="21"/>
      <c r="N368" s="52"/>
      <c r="O368" s="52"/>
    </row>
    <row r="369">
      <c r="A369" s="102"/>
      <c r="B369" s="13"/>
      <c r="C369" s="15"/>
      <c r="D369" s="15"/>
      <c r="E369" s="15"/>
      <c r="F369" s="15"/>
      <c r="G369" s="13"/>
      <c r="H369" s="13"/>
      <c r="I369" s="23"/>
      <c r="J369" s="28"/>
      <c r="K369" s="21"/>
      <c r="L369" s="102"/>
      <c r="M369" s="21"/>
      <c r="N369" s="52"/>
      <c r="O369" s="52"/>
    </row>
    <row r="370">
      <c r="A370" s="102"/>
      <c r="B370" s="13"/>
      <c r="C370" s="15"/>
      <c r="D370" s="15"/>
      <c r="E370" s="15"/>
      <c r="F370" s="15"/>
      <c r="G370" s="13"/>
      <c r="H370" s="13"/>
      <c r="I370" s="23"/>
      <c r="J370" s="28"/>
      <c r="K370" s="21"/>
      <c r="L370" s="102"/>
      <c r="M370" s="21"/>
      <c r="N370" s="52"/>
      <c r="O370" s="52"/>
    </row>
    <row r="371">
      <c r="A371" s="102"/>
      <c r="B371" s="13"/>
      <c r="C371" s="15"/>
      <c r="D371" s="15"/>
      <c r="E371" s="15"/>
      <c r="F371" s="15"/>
      <c r="G371" s="13"/>
      <c r="H371" s="13"/>
      <c r="I371" s="23"/>
      <c r="J371" s="28"/>
      <c r="K371" s="21"/>
      <c r="L371" s="102"/>
      <c r="M371" s="21"/>
      <c r="N371" s="52"/>
      <c r="O371" s="52"/>
    </row>
    <row r="372">
      <c r="A372" s="102"/>
      <c r="B372" s="13"/>
      <c r="C372" s="15"/>
      <c r="D372" s="15"/>
      <c r="E372" s="15"/>
      <c r="F372" s="15"/>
      <c r="G372" s="13"/>
      <c r="H372" s="13"/>
      <c r="I372" s="23"/>
      <c r="J372" s="28"/>
      <c r="K372" s="21"/>
      <c r="L372" s="102"/>
      <c r="M372" s="21"/>
      <c r="N372" s="52"/>
      <c r="O372" s="52"/>
    </row>
    <row r="373">
      <c r="A373" s="102"/>
      <c r="B373" s="13"/>
      <c r="C373" s="15"/>
      <c r="D373" s="15"/>
      <c r="E373" s="15"/>
      <c r="F373" s="15"/>
      <c r="G373" s="13"/>
      <c r="H373" s="13"/>
      <c r="I373" s="23"/>
      <c r="J373" s="28"/>
      <c r="K373" s="21"/>
      <c r="L373" s="102"/>
      <c r="M373" s="21"/>
      <c r="N373" s="52"/>
      <c r="O373" s="52"/>
    </row>
    <row r="374">
      <c r="A374" s="102"/>
      <c r="B374" s="13"/>
      <c r="C374" s="15"/>
      <c r="D374" s="15"/>
      <c r="E374" s="15"/>
      <c r="F374" s="15"/>
      <c r="G374" s="13"/>
      <c r="H374" s="13"/>
      <c r="I374" s="23"/>
      <c r="J374" s="28"/>
      <c r="K374" s="21"/>
      <c r="L374" s="102"/>
      <c r="M374" s="21"/>
      <c r="N374" s="52"/>
      <c r="O374" s="52"/>
    </row>
    <row r="375">
      <c r="A375" s="102"/>
      <c r="B375" s="13"/>
      <c r="C375" s="15"/>
      <c r="D375" s="15"/>
      <c r="E375" s="15"/>
      <c r="F375" s="15"/>
      <c r="G375" s="13"/>
      <c r="H375" s="13"/>
      <c r="I375" s="23"/>
      <c r="J375" s="28"/>
      <c r="K375" s="21"/>
      <c r="L375" s="102"/>
      <c r="M375" s="21"/>
      <c r="N375" s="52"/>
      <c r="O375" s="52"/>
    </row>
    <row r="376">
      <c r="A376" s="102"/>
      <c r="B376" s="13"/>
      <c r="C376" s="15"/>
      <c r="D376" s="15"/>
      <c r="E376" s="15"/>
      <c r="F376" s="15"/>
      <c r="G376" s="13"/>
      <c r="H376" s="13"/>
      <c r="I376" s="23"/>
      <c r="J376" s="28"/>
      <c r="K376" s="21"/>
      <c r="L376" s="102"/>
      <c r="M376" s="21"/>
      <c r="N376" s="52"/>
      <c r="O376" s="52"/>
    </row>
    <row r="377">
      <c r="A377" s="102"/>
      <c r="B377" s="13"/>
      <c r="C377" s="15"/>
      <c r="D377" s="15"/>
      <c r="E377" s="15"/>
      <c r="F377" s="15"/>
      <c r="G377" s="13"/>
      <c r="H377" s="13"/>
      <c r="I377" s="23"/>
      <c r="J377" s="28"/>
      <c r="K377" s="21"/>
      <c r="L377" s="102"/>
      <c r="M377" s="21"/>
      <c r="N377" s="52"/>
      <c r="O377" s="52"/>
    </row>
    <row r="378">
      <c r="A378" s="102"/>
      <c r="B378" s="13"/>
      <c r="C378" s="15"/>
      <c r="D378" s="15"/>
      <c r="E378" s="15"/>
      <c r="F378" s="15"/>
      <c r="G378" s="13"/>
      <c r="H378" s="13"/>
      <c r="I378" s="23"/>
      <c r="J378" s="28"/>
      <c r="K378" s="21"/>
      <c r="L378" s="102"/>
      <c r="M378" s="21"/>
      <c r="N378" s="52"/>
      <c r="O378" s="52"/>
    </row>
    <row r="379">
      <c r="A379" s="102"/>
      <c r="B379" s="13"/>
      <c r="C379" s="15"/>
      <c r="D379" s="15"/>
      <c r="E379" s="15"/>
      <c r="F379" s="15"/>
      <c r="G379" s="13"/>
      <c r="H379" s="13"/>
      <c r="I379" s="23"/>
      <c r="J379" s="28"/>
      <c r="K379" s="21"/>
      <c r="L379" s="102"/>
      <c r="M379" s="21"/>
      <c r="N379" s="52"/>
      <c r="O379" s="52"/>
    </row>
    <row r="380">
      <c r="A380" s="102"/>
      <c r="B380" s="13"/>
      <c r="C380" s="15"/>
      <c r="D380" s="15"/>
      <c r="E380" s="15"/>
      <c r="F380" s="15"/>
      <c r="G380" s="13"/>
      <c r="H380" s="13"/>
      <c r="I380" s="23"/>
      <c r="J380" s="28"/>
      <c r="K380" s="21"/>
      <c r="L380" s="102"/>
      <c r="M380" s="21"/>
      <c r="N380" s="52"/>
      <c r="O380" s="52"/>
    </row>
    <row r="381">
      <c r="A381" s="102"/>
      <c r="B381" s="13"/>
      <c r="C381" s="15"/>
      <c r="D381" s="15"/>
      <c r="E381" s="15"/>
      <c r="F381" s="15"/>
      <c r="G381" s="13"/>
      <c r="H381" s="13"/>
      <c r="I381" s="23"/>
      <c r="J381" s="28"/>
      <c r="K381" s="21"/>
      <c r="L381" s="102"/>
      <c r="M381" s="21"/>
      <c r="N381" s="52"/>
      <c r="O381" s="52"/>
    </row>
    <row r="382">
      <c r="A382" s="102"/>
      <c r="B382" s="13"/>
      <c r="C382" s="15"/>
      <c r="D382" s="15"/>
      <c r="E382" s="15"/>
      <c r="F382" s="15"/>
      <c r="G382" s="13"/>
      <c r="H382" s="13"/>
      <c r="I382" s="23"/>
      <c r="J382" s="28"/>
      <c r="K382" s="21"/>
      <c r="L382" s="102"/>
      <c r="M382" s="21"/>
      <c r="N382" s="52"/>
      <c r="O382" s="52"/>
    </row>
    <row r="383">
      <c r="A383" s="102"/>
      <c r="B383" s="13"/>
      <c r="C383" s="15"/>
      <c r="D383" s="15"/>
      <c r="E383" s="15"/>
      <c r="F383" s="15"/>
      <c r="G383" s="13"/>
      <c r="H383" s="13"/>
      <c r="I383" s="23"/>
      <c r="J383" s="28"/>
      <c r="K383" s="21"/>
      <c r="L383" s="102"/>
      <c r="M383" s="21"/>
      <c r="N383" s="52"/>
      <c r="O383" s="52"/>
    </row>
    <row r="384">
      <c r="A384" s="102"/>
      <c r="B384" s="13"/>
      <c r="C384" s="15"/>
      <c r="D384" s="15"/>
      <c r="E384" s="15"/>
      <c r="F384" s="15"/>
      <c r="G384" s="13"/>
      <c r="H384" s="13"/>
      <c r="I384" s="23"/>
      <c r="J384" s="28"/>
      <c r="K384" s="21"/>
      <c r="L384" s="102"/>
      <c r="M384" s="21"/>
      <c r="N384" s="52"/>
      <c r="O384" s="52"/>
    </row>
    <row r="385">
      <c r="A385" s="102"/>
      <c r="B385" s="13"/>
      <c r="C385" s="15"/>
      <c r="D385" s="15"/>
      <c r="E385" s="15"/>
      <c r="F385" s="15"/>
      <c r="G385" s="13"/>
      <c r="H385" s="13"/>
      <c r="I385" s="23"/>
      <c r="J385" s="28"/>
      <c r="K385" s="21"/>
      <c r="L385" s="102"/>
      <c r="M385" s="21"/>
      <c r="N385" s="52"/>
      <c r="O385" s="52"/>
    </row>
    <row r="386">
      <c r="A386" s="102"/>
      <c r="B386" s="13"/>
      <c r="C386" s="15"/>
      <c r="D386" s="15"/>
      <c r="E386" s="15"/>
      <c r="F386" s="15"/>
      <c r="G386" s="13"/>
      <c r="H386" s="13"/>
      <c r="I386" s="23"/>
      <c r="J386" s="28"/>
      <c r="K386" s="21"/>
      <c r="L386" s="102"/>
      <c r="M386" s="21"/>
      <c r="N386" s="52"/>
      <c r="O386" s="52"/>
    </row>
    <row r="387">
      <c r="A387" s="102"/>
      <c r="B387" s="13"/>
      <c r="C387" s="15"/>
      <c r="D387" s="15"/>
      <c r="E387" s="15"/>
      <c r="F387" s="15"/>
      <c r="G387" s="13"/>
      <c r="H387" s="13"/>
      <c r="I387" s="23"/>
      <c r="J387" s="28"/>
      <c r="K387" s="21"/>
      <c r="L387" s="102"/>
      <c r="M387" s="21"/>
      <c r="N387" s="52"/>
      <c r="O387" s="52"/>
    </row>
    <row r="388">
      <c r="A388" s="102"/>
      <c r="B388" s="13"/>
      <c r="C388" s="15"/>
      <c r="D388" s="15"/>
      <c r="E388" s="15"/>
      <c r="F388" s="15"/>
      <c r="G388" s="13"/>
      <c r="H388" s="13"/>
      <c r="I388" s="23"/>
      <c r="J388" s="28"/>
      <c r="K388" s="21"/>
      <c r="L388" s="102"/>
      <c r="M388" s="21"/>
      <c r="N388" s="52"/>
      <c r="O388" s="52"/>
    </row>
    <row r="389">
      <c r="A389" s="102"/>
      <c r="B389" s="13"/>
      <c r="C389" s="15"/>
      <c r="D389" s="15"/>
      <c r="E389" s="15"/>
      <c r="F389" s="15"/>
      <c r="G389" s="13"/>
      <c r="H389" s="13"/>
      <c r="I389" s="23"/>
      <c r="J389" s="28"/>
      <c r="K389" s="21"/>
      <c r="L389" s="102"/>
      <c r="M389" s="21"/>
      <c r="N389" s="52"/>
      <c r="O389" s="52"/>
    </row>
    <row r="390">
      <c r="A390" s="102"/>
      <c r="B390" s="13"/>
      <c r="C390" s="15"/>
      <c r="D390" s="15"/>
      <c r="E390" s="15"/>
      <c r="F390" s="15"/>
      <c r="G390" s="13"/>
      <c r="H390" s="13"/>
      <c r="I390" s="23"/>
      <c r="J390" s="28"/>
      <c r="K390" s="21"/>
      <c r="L390" s="102"/>
      <c r="M390" s="21"/>
      <c r="N390" s="52"/>
      <c r="O390" s="52"/>
    </row>
    <row r="391">
      <c r="A391" s="102"/>
      <c r="B391" s="13"/>
      <c r="C391" s="15"/>
      <c r="D391" s="15"/>
      <c r="E391" s="15"/>
      <c r="F391" s="15"/>
      <c r="G391" s="13"/>
      <c r="H391" s="13"/>
      <c r="I391" s="23"/>
      <c r="J391" s="28"/>
      <c r="K391" s="21"/>
      <c r="L391" s="102"/>
      <c r="M391" s="21"/>
      <c r="N391" s="52"/>
      <c r="O391" s="52"/>
    </row>
    <row r="392">
      <c r="A392" s="102"/>
      <c r="B392" s="13"/>
      <c r="C392" s="15"/>
      <c r="D392" s="15"/>
      <c r="E392" s="15"/>
      <c r="F392" s="15"/>
      <c r="G392" s="13"/>
      <c r="H392" s="13"/>
      <c r="I392" s="23"/>
      <c r="J392" s="28"/>
      <c r="K392" s="21"/>
      <c r="L392" s="102"/>
      <c r="M392" s="21"/>
      <c r="N392" s="52"/>
      <c r="O392" s="52"/>
    </row>
    <row r="393">
      <c r="A393" s="102"/>
      <c r="B393" s="13"/>
      <c r="C393" s="15"/>
      <c r="D393" s="15"/>
      <c r="E393" s="15"/>
      <c r="F393" s="15"/>
      <c r="G393" s="13"/>
      <c r="H393" s="13"/>
      <c r="I393" s="23"/>
      <c r="J393" s="28"/>
      <c r="K393" s="21"/>
      <c r="L393" s="102"/>
      <c r="M393" s="21"/>
      <c r="N393" s="52"/>
      <c r="O393" s="52"/>
    </row>
    <row r="394">
      <c r="A394" s="102"/>
      <c r="B394" s="13"/>
      <c r="C394" s="15"/>
      <c r="D394" s="15"/>
      <c r="E394" s="15"/>
      <c r="F394" s="15"/>
      <c r="G394" s="13"/>
      <c r="H394" s="13"/>
      <c r="I394" s="23"/>
      <c r="J394" s="28"/>
      <c r="K394" s="21"/>
      <c r="L394" s="102"/>
      <c r="M394" s="21"/>
      <c r="N394" s="52"/>
      <c r="O394" s="52"/>
    </row>
    <row r="395">
      <c r="A395" s="102"/>
      <c r="B395" s="13"/>
      <c r="C395" s="15"/>
      <c r="D395" s="15"/>
      <c r="E395" s="15"/>
      <c r="F395" s="15"/>
      <c r="G395" s="13"/>
      <c r="H395" s="13"/>
      <c r="I395" s="23"/>
      <c r="J395" s="28"/>
      <c r="K395" s="21"/>
      <c r="L395" s="102"/>
      <c r="M395" s="21"/>
      <c r="N395" s="52"/>
      <c r="O395" s="52"/>
    </row>
    <row r="396">
      <c r="A396" s="102"/>
      <c r="B396" s="13"/>
      <c r="C396" s="15"/>
      <c r="D396" s="15"/>
      <c r="E396" s="15"/>
      <c r="F396" s="15"/>
      <c r="G396" s="13"/>
      <c r="H396" s="13"/>
      <c r="I396" s="23"/>
      <c r="J396" s="28"/>
      <c r="K396" s="21"/>
      <c r="L396" s="102"/>
      <c r="M396" s="21"/>
      <c r="N396" s="52"/>
      <c r="O396" s="52"/>
    </row>
    <row r="397">
      <c r="A397" s="102"/>
      <c r="B397" s="13"/>
      <c r="C397" s="15"/>
      <c r="D397" s="15"/>
      <c r="E397" s="15"/>
      <c r="F397" s="15"/>
      <c r="G397" s="13"/>
      <c r="H397" s="13"/>
      <c r="I397" s="23"/>
      <c r="J397" s="28"/>
      <c r="K397" s="21"/>
      <c r="L397" s="102"/>
      <c r="M397" s="21"/>
      <c r="N397" s="52"/>
      <c r="O397" s="52"/>
    </row>
    <row r="398">
      <c r="A398" s="102"/>
      <c r="B398" s="13"/>
      <c r="C398" s="15"/>
      <c r="D398" s="15"/>
      <c r="E398" s="15"/>
      <c r="F398" s="15"/>
      <c r="G398" s="13"/>
      <c r="H398" s="13"/>
      <c r="I398" s="23"/>
      <c r="J398" s="28"/>
      <c r="K398" s="21"/>
      <c r="L398" s="102"/>
      <c r="M398" s="21"/>
      <c r="N398" s="52"/>
      <c r="O398" s="52"/>
    </row>
    <row r="399">
      <c r="A399" s="102"/>
      <c r="B399" s="13"/>
      <c r="C399" s="15"/>
      <c r="D399" s="15"/>
      <c r="E399" s="15"/>
      <c r="F399" s="15"/>
      <c r="G399" s="13"/>
      <c r="H399" s="13"/>
      <c r="I399" s="23"/>
      <c r="J399" s="28"/>
      <c r="K399" s="21"/>
      <c r="L399" s="102"/>
      <c r="M399" s="21"/>
      <c r="N399" s="52"/>
      <c r="O399" s="52"/>
    </row>
    <row r="400">
      <c r="A400" s="102"/>
      <c r="B400" s="13"/>
      <c r="C400" s="15"/>
      <c r="D400" s="15"/>
      <c r="E400" s="15"/>
      <c r="F400" s="15"/>
      <c r="G400" s="13"/>
      <c r="H400" s="13"/>
      <c r="I400" s="23"/>
      <c r="J400" s="28"/>
      <c r="K400" s="21"/>
      <c r="L400" s="102"/>
      <c r="M400" s="21"/>
      <c r="N400" s="52"/>
      <c r="O400" s="52"/>
    </row>
    <row r="401">
      <c r="A401" s="102"/>
      <c r="B401" s="13"/>
      <c r="C401" s="15"/>
      <c r="D401" s="15"/>
      <c r="E401" s="15"/>
      <c r="F401" s="15"/>
      <c r="G401" s="13"/>
      <c r="H401" s="13"/>
      <c r="I401" s="23"/>
      <c r="J401" s="28"/>
      <c r="K401" s="21"/>
      <c r="L401" s="102"/>
      <c r="M401" s="21"/>
      <c r="N401" s="52"/>
      <c r="O401" s="52"/>
    </row>
    <row r="402">
      <c r="A402" s="102"/>
      <c r="B402" s="13"/>
      <c r="C402" s="15"/>
      <c r="D402" s="15"/>
      <c r="E402" s="15"/>
      <c r="F402" s="15"/>
      <c r="G402" s="13"/>
      <c r="H402" s="13"/>
      <c r="I402" s="23"/>
      <c r="J402" s="28"/>
      <c r="K402" s="21"/>
      <c r="L402" s="102"/>
      <c r="M402" s="21"/>
      <c r="N402" s="52"/>
      <c r="O402" s="52"/>
    </row>
    <row r="403">
      <c r="A403" s="102"/>
      <c r="B403" s="13"/>
      <c r="C403" s="15"/>
      <c r="D403" s="15"/>
      <c r="E403" s="15"/>
      <c r="F403" s="15"/>
      <c r="G403" s="13"/>
      <c r="H403" s="13"/>
      <c r="I403" s="23"/>
      <c r="J403" s="28"/>
      <c r="K403" s="21"/>
      <c r="L403" s="102"/>
      <c r="M403" s="21"/>
      <c r="N403" s="52"/>
      <c r="O403" s="52"/>
    </row>
    <row r="404">
      <c r="A404" s="102"/>
      <c r="B404" s="13"/>
      <c r="C404" s="15"/>
      <c r="D404" s="15"/>
      <c r="E404" s="15"/>
      <c r="F404" s="15"/>
      <c r="G404" s="13"/>
      <c r="H404" s="13"/>
      <c r="I404" s="23"/>
      <c r="J404" s="28"/>
      <c r="K404" s="21"/>
      <c r="L404" s="102"/>
      <c r="M404" s="21"/>
      <c r="N404" s="52"/>
      <c r="O404" s="52"/>
    </row>
    <row r="405">
      <c r="A405" s="102"/>
      <c r="B405" s="13"/>
      <c r="C405" s="15"/>
      <c r="D405" s="15"/>
      <c r="E405" s="15"/>
      <c r="F405" s="15"/>
      <c r="G405" s="13"/>
      <c r="H405" s="13"/>
      <c r="I405" s="23"/>
      <c r="J405" s="28"/>
      <c r="K405" s="21"/>
      <c r="L405" s="102"/>
      <c r="M405" s="21"/>
      <c r="N405" s="52"/>
      <c r="O405" s="52"/>
    </row>
    <row r="406">
      <c r="A406" s="102"/>
      <c r="B406" s="13"/>
      <c r="C406" s="15"/>
      <c r="D406" s="15"/>
      <c r="E406" s="15"/>
      <c r="F406" s="15"/>
      <c r="G406" s="13"/>
      <c r="H406" s="13"/>
      <c r="I406" s="23"/>
      <c r="J406" s="28"/>
      <c r="K406" s="21"/>
      <c r="L406" s="102"/>
      <c r="M406" s="21"/>
      <c r="N406" s="52"/>
      <c r="O406" s="52"/>
    </row>
    <row r="407">
      <c r="A407" s="102"/>
      <c r="B407" s="13"/>
      <c r="C407" s="15"/>
      <c r="D407" s="15"/>
      <c r="E407" s="15"/>
      <c r="F407" s="15"/>
      <c r="G407" s="13"/>
      <c r="H407" s="13"/>
      <c r="I407" s="23"/>
      <c r="J407" s="28"/>
      <c r="K407" s="21"/>
      <c r="L407" s="102"/>
      <c r="M407" s="21"/>
      <c r="N407" s="52"/>
      <c r="O407" s="52"/>
    </row>
    <row r="408">
      <c r="A408" s="102"/>
      <c r="B408" s="13"/>
      <c r="C408" s="15"/>
      <c r="D408" s="15"/>
      <c r="E408" s="15"/>
      <c r="F408" s="15"/>
      <c r="G408" s="13"/>
      <c r="H408" s="13"/>
      <c r="I408" s="23"/>
      <c r="J408" s="28"/>
      <c r="K408" s="21"/>
      <c r="L408" s="102"/>
      <c r="M408" s="21"/>
      <c r="N408" s="52"/>
      <c r="O408" s="52"/>
    </row>
    <row r="409">
      <c r="A409" s="102"/>
      <c r="B409" s="13"/>
      <c r="C409" s="15"/>
      <c r="D409" s="15"/>
      <c r="E409" s="15"/>
      <c r="F409" s="15"/>
      <c r="G409" s="13"/>
      <c r="H409" s="13"/>
      <c r="I409" s="23"/>
      <c r="J409" s="28"/>
      <c r="K409" s="21"/>
      <c r="L409" s="102"/>
      <c r="M409" s="21"/>
      <c r="N409" s="52"/>
      <c r="O409" s="52"/>
    </row>
    <row r="410">
      <c r="A410" s="102"/>
      <c r="B410" s="13"/>
      <c r="C410" s="15"/>
      <c r="D410" s="15"/>
      <c r="E410" s="15"/>
      <c r="F410" s="15"/>
      <c r="G410" s="13"/>
      <c r="H410" s="13"/>
      <c r="I410" s="23"/>
      <c r="J410" s="28"/>
      <c r="K410" s="21"/>
      <c r="L410" s="102"/>
      <c r="M410" s="21"/>
      <c r="N410" s="52"/>
      <c r="O410" s="52"/>
    </row>
    <row r="411">
      <c r="A411" s="102"/>
      <c r="B411" s="13"/>
      <c r="C411" s="15"/>
      <c r="D411" s="15"/>
      <c r="E411" s="15"/>
      <c r="F411" s="15"/>
      <c r="G411" s="13"/>
      <c r="H411" s="13"/>
      <c r="I411" s="23"/>
      <c r="J411" s="28"/>
      <c r="K411" s="21"/>
      <c r="L411" s="102"/>
      <c r="M411" s="21"/>
      <c r="N411" s="52"/>
      <c r="O411" s="52"/>
    </row>
    <row r="412">
      <c r="A412" s="102"/>
      <c r="B412" s="13"/>
      <c r="C412" s="15"/>
      <c r="D412" s="15"/>
      <c r="E412" s="15"/>
      <c r="F412" s="15"/>
      <c r="G412" s="13"/>
      <c r="H412" s="13"/>
      <c r="I412" s="23"/>
      <c r="J412" s="28"/>
      <c r="K412" s="21"/>
      <c r="L412" s="102"/>
      <c r="M412" s="21"/>
      <c r="N412" s="52"/>
      <c r="O412" s="52"/>
    </row>
    <row r="413">
      <c r="A413" s="102"/>
      <c r="B413" s="13"/>
      <c r="C413" s="15"/>
      <c r="D413" s="15"/>
      <c r="E413" s="15"/>
      <c r="F413" s="15"/>
      <c r="G413" s="13"/>
      <c r="H413" s="13"/>
      <c r="I413" s="23"/>
      <c r="J413" s="28"/>
      <c r="K413" s="21"/>
      <c r="L413" s="102"/>
      <c r="M413" s="21"/>
      <c r="N413" s="52"/>
      <c r="O413" s="52"/>
    </row>
    <row r="414">
      <c r="A414" s="102"/>
      <c r="B414" s="13"/>
      <c r="C414" s="15"/>
      <c r="D414" s="15"/>
      <c r="E414" s="15"/>
      <c r="F414" s="15"/>
      <c r="G414" s="13"/>
      <c r="H414" s="13"/>
      <c r="I414" s="23"/>
      <c r="J414" s="28"/>
      <c r="K414" s="21"/>
      <c r="L414" s="102"/>
      <c r="M414" s="21"/>
      <c r="N414" s="52"/>
      <c r="O414" s="52"/>
    </row>
    <row r="415">
      <c r="A415" s="102"/>
      <c r="B415" s="13"/>
      <c r="C415" s="15"/>
      <c r="D415" s="15"/>
      <c r="E415" s="15"/>
      <c r="F415" s="15"/>
      <c r="G415" s="13"/>
      <c r="H415" s="13"/>
      <c r="I415" s="23"/>
      <c r="J415" s="28"/>
      <c r="K415" s="21"/>
      <c r="L415" s="102"/>
      <c r="M415" s="21"/>
      <c r="N415" s="52"/>
      <c r="O415" s="52"/>
    </row>
    <row r="416">
      <c r="A416" s="102"/>
      <c r="B416" s="13"/>
      <c r="C416" s="15"/>
      <c r="D416" s="15"/>
      <c r="E416" s="15"/>
      <c r="F416" s="15"/>
      <c r="G416" s="13"/>
      <c r="H416" s="13"/>
      <c r="I416" s="23"/>
      <c r="J416" s="28"/>
      <c r="K416" s="21"/>
      <c r="L416" s="102"/>
      <c r="M416" s="21"/>
      <c r="N416" s="52"/>
      <c r="O416" s="52"/>
    </row>
    <row r="417">
      <c r="A417" s="102"/>
      <c r="B417" s="13"/>
      <c r="C417" s="15"/>
      <c r="D417" s="15"/>
      <c r="E417" s="15"/>
      <c r="F417" s="15"/>
      <c r="G417" s="13"/>
      <c r="H417" s="13"/>
      <c r="I417" s="23"/>
      <c r="J417" s="28"/>
      <c r="K417" s="21"/>
      <c r="L417" s="102"/>
      <c r="M417" s="21"/>
      <c r="N417" s="52"/>
      <c r="O417" s="52"/>
    </row>
    <row r="418">
      <c r="A418" s="102"/>
      <c r="B418" s="13"/>
      <c r="C418" s="15"/>
      <c r="D418" s="15"/>
      <c r="E418" s="15"/>
      <c r="F418" s="15"/>
      <c r="G418" s="13"/>
      <c r="H418" s="13"/>
      <c r="I418" s="23"/>
      <c r="J418" s="28"/>
      <c r="K418" s="21"/>
      <c r="L418" s="102"/>
      <c r="M418" s="21"/>
      <c r="N418" s="52"/>
      <c r="O418" s="52"/>
    </row>
    <row r="419">
      <c r="A419" s="102"/>
      <c r="B419" s="13"/>
      <c r="C419" s="15"/>
      <c r="D419" s="15"/>
      <c r="E419" s="15"/>
      <c r="F419" s="15"/>
      <c r="G419" s="13"/>
      <c r="H419" s="13"/>
      <c r="I419" s="23"/>
      <c r="J419" s="28"/>
      <c r="K419" s="21"/>
      <c r="L419" s="102"/>
      <c r="M419" s="21"/>
      <c r="N419" s="52"/>
      <c r="O419" s="52"/>
    </row>
    <row r="420">
      <c r="A420" s="102"/>
      <c r="B420" s="13"/>
      <c r="C420" s="15"/>
      <c r="D420" s="15"/>
      <c r="E420" s="15"/>
      <c r="F420" s="15"/>
      <c r="G420" s="13"/>
      <c r="H420" s="13"/>
      <c r="I420" s="23"/>
      <c r="J420" s="28"/>
      <c r="K420" s="21"/>
      <c r="L420" s="102"/>
      <c r="M420" s="21"/>
      <c r="N420" s="52"/>
      <c r="O420" s="52"/>
    </row>
    <row r="421">
      <c r="A421" s="102"/>
      <c r="B421" s="13"/>
      <c r="C421" s="15"/>
      <c r="D421" s="15"/>
      <c r="E421" s="15"/>
      <c r="F421" s="15"/>
      <c r="G421" s="13"/>
      <c r="H421" s="13"/>
      <c r="I421" s="23"/>
      <c r="J421" s="28"/>
      <c r="K421" s="21"/>
      <c r="L421" s="102"/>
      <c r="M421" s="21"/>
      <c r="N421" s="52"/>
      <c r="O421" s="52"/>
    </row>
    <row r="422">
      <c r="A422" s="102"/>
      <c r="B422" s="13"/>
      <c r="C422" s="15"/>
      <c r="D422" s="15"/>
      <c r="E422" s="15"/>
      <c r="F422" s="15"/>
      <c r="G422" s="13"/>
      <c r="H422" s="13"/>
      <c r="I422" s="23"/>
      <c r="J422" s="28"/>
      <c r="K422" s="21"/>
      <c r="L422" s="102"/>
      <c r="M422" s="21"/>
      <c r="N422" s="52"/>
      <c r="O422" s="52"/>
    </row>
    <row r="423">
      <c r="A423" s="102"/>
      <c r="B423" s="13"/>
      <c r="C423" s="15"/>
      <c r="D423" s="15"/>
      <c r="E423" s="15"/>
      <c r="F423" s="15"/>
      <c r="G423" s="13"/>
      <c r="H423" s="13"/>
      <c r="I423" s="23"/>
      <c r="J423" s="28"/>
      <c r="K423" s="21"/>
      <c r="L423" s="102"/>
      <c r="M423" s="21"/>
      <c r="N423" s="52"/>
      <c r="O423" s="52"/>
    </row>
    <row r="424">
      <c r="A424" s="102"/>
      <c r="B424" s="13"/>
      <c r="C424" s="15"/>
      <c r="D424" s="15"/>
      <c r="E424" s="15"/>
      <c r="F424" s="15"/>
      <c r="G424" s="13"/>
      <c r="H424" s="13"/>
      <c r="I424" s="23"/>
      <c r="J424" s="28"/>
      <c r="K424" s="21"/>
      <c r="L424" s="102"/>
      <c r="M424" s="21"/>
      <c r="N424" s="52"/>
      <c r="O424" s="52"/>
    </row>
    <row r="425">
      <c r="A425" s="102"/>
      <c r="B425" s="13"/>
      <c r="C425" s="15"/>
      <c r="D425" s="15"/>
      <c r="E425" s="15"/>
      <c r="F425" s="15"/>
      <c r="G425" s="13"/>
      <c r="H425" s="13"/>
      <c r="I425" s="23"/>
      <c r="J425" s="28"/>
      <c r="K425" s="21"/>
      <c r="L425" s="102"/>
      <c r="M425" s="21"/>
      <c r="N425" s="52"/>
      <c r="O425" s="52"/>
    </row>
    <row r="426">
      <c r="A426" s="102"/>
      <c r="B426" s="13"/>
      <c r="C426" s="15"/>
      <c r="D426" s="15"/>
      <c r="E426" s="15"/>
      <c r="F426" s="15"/>
      <c r="G426" s="13"/>
      <c r="H426" s="13"/>
      <c r="I426" s="23"/>
      <c r="J426" s="28"/>
      <c r="K426" s="21"/>
      <c r="L426" s="102"/>
      <c r="M426" s="21"/>
      <c r="N426" s="52"/>
      <c r="O426" s="52"/>
    </row>
    <row r="427">
      <c r="A427" s="102"/>
      <c r="B427" s="13"/>
      <c r="C427" s="15"/>
      <c r="D427" s="15"/>
      <c r="E427" s="15"/>
      <c r="F427" s="15"/>
      <c r="G427" s="13"/>
      <c r="H427" s="13"/>
      <c r="I427" s="23"/>
      <c r="J427" s="28"/>
      <c r="K427" s="21"/>
      <c r="L427" s="102"/>
      <c r="M427" s="21"/>
      <c r="N427" s="52"/>
      <c r="O427" s="52"/>
    </row>
    <row r="428">
      <c r="A428" s="102"/>
      <c r="B428" s="13"/>
      <c r="C428" s="15"/>
      <c r="D428" s="15"/>
      <c r="E428" s="15"/>
      <c r="F428" s="15"/>
      <c r="G428" s="13"/>
      <c r="H428" s="13"/>
      <c r="I428" s="23"/>
      <c r="J428" s="28"/>
      <c r="K428" s="21"/>
      <c r="L428" s="102"/>
      <c r="M428" s="21"/>
      <c r="N428" s="52"/>
      <c r="O428" s="52"/>
    </row>
    <row r="429">
      <c r="A429" s="102"/>
      <c r="B429" s="13"/>
      <c r="C429" s="15"/>
      <c r="D429" s="15"/>
      <c r="E429" s="15"/>
      <c r="F429" s="15"/>
      <c r="G429" s="13"/>
      <c r="H429" s="13"/>
      <c r="I429" s="23"/>
      <c r="J429" s="28"/>
      <c r="K429" s="21"/>
      <c r="L429" s="102"/>
      <c r="M429" s="21"/>
      <c r="N429" s="52"/>
      <c r="O429" s="52"/>
    </row>
    <row r="430">
      <c r="A430" s="102"/>
      <c r="B430" s="13"/>
      <c r="C430" s="15"/>
      <c r="D430" s="15"/>
      <c r="E430" s="15"/>
      <c r="F430" s="15"/>
      <c r="G430" s="13"/>
      <c r="H430" s="13"/>
      <c r="I430" s="23"/>
      <c r="J430" s="28"/>
      <c r="K430" s="21"/>
      <c r="L430" s="102"/>
      <c r="M430" s="21"/>
      <c r="N430" s="52"/>
      <c r="O430" s="52"/>
    </row>
    <row r="431">
      <c r="A431" s="102"/>
      <c r="B431" s="13"/>
      <c r="C431" s="15"/>
      <c r="D431" s="15"/>
      <c r="E431" s="15"/>
      <c r="F431" s="15"/>
      <c r="G431" s="13"/>
      <c r="H431" s="13"/>
      <c r="I431" s="23"/>
      <c r="J431" s="28"/>
      <c r="K431" s="21"/>
      <c r="L431" s="102"/>
      <c r="M431" s="21"/>
      <c r="N431" s="52"/>
      <c r="O431" s="52"/>
    </row>
    <row r="432">
      <c r="A432" s="102"/>
      <c r="B432" s="13"/>
      <c r="C432" s="15"/>
      <c r="D432" s="15"/>
      <c r="E432" s="15"/>
      <c r="F432" s="15"/>
      <c r="G432" s="13"/>
      <c r="H432" s="13"/>
      <c r="I432" s="23"/>
      <c r="J432" s="28"/>
      <c r="K432" s="21"/>
      <c r="L432" s="102"/>
      <c r="M432" s="21"/>
      <c r="N432" s="52"/>
      <c r="O432" s="52"/>
    </row>
    <row r="433">
      <c r="A433" s="102"/>
      <c r="B433" s="13"/>
      <c r="C433" s="15"/>
      <c r="D433" s="15"/>
      <c r="E433" s="15"/>
      <c r="F433" s="15"/>
      <c r="G433" s="13"/>
      <c r="H433" s="13"/>
      <c r="I433" s="23"/>
      <c r="J433" s="28"/>
      <c r="K433" s="21"/>
      <c r="L433" s="102"/>
      <c r="M433" s="21"/>
      <c r="N433" s="52"/>
      <c r="O433" s="52"/>
    </row>
    <row r="434">
      <c r="A434" s="102"/>
      <c r="B434" s="13"/>
      <c r="C434" s="15"/>
      <c r="D434" s="15"/>
      <c r="E434" s="15"/>
      <c r="F434" s="15"/>
      <c r="G434" s="13"/>
      <c r="H434" s="13"/>
      <c r="I434" s="23"/>
      <c r="J434" s="28"/>
      <c r="K434" s="21"/>
      <c r="L434" s="102"/>
      <c r="M434" s="21"/>
      <c r="N434" s="52"/>
      <c r="O434" s="52"/>
    </row>
    <row r="435">
      <c r="A435" s="102"/>
      <c r="B435" s="13"/>
      <c r="C435" s="15"/>
      <c r="D435" s="15"/>
      <c r="E435" s="15"/>
      <c r="F435" s="15"/>
      <c r="G435" s="13"/>
      <c r="H435" s="13"/>
      <c r="I435" s="23"/>
      <c r="J435" s="28"/>
      <c r="K435" s="21"/>
      <c r="L435" s="102"/>
      <c r="M435" s="21"/>
      <c r="N435" s="52"/>
      <c r="O435" s="52"/>
    </row>
    <row r="436">
      <c r="A436" s="102"/>
      <c r="B436" s="13"/>
      <c r="C436" s="15"/>
      <c r="D436" s="15"/>
      <c r="E436" s="15"/>
      <c r="F436" s="15"/>
      <c r="G436" s="13"/>
      <c r="H436" s="13"/>
      <c r="I436" s="23"/>
      <c r="J436" s="28"/>
      <c r="K436" s="21"/>
      <c r="L436" s="102"/>
      <c r="M436" s="21"/>
      <c r="N436" s="52"/>
      <c r="O436" s="52"/>
    </row>
    <row r="437">
      <c r="A437" s="102"/>
      <c r="B437" s="13"/>
      <c r="C437" s="15"/>
      <c r="D437" s="15"/>
      <c r="E437" s="15"/>
      <c r="F437" s="15"/>
      <c r="G437" s="13"/>
      <c r="H437" s="13"/>
      <c r="I437" s="23"/>
      <c r="J437" s="28"/>
      <c r="K437" s="21"/>
      <c r="L437" s="102"/>
      <c r="M437" s="21"/>
      <c r="N437" s="52"/>
      <c r="O437" s="52"/>
    </row>
    <row r="438">
      <c r="A438" s="102"/>
      <c r="B438" s="13"/>
      <c r="C438" s="15"/>
      <c r="D438" s="15"/>
      <c r="E438" s="15"/>
      <c r="F438" s="15"/>
      <c r="G438" s="13"/>
      <c r="H438" s="13"/>
      <c r="I438" s="23"/>
      <c r="J438" s="28"/>
      <c r="K438" s="21"/>
      <c r="L438" s="102"/>
      <c r="M438" s="21"/>
      <c r="N438" s="52"/>
      <c r="O438" s="52"/>
    </row>
    <row r="439">
      <c r="A439" s="102"/>
      <c r="B439" s="13"/>
      <c r="C439" s="15"/>
      <c r="D439" s="15"/>
      <c r="E439" s="15"/>
      <c r="F439" s="15"/>
      <c r="G439" s="13"/>
      <c r="H439" s="13"/>
      <c r="I439" s="23"/>
      <c r="J439" s="28"/>
      <c r="K439" s="21"/>
      <c r="L439" s="102"/>
      <c r="M439" s="21"/>
      <c r="N439" s="52"/>
      <c r="O439" s="52"/>
    </row>
    <row r="440">
      <c r="A440" s="102"/>
      <c r="B440" s="13"/>
      <c r="C440" s="15"/>
      <c r="D440" s="15"/>
      <c r="E440" s="15"/>
      <c r="F440" s="15"/>
      <c r="G440" s="13"/>
      <c r="H440" s="13"/>
      <c r="I440" s="23"/>
      <c r="J440" s="28"/>
      <c r="K440" s="21"/>
      <c r="L440" s="102"/>
      <c r="M440" s="21"/>
      <c r="N440" s="52"/>
      <c r="O440" s="52"/>
    </row>
    <row r="441">
      <c r="A441" s="102"/>
      <c r="B441" s="13"/>
      <c r="C441" s="15"/>
      <c r="D441" s="15"/>
      <c r="E441" s="15"/>
      <c r="F441" s="15"/>
      <c r="G441" s="13"/>
      <c r="H441" s="13"/>
      <c r="I441" s="23"/>
      <c r="J441" s="28"/>
      <c r="K441" s="21"/>
      <c r="L441" s="102"/>
      <c r="M441" s="21"/>
      <c r="N441" s="52"/>
      <c r="O441" s="52"/>
    </row>
    <row r="442">
      <c r="A442" s="102"/>
      <c r="B442" s="13"/>
      <c r="C442" s="15"/>
      <c r="D442" s="15"/>
      <c r="E442" s="15"/>
      <c r="F442" s="15"/>
      <c r="G442" s="13"/>
      <c r="H442" s="13"/>
      <c r="I442" s="23"/>
      <c r="J442" s="28"/>
      <c r="K442" s="21"/>
      <c r="L442" s="102"/>
      <c r="M442" s="21"/>
      <c r="N442" s="52"/>
      <c r="O442" s="52"/>
    </row>
    <row r="443">
      <c r="A443" s="102"/>
      <c r="B443" s="13"/>
      <c r="C443" s="15"/>
      <c r="D443" s="15"/>
      <c r="E443" s="15"/>
      <c r="F443" s="15"/>
      <c r="G443" s="13"/>
      <c r="H443" s="13"/>
      <c r="I443" s="23"/>
      <c r="J443" s="28"/>
      <c r="K443" s="21"/>
      <c r="L443" s="102"/>
      <c r="M443" s="21"/>
      <c r="N443" s="52"/>
      <c r="O443" s="52"/>
    </row>
    <row r="444">
      <c r="A444" s="102"/>
      <c r="B444" s="13"/>
      <c r="C444" s="15"/>
      <c r="D444" s="15"/>
      <c r="E444" s="15"/>
      <c r="F444" s="15"/>
      <c r="G444" s="13"/>
      <c r="H444" s="13"/>
      <c r="I444" s="23"/>
      <c r="J444" s="28"/>
      <c r="K444" s="21"/>
      <c r="L444" s="102"/>
      <c r="M444" s="21"/>
      <c r="N444" s="52"/>
      <c r="O444" s="52"/>
    </row>
    <row r="445">
      <c r="A445" s="102"/>
      <c r="B445" s="13"/>
      <c r="C445" s="15"/>
      <c r="D445" s="15"/>
      <c r="E445" s="15"/>
      <c r="F445" s="15"/>
      <c r="G445" s="13"/>
      <c r="H445" s="13"/>
      <c r="I445" s="23"/>
      <c r="J445" s="28"/>
      <c r="K445" s="21"/>
      <c r="L445" s="102"/>
      <c r="M445" s="21"/>
      <c r="N445" s="52"/>
      <c r="O445" s="52"/>
    </row>
    <row r="446">
      <c r="A446" s="102"/>
      <c r="B446" s="13"/>
      <c r="C446" s="15"/>
      <c r="D446" s="15"/>
      <c r="E446" s="15"/>
      <c r="F446" s="15"/>
      <c r="G446" s="13"/>
      <c r="H446" s="13"/>
      <c r="I446" s="23"/>
      <c r="J446" s="28"/>
      <c r="K446" s="21"/>
      <c r="L446" s="102"/>
      <c r="M446" s="21"/>
      <c r="N446" s="52"/>
      <c r="O446" s="52"/>
    </row>
    <row r="447">
      <c r="A447" s="102"/>
      <c r="B447" s="13"/>
      <c r="C447" s="15"/>
      <c r="D447" s="15"/>
      <c r="E447" s="15"/>
      <c r="F447" s="15"/>
      <c r="G447" s="13"/>
      <c r="H447" s="13"/>
      <c r="I447" s="23"/>
      <c r="J447" s="28"/>
      <c r="K447" s="21"/>
      <c r="L447" s="102"/>
      <c r="M447" s="21"/>
      <c r="N447" s="52"/>
      <c r="O447" s="52"/>
    </row>
    <row r="448">
      <c r="A448" s="102"/>
      <c r="B448" s="13"/>
      <c r="C448" s="15"/>
      <c r="D448" s="15"/>
      <c r="E448" s="15"/>
      <c r="F448" s="15"/>
      <c r="G448" s="13"/>
      <c r="H448" s="13"/>
      <c r="I448" s="23"/>
      <c r="J448" s="28"/>
      <c r="K448" s="21"/>
      <c r="L448" s="102"/>
      <c r="M448" s="21"/>
      <c r="N448" s="52"/>
      <c r="O448" s="52"/>
    </row>
    <row r="449">
      <c r="A449" s="102"/>
      <c r="B449" s="13"/>
      <c r="C449" s="15"/>
      <c r="D449" s="15"/>
      <c r="E449" s="15"/>
      <c r="F449" s="15"/>
      <c r="G449" s="13"/>
      <c r="H449" s="13"/>
      <c r="I449" s="23"/>
      <c r="J449" s="28"/>
      <c r="K449" s="21"/>
      <c r="L449" s="102"/>
      <c r="M449" s="21"/>
      <c r="N449" s="52"/>
      <c r="O449" s="52"/>
    </row>
    <row r="450">
      <c r="A450" s="102"/>
      <c r="B450" s="13"/>
      <c r="C450" s="15"/>
      <c r="D450" s="15"/>
      <c r="E450" s="15"/>
      <c r="F450" s="15"/>
      <c r="G450" s="13"/>
      <c r="H450" s="13"/>
      <c r="I450" s="23"/>
      <c r="J450" s="28"/>
      <c r="K450" s="21"/>
      <c r="L450" s="102"/>
      <c r="M450" s="21"/>
      <c r="N450" s="52"/>
      <c r="O450" s="52"/>
    </row>
    <row r="451">
      <c r="A451" s="102"/>
      <c r="B451" s="13"/>
      <c r="C451" s="15"/>
      <c r="D451" s="15"/>
      <c r="E451" s="15"/>
      <c r="F451" s="15"/>
      <c r="G451" s="13"/>
      <c r="H451" s="13"/>
      <c r="I451" s="23"/>
      <c r="J451" s="28"/>
      <c r="K451" s="21"/>
      <c r="L451" s="102"/>
      <c r="M451" s="21"/>
      <c r="N451" s="52"/>
      <c r="O451" s="52"/>
    </row>
    <row r="452">
      <c r="A452" s="102"/>
      <c r="B452" s="13"/>
      <c r="C452" s="15"/>
      <c r="D452" s="15"/>
      <c r="E452" s="15"/>
      <c r="F452" s="15"/>
      <c r="G452" s="13"/>
      <c r="H452" s="13"/>
      <c r="I452" s="23"/>
      <c r="J452" s="28"/>
      <c r="K452" s="21"/>
      <c r="L452" s="102"/>
      <c r="M452" s="21"/>
      <c r="N452" s="52"/>
      <c r="O452" s="52"/>
    </row>
    <row r="453">
      <c r="A453" s="102"/>
      <c r="B453" s="13"/>
      <c r="C453" s="15"/>
      <c r="D453" s="15"/>
      <c r="E453" s="15"/>
      <c r="F453" s="15"/>
      <c r="G453" s="13"/>
      <c r="H453" s="13"/>
      <c r="I453" s="23"/>
      <c r="J453" s="28"/>
      <c r="K453" s="21"/>
      <c r="L453" s="102"/>
      <c r="M453" s="21"/>
      <c r="N453" s="52"/>
      <c r="O453" s="52"/>
    </row>
    <row r="454">
      <c r="A454" s="102"/>
      <c r="B454" s="13"/>
      <c r="C454" s="15"/>
      <c r="D454" s="15"/>
      <c r="E454" s="15"/>
      <c r="F454" s="15"/>
      <c r="G454" s="13"/>
      <c r="H454" s="13"/>
      <c r="I454" s="23"/>
      <c r="J454" s="28"/>
      <c r="K454" s="21"/>
      <c r="L454" s="102"/>
      <c r="M454" s="21"/>
      <c r="N454" s="52"/>
      <c r="O454" s="52"/>
    </row>
    <row r="455">
      <c r="A455" s="102"/>
      <c r="B455" s="13"/>
      <c r="C455" s="15"/>
      <c r="D455" s="15"/>
      <c r="E455" s="15"/>
      <c r="F455" s="15"/>
      <c r="G455" s="13"/>
      <c r="H455" s="13"/>
      <c r="I455" s="23"/>
      <c r="J455" s="28"/>
      <c r="K455" s="21"/>
      <c r="L455" s="102"/>
      <c r="M455" s="21"/>
      <c r="N455" s="52"/>
      <c r="O455" s="52"/>
    </row>
    <row r="456">
      <c r="A456" s="102"/>
      <c r="B456" s="13"/>
      <c r="C456" s="15"/>
      <c r="D456" s="15"/>
      <c r="E456" s="15"/>
      <c r="F456" s="15"/>
      <c r="G456" s="13"/>
      <c r="H456" s="13"/>
      <c r="I456" s="23"/>
      <c r="J456" s="28"/>
      <c r="K456" s="21"/>
      <c r="L456" s="102"/>
      <c r="M456" s="21"/>
      <c r="N456" s="52"/>
      <c r="O456" s="52"/>
    </row>
    <row r="457">
      <c r="A457" s="102"/>
      <c r="B457" s="13"/>
      <c r="C457" s="15"/>
      <c r="D457" s="15"/>
      <c r="E457" s="15"/>
      <c r="F457" s="15"/>
      <c r="G457" s="13"/>
      <c r="H457" s="13"/>
      <c r="I457" s="23"/>
      <c r="J457" s="28"/>
      <c r="K457" s="21"/>
      <c r="L457" s="102"/>
      <c r="M457" s="21"/>
      <c r="N457" s="52"/>
      <c r="O457" s="52"/>
    </row>
    <row r="458">
      <c r="A458" s="102"/>
      <c r="B458" s="13"/>
      <c r="C458" s="15"/>
      <c r="D458" s="15"/>
      <c r="E458" s="15"/>
      <c r="F458" s="15"/>
      <c r="G458" s="13"/>
      <c r="H458" s="13"/>
      <c r="I458" s="23"/>
      <c r="J458" s="28"/>
      <c r="K458" s="21"/>
      <c r="L458" s="102"/>
      <c r="M458" s="21"/>
      <c r="N458" s="52"/>
      <c r="O458" s="52"/>
    </row>
    <row r="459">
      <c r="A459" s="102"/>
      <c r="B459" s="13"/>
      <c r="C459" s="15"/>
      <c r="D459" s="15"/>
      <c r="E459" s="15"/>
      <c r="F459" s="15"/>
      <c r="G459" s="13"/>
      <c r="H459" s="13"/>
      <c r="I459" s="23"/>
      <c r="J459" s="28"/>
      <c r="K459" s="21"/>
      <c r="L459" s="102"/>
      <c r="M459" s="21"/>
      <c r="N459" s="52"/>
      <c r="O459" s="52"/>
    </row>
    <row r="460">
      <c r="A460" s="102"/>
      <c r="B460" s="13"/>
      <c r="C460" s="15"/>
      <c r="D460" s="15"/>
      <c r="E460" s="15"/>
      <c r="F460" s="15"/>
      <c r="G460" s="13"/>
      <c r="H460" s="13"/>
      <c r="I460" s="23"/>
      <c r="J460" s="28"/>
      <c r="K460" s="21"/>
      <c r="L460" s="102"/>
      <c r="M460" s="21"/>
      <c r="N460" s="52"/>
      <c r="O460" s="52"/>
    </row>
    <row r="461">
      <c r="A461" s="102"/>
      <c r="B461" s="13"/>
      <c r="C461" s="15"/>
      <c r="D461" s="15"/>
      <c r="E461" s="15"/>
      <c r="F461" s="15"/>
      <c r="G461" s="13"/>
      <c r="H461" s="13"/>
      <c r="I461" s="23"/>
      <c r="J461" s="28"/>
      <c r="K461" s="21"/>
      <c r="L461" s="102"/>
      <c r="M461" s="21"/>
      <c r="N461" s="52"/>
      <c r="O461" s="52"/>
    </row>
    <row r="462">
      <c r="A462" s="102"/>
      <c r="B462" s="13"/>
      <c r="C462" s="15"/>
      <c r="D462" s="15"/>
      <c r="E462" s="15"/>
      <c r="F462" s="15"/>
      <c r="G462" s="13"/>
      <c r="H462" s="13"/>
      <c r="I462" s="23"/>
      <c r="J462" s="28"/>
      <c r="K462" s="21"/>
      <c r="L462" s="102"/>
      <c r="M462" s="21"/>
      <c r="N462" s="52"/>
      <c r="O462" s="52"/>
    </row>
    <row r="463">
      <c r="A463" s="102"/>
      <c r="B463" s="13"/>
      <c r="C463" s="15"/>
      <c r="D463" s="15"/>
      <c r="E463" s="15"/>
      <c r="F463" s="15"/>
      <c r="G463" s="13"/>
      <c r="H463" s="13"/>
      <c r="I463" s="23"/>
      <c r="J463" s="28"/>
      <c r="K463" s="21"/>
      <c r="L463" s="102"/>
      <c r="M463" s="21"/>
      <c r="N463" s="52"/>
      <c r="O463" s="52"/>
    </row>
    <row r="464">
      <c r="A464" s="102"/>
      <c r="B464" s="13"/>
      <c r="C464" s="15"/>
      <c r="D464" s="15"/>
      <c r="E464" s="15"/>
      <c r="F464" s="15"/>
      <c r="G464" s="13"/>
      <c r="H464" s="13"/>
      <c r="I464" s="23"/>
      <c r="J464" s="28"/>
      <c r="K464" s="21"/>
      <c r="L464" s="102"/>
      <c r="M464" s="21"/>
      <c r="N464" s="52"/>
      <c r="O464" s="52"/>
    </row>
    <row r="465">
      <c r="A465" s="102"/>
      <c r="B465" s="13"/>
      <c r="C465" s="15"/>
      <c r="D465" s="15"/>
      <c r="E465" s="15"/>
      <c r="F465" s="15"/>
      <c r="G465" s="13"/>
      <c r="H465" s="13"/>
      <c r="I465" s="23"/>
      <c r="J465" s="28"/>
      <c r="K465" s="21"/>
      <c r="L465" s="102"/>
      <c r="M465" s="21"/>
      <c r="N465" s="52"/>
      <c r="O465" s="52"/>
    </row>
    <row r="466">
      <c r="A466" s="102"/>
      <c r="B466" s="13"/>
      <c r="C466" s="15"/>
      <c r="D466" s="15"/>
      <c r="E466" s="15"/>
      <c r="F466" s="15"/>
      <c r="G466" s="13"/>
      <c r="H466" s="13"/>
      <c r="I466" s="23"/>
      <c r="J466" s="28"/>
      <c r="K466" s="21"/>
      <c r="L466" s="102"/>
      <c r="M466" s="21"/>
      <c r="N466" s="52"/>
      <c r="O466" s="52"/>
    </row>
    <row r="467">
      <c r="A467" s="102"/>
      <c r="B467" s="13"/>
      <c r="C467" s="15"/>
      <c r="D467" s="15"/>
      <c r="E467" s="15"/>
      <c r="F467" s="15"/>
      <c r="G467" s="13"/>
      <c r="H467" s="13"/>
      <c r="I467" s="23"/>
      <c r="J467" s="28"/>
      <c r="K467" s="21"/>
      <c r="L467" s="102"/>
      <c r="M467" s="21"/>
      <c r="N467" s="52"/>
      <c r="O467" s="52"/>
    </row>
    <row r="468">
      <c r="A468" s="102"/>
      <c r="B468" s="13"/>
      <c r="C468" s="15"/>
      <c r="D468" s="15"/>
      <c r="E468" s="15"/>
      <c r="F468" s="15"/>
      <c r="G468" s="13"/>
      <c r="H468" s="13"/>
      <c r="I468" s="23"/>
      <c r="J468" s="28"/>
      <c r="K468" s="21"/>
      <c r="L468" s="102"/>
      <c r="M468" s="21"/>
      <c r="N468" s="52"/>
      <c r="O468" s="52"/>
    </row>
    <row r="469">
      <c r="A469" s="102"/>
      <c r="B469" s="13"/>
      <c r="C469" s="15"/>
      <c r="D469" s="15"/>
      <c r="E469" s="15"/>
      <c r="F469" s="15"/>
      <c r="G469" s="13"/>
      <c r="H469" s="13"/>
      <c r="I469" s="23"/>
      <c r="J469" s="28"/>
      <c r="K469" s="21"/>
      <c r="L469" s="102"/>
      <c r="M469" s="21"/>
      <c r="N469" s="52"/>
      <c r="O469" s="52"/>
    </row>
    <row r="470">
      <c r="A470" s="102"/>
      <c r="B470" s="13"/>
      <c r="C470" s="15"/>
      <c r="D470" s="15"/>
      <c r="E470" s="15"/>
      <c r="F470" s="15"/>
      <c r="G470" s="13"/>
      <c r="H470" s="13"/>
      <c r="I470" s="23"/>
      <c r="J470" s="28"/>
      <c r="K470" s="21"/>
      <c r="L470" s="102"/>
      <c r="M470" s="21"/>
      <c r="N470" s="52"/>
      <c r="O470" s="52"/>
    </row>
    <row r="471">
      <c r="A471" s="102"/>
      <c r="B471" s="13"/>
      <c r="C471" s="15"/>
      <c r="D471" s="15"/>
      <c r="E471" s="15"/>
      <c r="F471" s="15"/>
      <c r="G471" s="13"/>
      <c r="H471" s="13"/>
      <c r="I471" s="23"/>
      <c r="J471" s="28"/>
      <c r="K471" s="21"/>
      <c r="L471" s="102"/>
      <c r="M471" s="21"/>
      <c r="N471" s="52"/>
      <c r="O471" s="52"/>
    </row>
    <row r="472">
      <c r="A472" s="102"/>
      <c r="B472" s="13"/>
      <c r="C472" s="15"/>
      <c r="D472" s="15"/>
      <c r="E472" s="15"/>
      <c r="F472" s="15"/>
      <c r="G472" s="13"/>
      <c r="H472" s="13"/>
      <c r="I472" s="23"/>
      <c r="J472" s="28"/>
      <c r="K472" s="21"/>
      <c r="L472" s="102"/>
      <c r="M472" s="21"/>
      <c r="N472" s="52"/>
      <c r="O472" s="52"/>
    </row>
    <row r="473">
      <c r="A473" s="102"/>
      <c r="B473" s="13"/>
      <c r="C473" s="15"/>
      <c r="D473" s="15"/>
      <c r="E473" s="15"/>
      <c r="F473" s="15"/>
      <c r="G473" s="13"/>
      <c r="H473" s="13"/>
      <c r="I473" s="23"/>
      <c r="J473" s="28"/>
      <c r="K473" s="21"/>
      <c r="L473" s="102"/>
      <c r="M473" s="21"/>
      <c r="N473" s="52"/>
      <c r="O473" s="52"/>
    </row>
    <row r="474">
      <c r="A474" s="102"/>
      <c r="B474" s="13"/>
      <c r="C474" s="15"/>
      <c r="D474" s="15"/>
      <c r="E474" s="15"/>
      <c r="F474" s="15"/>
      <c r="G474" s="13"/>
      <c r="H474" s="13"/>
      <c r="I474" s="23"/>
      <c r="J474" s="28"/>
      <c r="K474" s="21"/>
      <c r="L474" s="102"/>
      <c r="M474" s="21"/>
      <c r="N474" s="52"/>
      <c r="O474" s="52"/>
    </row>
    <row r="475">
      <c r="A475" s="102"/>
      <c r="B475" s="13"/>
      <c r="C475" s="15"/>
      <c r="D475" s="15"/>
      <c r="E475" s="15"/>
      <c r="F475" s="15"/>
      <c r="G475" s="13"/>
      <c r="H475" s="13"/>
      <c r="I475" s="23"/>
      <c r="J475" s="28"/>
      <c r="K475" s="21"/>
      <c r="L475" s="102"/>
      <c r="M475" s="21"/>
      <c r="N475" s="52"/>
      <c r="O475" s="52"/>
    </row>
    <row r="476">
      <c r="A476" s="102"/>
      <c r="B476" s="13"/>
      <c r="C476" s="15"/>
      <c r="D476" s="15"/>
      <c r="E476" s="15"/>
      <c r="F476" s="15"/>
      <c r="G476" s="13"/>
      <c r="H476" s="13"/>
      <c r="I476" s="23"/>
      <c r="J476" s="28"/>
      <c r="K476" s="21"/>
      <c r="L476" s="102"/>
      <c r="M476" s="21"/>
      <c r="N476" s="52"/>
      <c r="O476" s="52"/>
    </row>
    <row r="477">
      <c r="A477" s="102"/>
      <c r="B477" s="13"/>
      <c r="C477" s="15"/>
      <c r="D477" s="15"/>
      <c r="E477" s="15"/>
      <c r="F477" s="15"/>
      <c r="G477" s="13"/>
      <c r="H477" s="13"/>
      <c r="I477" s="23"/>
      <c r="J477" s="28"/>
      <c r="K477" s="21"/>
      <c r="L477" s="102"/>
      <c r="M477" s="21"/>
      <c r="N477" s="52"/>
      <c r="O477" s="52"/>
    </row>
    <row r="478">
      <c r="A478" s="102"/>
      <c r="B478" s="13"/>
      <c r="C478" s="15"/>
      <c r="D478" s="15"/>
      <c r="E478" s="15"/>
      <c r="F478" s="15"/>
      <c r="G478" s="13"/>
      <c r="H478" s="13"/>
      <c r="I478" s="23"/>
      <c r="J478" s="28"/>
      <c r="K478" s="21"/>
      <c r="L478" s="102"/>
      <c r="M478" s="21"/>
      <c r="N478" s="52"/>
      <c r="O478" s="52"/>
    </row>
    <row r="479">
      <c r="A479" s="102"/>
      <c r="B479" s="13"/>
      <c r="C479" s="15"/>
      <c r="D479" s="15"/>
      <c r="E479" s="15"/>
      <c r="F479" s="15"/>
      <c r="G479" s="13"/>
      <c r="H479" s="13"/>
      <c r="I479" s="23"/>
      <c r="J479" s="28"/>
      <c r="K479" s="21"/>
      <c r="L479" s="102"/>
      <c r="M479" s="21"/>
      <c r="N479" s="52"/>
      <c r="O479" s="52"/>
    </row>
    <row r="480">
      <c r="A480" s="102"/>
      <c r="B480" s="13"/>
      <c r="C480" s="15"/>
      <c r="D480" s="15"/>
      <c r="E480" s="15"/>
      <c r="F480" s="15"/>
      <c r="G480" s="13"/>
      <c r="H480" s="13"/>
      <c r="I480" s="23"/>
      <c r="J480" s="28"/>
      <c r="K480" s="21"/>
      <c r="L480" s="102"/>
      <c r="M480" s="21"/>
      <c r="N480" s="52"/>
      <c r="O480" s="52"/>
    </row>
    <row r="481">
      <c r="A481" s="102"/>
      <c r="B481" s="13"/>
      <c r="C481" s="15"/>
      <c r="D481" s="15"/>
      <c r="E481" s="15"/>
      <c r="F481" s="15"/>
      <c r="G481" s="13"/>
      <c r="H481" s="13"/>
      <c r="I481" s="23"/>
      <c r="J481" s="28"/>
      <c r="K481" s="21"/>
      <c r="L481" s="102"/>
      <c r="M481" s="21"/>
      <c r="N481" s="52"/>
      <c r="O481" s="52"/>
    </row>
    <row r="482">
      <c r="A482" s="102"/>
      <c r="B482" s="13"/>
      <c r="C482" s="15"/>
      <c r="D482" s="15"/>
      <c r="E482" s="15"/>
      <c r="F482" s="15"/>
      <c r="G482" s="13"/>
      <c r="H482" s="13"/>
      <c r="I482" s="23"/>
      <c r="J482" s="28"/>
      <c r="K482" s="21"/>
      <c r="L482" s="102"/>
      <c r="M482" s="21"/>
      <c r="N482" s="52"/>
      <c r="O482" s="52"/>
    </row>
    <row r="483">
      <c r="A483" s="102"/>
      <c r="B483" s="13"/>
      <c r="C483" s="15"/>
      <c r="D483" s="15"/>
      <c r="E483" s="15"/>
      <c r="F483" s="15"/>
      <c r="G483" s="13"/>
      <c r="H483" s="13"/>
      <c r="I483" s="23"/>
      <c r="J483" s="28"/>
      <c r="K483" s="21"/>
      <c r="L483" s="102"/>
      <c r="M483" s="21"/>
      <c r="N483" s="52"/>
      <c r="O483" s="52"/>
    </row>
    <row r="484">
      <c r="A484" s="102"/>
      <c r="B484" s="13"/>
      <c r="C484" s="15"/>
      <c r="D484" s="15"/>
      <c r="E484" s="15"/>
      <c r="F484" s="15"/>
      <c r="G484" s="13"/>
      <c r="H484" s="13"/>
      <c r="I484" s="23"/>
      <c r="J484" s="28"/>
      <c r="K484" s="21"/>
      <c r="L484" s="102"/>
      <c r="M484" s="21"/>
      <c r="N484" s="52"/>
      <c r="O484" s="52"/>
    </row>
    <row r="485">
      <c r="A485" s="102"/>
      <c r="B485" s="13"/>
      <c r="C485" s="15"/>
      <c r="D485" s="15"/>
      <c r="E485" s="15"/>
      <c r="F485" s="15"/>
      <c r="G485" s="13"/>
      <c r="H485" s="13"/>
      <c r="I485" s="23"/>
      <c r="J485" s="28"/>
      <c r="K485" s="21"/>
      <c r="L485" s="102"/>
      <c r="M485" s="21"/>
      <c r="N485" s="52"/>
      <c r="O485" s="52"/>
    </row>
    <row r="486">
      <c r="A486" s="102"/>
      <c r="B486" s="13"/>
      <c r="C486" s="15"/>
      <c r="D486" s="15"/>
      <c r="E486" s="15"/>
      <c r="F486" s="15"/>
      <c r="G486" s="13"/>
      <c r="H486" s="13"/>
      <c r="I486" s="23"/>
      <c r="J486" s="28"/>
      <c r="K486" s="21"/>
      <c r="L486" s="102"/>
      <c r="M486" s="21"/>
      <c r="N486" s="52"/>
      <c r="O486" s="52"/>
    </row>
    <row r="487">
      <c r="A487" s="102"/>
      <c r="B487" s="13"/>
      <c r="C487" s="15"/>
      <c r="D487" s="15"/>
      <c r="E487" s="15"/>
      <c r="F487" s="15"/>
      <c r="G487" s="13"/>
      <c r="H487" s="13"/>
      <c r="I487" s="23"/>
      <c r="J487" s="28"/>
      <c r="K487" s="21"/>
      <c r="L487" s="102"/>
      <c r="M487" s="21"/>
      <c r="N487" s="52"/>
      <c r="O487" s="52"/>
    </row>
    <row r="488">
      <c r="A488" s="102"/>
      <c r="B488" s="13"/>
      <c r="C488" s="15"/>
      <c r="D488" s="15"/>
      <c r="E488" s="15"/>
      <c r="F488" s="15"/>
      <c r="G488" s="13"/>
      <c r="H488" s="13"/>
      <c r="I488" s="23"/>
      <c r="J488" s="28"/>
      <c r="K488" s="21"/>
      <c r="L488" s="102"/>
      <c r="M488" s="21"/>
      <c r="N488" s="52"/>
      <c r="O488" s="52"/>
    </row>
    <row r="489">
      <c r="A489" s="102"/>
      <c r="B489" s="13"/>
      <c r="C489" s="15"/>
      <c r="D489" s="15"/>
      <c r="E489" s="15"/>
      <c r="F489" s="15"/>
      <c r="G489" s="13"/>
      <c r="H489" s="13"/>
      <c r="I489" s="23"/>
      <c r="J489" s="28"/>
      <c r="K489" s="21"/>
      <c r="L489" s="102"/>
      <c r="M489" s="21"/>
      <c r="N489" s="52"/>
      <c r="O489" s="52"/>
    </row>
    <row r="490">
      <c r="A490" s="102"/>
      <c r="B490" s="13"/>
      <c r="C490" s="15"/>
      <c r="D490" s="15"/>
      <c r="E490" s="15"/>
      <c r="F490" s="15"/>
      <c r="G490" s="13"/>
      <c r="H490" s="13"/>
      <c r="I490" s="23"/>
      <c r="J490" s="28"/>
      <c r="K490" s="21"/>
      <c r="L490" s="102"/>
      <c r="M490" s="21"/>
      <c r="N490" s="52"/>
      <c r="O490" s="52"/>
    </row>
    <row r="491">
      <c r="A491" s="102"/>
      <c r="B491" s="13"/>
      <c r="C491" s="15"/>
      <c r="D491" s="15"/>
      <c r="E491" s="15"/>
      <c r="F491" s="15"/>
      <c r="G491" s="13"/>
      <c r="H491" s="13"/>
      <c r="I491" s="23"/>
      <c r="J491" s="28"/>
      <c r="K491" s="21"/>
      <c r="L491" s="102"/>
      <c r="M491" s="21"/>
      <c r="N491" s="52"/>
      <c r="O491" s="52"/>
    </row>
    <row r="492">
      <c r="A492" s="102"/>
      <c r="B492" s="13"/>
      <c r="C492" s="15"/>
      <c r="D492" s="15"/>
      <c r="E492" s="15"/>
      <c r="F492" s="15"/>
      <c r="G492" s="13"/>
      <c r="H492" s="13"/>
      <c r="I492" s="23"/>
      <c r="J492" s="28"/>
      <c r="K492" s="21"/>
      <c r="L492" s="102"/>
      <c r="M492" s="21"/>
      <c r="N492" s="52"/>
      <c r="O492" s="52"/>
    </row>
    <row r="493">
      <c r="A493" s="102"/>
      <c r="B493" s="13"/>
      <c r="C493" s="15"/>
      <c r="D493" s="15"/>
      <c r="E493" s="15"/>
      <c r="F493" s="15"/>
      <c r="G493" s="13"/>
      <c r="H493" s="13"/>
      <c r="I493" s="23"/>
      <c r="J493" s="28"/>
      <c r="K493" s="21"/>
      <c r="L493" s="102"/>
      <c r="M493" s="21"/>
      <c r="N493" s="52"/>
      <c r="O493" s="52"/>
    </row>
    <row r="494">
      <c r="A494" s="102"/>
      <c r="B494" s="13"/>
      <c r="C494" s="15"/>
      <c r="D494" s="15"/>
      <c r="E494" s="15"/>
      <c r="F494" s="15"/>
      <c r="G494" s="13"/>
      <c r="H494" s="13"/>
      <c r="I494" s="23"/>
      <c r="J494" s="28"/>
      <c r="K494" s="21"/>
      <c r="L494" s="102"/>
      <c r="M494" s="21"/>
      <c r="N494" s="52"/>
      <c r="O494" s="52"/>
    </row>
    <row r="495">
      <c r="A495" s="102"/>
      <c r="B495" s="13"/>
      <c r="C495" s="15"/>
      <c r="D495" s="15"/>
      <c r="E495" s="15"/>
      <c r="F495" s="15"/>
      <c r="G495" s="13"/>
      <c r="H495" s="13"/>
      <c r="I495" s="23"/>
      <c r="J495" s="28"/>
      <c r="K495" s="21"/>
      <c r="L495" s="102"/>
      <c r="M495" s="21"/>
      <c r="N495" s="52"/>
      <c r="O495" s="52"/>
    </row>
    <row r="496">
      <c r="A496" s="102"/>
      <c r="B496" s="13"/>
      <c r="C496" s="15"/>
      <c r="D496" s="15"/>
      <c r="E496" s="15"/>
      <c r="F496" s="15"/>
      <c r="G496" s="13"/>
      <c r="H496" s="13"/>
      <c r="I496" s="23"/>
      <c r="J496" s="28"/>
      <c r="K496" s="21"/>
      <c r="L496" s="102"/>
      <c r="M496" s="21"/>
      <c r="N496" s="52"/>
      <c r="O496" s="52"/>
    </row>
    <row r="497">
      <c r="A497" s="102"/>
      <c r="B497" s="13"/>
      <c r="C497" s="15"/>
      <c r="D497" s="15"/>
      <c r="E497" s="15"/>
      <c r="F497" s="15"/>
      <c r="G497" s="13"/>
      <c r="H497" s="13"/>
      <c r="I497" s="23"/>
      <c r="J497" s="28"/>
      <c r="K497" s="21"/>
      <c r="L497" s="102"/>
      <c r="M497" s="21"/>
      <c r="N497" s="52"/>
      <c r="O497" s="52"/>
    </row>
    <row r="498">
      <c r="A498" s="102"/>
      <c r="B498" s="13"/>
      <c r="C498" s="15"/>
      <c r="D498" s="15"/>
      <c r="E498" s="15"/>
      <c r="F498" s="15"/>
      <c r="G498" s="13"/>
      <c r="H498" s="13"/>
      <c r="I498" s="23"/>
      <c r="J498" s="28"/>
      <c r="K498" s="21"/>
      <c r="L498" s="102"/>
      <c r="M498" s="21"/>
      <c r="N498" s="52"/>
      <c r="O498" s="52"/>
    </row>
    <row r="499">
      <c r="A499" s="102"/>
      <c r="B499" s="13"/>
      <c r="C499" s="15"/>
      <c r="D499" s="15"/>
      <c r="E499" s="15"/>
      <c r="F499" s="15"/>
      <c r="G499" s="13"/>
      <c r="H499" s="13"/>
      <c r="I499" s="23"/>
      <c r="J499" s="28"/>
      <c r="K499" s="21"/>
      <c r="L499" s="102"/>
      <c r="M499" s="21"/>
      <c r="N499" s="52"/>
      <c r="O499" s="52"/>
    </row>
    <row r="500">
      <c r="A500" s="102"/>
      <c r="B500" s="13"/>
      <c r="C500" s="15"/>
      <c r="D500" s="15"/>
      <c r="E500" s="15"/>
      <c r="F500" s="15"/>
      <c r="G500" s="13"/>
      <c r="H500" s="13"/>
      <c r="I500" s="23"/>
      <c r="J500" s="28"/>
      <c r="K500" s="21"/>
      <c r="L500" s="102"/>
      <c r="M500" s="21"/>
      <c r="N500" s="52"/>
      <c r="O500" s="52"/>
    </row>
    <row r="501">
      <c r="A501" s="102"/>
      <c r="B501" s="13"/>
      <c r="C501" s="15"/>
      <c r="D501" s="15"/>
      <c r="E501" s="15"/>
      <c r="F501" s="15"/>
      <c r="G501" s="13"/>
      <c r="H501" s="13"/>
      <c r="I501" s="23"/>
      <c r="J501" s="28"/>
      <c r="K501" s="21"/>
      <c r="L501" s="102"/>
      <c r="M501" s="21"/>
      <c r="N501" s="52"/>
      <c r="O501" s="52"/>
    </row>
    <row r="502">
      <c r="A502" s="102"/>
      <c r="B502" s="13"/>
      <c r="C502" s="15"/>
      <c r="D502" s="15"/>
      <c r="E502" s="15"/>
      <c r="F502" s="15"/>
      <c r="G502" s="13"/>
      <c r="H502" s="13"/>
      <c r="I502" s="23"/>
      <c r="J502" s="28"/>
      <c r="K502" s="21"/>
      <c r="L502" s="102"/>
      <c r="M502" s="21"/>
      <c r="N502" s="52"/>
      <c r="O502" s="52"/>
    </row>
    <row r="503">
      <c r="A503" s="102"/>
      <c r="B503" s="13"/>
      <c r="C503" s="15"/>
      <c r="D503" s="15"/>
      <c r="E503" s="15"/>
      <c r="F503" s="15"/>
      <c r="G503" s="13"/>
      <c r="H503" s="13"/>
      <c r="I503" s="23"/>
      <c r="J503" s="28"/>
      <c r="K503" s="21"/>
      <c r="L503" s="102"/>
      <c r="M503" s="21"/>
      <c r="N503" s="52"/>
      <c r="O503" s="52"/>
    </row>
    <row r="504">
      <c r="A504" s="102"/>
      <c r="B504" s="13"/>
      <c r="C504" s="15"/>
      <c r="D504" s="15"/>
      <c r="E504" s="15"/>
      <c r="F504" s="15"/>
      <c r="G504" s="13"/>
      <c r="H504" s="13"/>
      <c r="I504" s="23"/>
      <c r="J504" s="28"/>
      <c r="K504" s="21"/>
      <c r="L504" s="102"/>
      <c r="M504" s="21"/>
      <c r="N504" s="52"/>
      <c r="O504" s="52"/>
    </row>
    <row r="505">
      <c r="A505" s="102"/>
      <c r="B505" s="13"/>
      <c r="C505" s="15"/>
      <c r="D505" s="15"/>
      <c r="E505" s="15"/>
      <c r="F505" s="15"/>
      <c r="G505" s="13"/>
      <c r="H505" s="13"/>
      <c r="I505" s="23"/>
      <c r="J505" s="28"/>
      <c r="K505" s="21"/>
      <c r="L505" s="102"/>
      <c r="M505" s="21"/>
      <c r="N505" s="52"/>
      <c r="O505" s="52"/>
    </row>
    <row r="506">
      <c r="A506" s="102"/>
      <c r="B506" s="13"/>
      <c r="C506" s="15"/>
      <c r="D506" s="15"/>
      <c r="E506" s="15"/>
      <c r="F506" s="15"/>
      <c r="G506" s="13"/>
      <c r="H506" s="13"/>
      <c r="I506" s="23"/>
      <c r="J506" s="28"/>
      <c r="K506" s="21"/>
      <c r="L506" s="102"/>
      <c r="M506" s="21"/>
      <c r="N506" s="52"/>
      <c r="O506" s="52"/>
    </row>
    <row r="507">
      <c r="A507" s="102"/>
      <c r="B507" s="13"/>
      <c r="C507" s="15"/>
      <c r="D507" s="15"/>
      <c r="E507" s="15"/>
      <c r="F507" s="15"/>
      <c r="G507" s="13"/>
      <c r="H507" s="13"/>
      <c r="I507" s="23"/>
      <c r="J507" s="28"/>
      <c r="K507" s="21"/>
      <c r="L507" s="102"/>
      <c r="M507" s="21"/>
      <c r="N507" s="52"/>
      <c r="O507" s="52"/>
    </row>
    <row r="508">
      <c r="A508" s="102"/>
      <c r="B508" s="13"/>
      <c r="C508" s="15"/>
      <c r="D508" s="15"/>
      <c r="E508" s="15"/>
      <c r="F508" s="15"/>
      <c r="G508" s="13"/>
      <c r="H508" s="13"/>
      <c r="I508" s="23"/>
      <c r="J508" s="28"/>
      <c r="K508" s="21"/>
      <c r="L508" s="102"/>
      <c r="M508" s="21"/>
      <c r="N508" s="52"/>
      <c r="O508" s="52"/>
    </row>
    <row r="509">
      <c r="A509" s="102"/>
      <c r="B509" s="13"/>
      <c r="C509" s="15"/>
      <c r="D509" s="15"/>
      <c r="E509" s="15"/>
      <c r="F509" s="15"/>
      <c r="G509" s="13"/>
      <c r="H509" s="13"/>
      <c r="I509" s="23"/>
      <c r="J509" s="28"/>
      <c r="K509" s="21"/>
      <c r="L509" s="102"/>
      <c r="M509" s="21"/>
      <c r="N509" s="52"/>
      <c r="O509" s="52"/>
    </row>
    <row r="510">
      <c r="A510" s="102"/>
      <c r="B510" s="13"/>
      <c r="C510" s="15"/>
      <c r="D510" s="15"/>
      <c r="E510" s="15"/>
      <c r="F510" s="15"/>
      <c r="G510" s="13"/>
      <c r="H510" s="13"/>
      <c r="I510" s="23"/>
      <c r="J510" s="28"/>
      <c r="K510" s="21"/>
      <c r="L510" s="102"/>
      <c r="M510" s="21"/>
      <c r="N510" s="52"/>
      <c r="O510" s="52"/>
    </row>
    <row r="511">
      <c r="A511" s="102"/>
      <c r="B511" s="13"/>
      <c r="C511" s="15"/>
      <c r="D511" s="15"/>
      <c r="E511" s="15"/>
      <c r="F511" s="15"/>
      <c r="G511" s="13"/>
      <c r="H511" s="13"/>
      <c r="I511" s="23"/>
      <c r="J511" s="28"/>
      <c r="K511" s="21"/>
      <c r="L511" s="102"/>
      <c r="M511" s="21"/>
      <c r="N511" s="52"/>
      <c r="O511" s="52"/>
    </row>
    <row r="512">
      <c r="A512" s="102"/>
      <c r="B512" s="13"/>
      <c r="C512" s="15"/>
      <c r="D512" s="15"/>
      <c r="E512" s="15"/>
      <c r="F512" s="15"/>
      <c r="G512" s="13"/>
      <c r="H512" s="13"/>
      <c r="I512" s="23"/>
      <c r="J512" s="28"/>
      <c r="K512" s="21"/>
      <c r="L512" s="102"/>
      <c r="M512" s="21"/>
      <c r="N512" s="52"/>
      <c r="O512" s="52"/>
    </row>
    <row r="513">
      <c r="A513" s="102"/>
      <c r="B513" s="13"/>
      <c r="C513" s="15"/>
      <c r="D513" s="15"/>
      <c r="E513" s="15"/>
      <c r="F513" s="15"/>
      <c r="G513" s="13"/>
      <c r="H513" s="13"/>
      <c r="I513" s="23"/>
      <c r="J513" s="28"/>
      <c r="K513" s="21"/>
      <c r="L513" s="102"/>
      <c r="M513" s="21"/>
      <c r="N513" s="52"/>
      <c r="O513" s="52"/>
    </row>
    <row r="514">
      <c r="A514" s="102"/>
      <c r="B514" s="13"/>
      <c r="C514" s="15"/>
      <c r="D514" s="15"/>
      <c r="E514" s="15"/>
      <c r="F514" s="15"/>
      <c r="G514" s="13"/>
      <c r="H514" s="13"/>
      <c r="I514" s="23"/>
      <c r="J514" s="28"/>
      <c r="K514" s="21"/>
      <c r="L514" s="102"/>
      <c r="M514" s="21"/>
      <c r="N514" s="52"/>
      <c r="O514" s="52"/>
    </row>
    <row r="515">
      <c r="A515" s="102"/>
      <c r="B515" s="13"/>
      <c r="C515" s="15"/>
      <c r="D515" s="15"/>
      <c r="E515" s="15"/>
      <c r="F515" s="15"/>
      <c r="G515" s="13"/>
      <c r="H515" s="13"/>
      <c r="I515" s="23"/>
      <c r="J515" s="28"/>
      <c r="K515" s="21"/>
      <c r="L515" s="102"/>
      <c r="M515" s="21"/>
      <c r="N515" s="52"/>
      <c r="O515" s="52"/>
    </row>
    <row r="516">
      <c r="A516" s="102"/>
      <c r="B516" s="13"/>
      <c r="C516" s="15"/>
      <c r="D516" s="15"/>
      <c r="E516" s="15"/>
      <c r="F516" s="15"/>
      <c r="G516" s="13"/>
      <c r="H516" s="13"/>
      <c r="I516" s="23"/>
      <c r="J516" s="28"/>
      <c r="K516" s="21"/>
      <c r="L516" s="102"/>
      <c r="M516" s="21"/>
      <c r="N516" s="52"/>
      <c r="O516" s="52"/>
    </row>
    <row r="517">
      <c r="A517" s="102"/>
      <c r="B517" s="13"/>
      <c r="C517" s="15"/>
      <c r="D517" s="15"/>
      <c r="E517" s="15"/>
      <c r="F517" s="15"/>
      <c r="G517" s="13"/>
      <c r="H517" s="13"/>
      <c r="I517" s="23"/>
      <c r="J517" s="28"/>
      <c r="K517" s="21"/>
      <c r="L517" s="102"/>
      <c r="M517" s="21"/>
      <c r="N517" s="52"/>
      <c r="O517" s="52"/>
    </row>
    <row r="518">
      <c r="A518" s="102"/>
      <c r="B518" s="13"/>
      <c r="C518" s="15"/>
      <c r="D518" s="15"/>
      <c r="E518" s="15"/>
      <c r="F518" s="15"/>
      <c r="G518" s="13"/>
      <c r="H518" s="13"/>
      <c r="I518" s="23"/>
      <c r="J518" s="28"/>
      <c r="K518" s="21"/>
      <c r="L518" s="102"/>
      <c r="M518" s="21"/>
      <c r="N518" s="52"/>
      <c r="O518" s="52"/>
    </row>
    <row r="519">
      <c r="A519" s="102"/>
      <c r="B519" s="13"/>
      <c r="C519" s="15"/>
      <c r="D519" s="15"/>
      <c r="E519" s="15"/>
      <c r="F519" s="15"/>
      <c r="G519" s="13"/>
      <c r="H519" s="13"/>
      <c r="I519" s="23"/>
      <c r="J519" s="28"/>
      <c r="K519" s="21"/>
      <c r="L519" s="102"/>
      <c r="M519" s="21"/>
      <c r="N519" s="52"/>
      <c r="O519" s="52"/>
    </row>
    <row r="520">
      <c r="A520" s="102"/>
      <c r="B520" s="13"/>
      <c r="C520" s="15"/>
      <c r="D520" s="15"/>
      <c r="E520" s="15"/>
      <c r="F520" s="15"/>
      <c r="G520" s="13"/>
      <c r="H520" s="13"/>
      <c r="I520" s="23"/>
      <c r="J520" s="28"/>
      <c r="K520" s="21"/>
      <c r="L520" s="102"/>
      <c r="M520" s="21"/>
      <c r="N520" s="52"/>
      <c r="O520" s="52"/>
    </row>
    <row r="521">
      <c r="A521" s="102"/>
      <c r="B521" s="13"/>
      <c r="C521" s="15"/>
      <c r="D521" s="15"/>
      <c r="E521" s="15"/>
      <c r="F521" s="15"/>
      <c r="G521" s="13"/>
      <c r="H521" s="13"/>
      <c r="I521" s="23"/>
      <c r="J521" s="28"/>
      <c r="K521" s="21"/>
      <c r="L521" s="102"/>
      <c r="M521" s="21"/>
      <c r="N521" s="52"/>
      <c r="O521" s="52"/>
    </row>
    <row r="522">
      <c r="A522" s="102"/>
      <c r="B522" s="13"/>
      <c r="C522" s="15"/>
      <c r="D522" s="15"/>
      <c r="E522" s="15"/>
      <c r="F522" s="15"/>
      <c r="G522" s="13"/>
      <c r="H522" s="13"/>
      <c r="I522" s="23"/>
      <c r="J522" s="28"/>
      <c r="K522" s="21"/>
      <c r="L522" s="102"/>
      <c r="M522" s="21"/>
      <c r="N522" s="52"/>
      <c r="O522" s="52"/>
    </row>
    <row r="523">
      <c r="A523" s="102"/>
      <c r="B523" s="13"/>
      <c r="C523" s="15"/>
      <c r="D523" s="15"/>
      <c r="E523" s="15"/>
      <c r="F523" s="15"/>
      <c r="G523" s="13"/>
      <c r="H523" s="13"/>
      <c r="I523" s="23"/>
      <c r="J523" s="28"/>
      <c r="K523" s="21"/>
      <c r="L523" s="102"/>
      <c r="M523" s="21"/>
      <c r="N523" s="52"/>
      <c r="O523" s="52"/>
    </row>
    <row r="524">
      <c r="A524" s="102"/>
      <c r="B524" s="13"/>
      <c r="C524" s="15"/>
      <c r="D524" s="15"/>
      <c r="E524" s="15"/>
      <c r="F524" s="15"/>
      <c r="G524" s="13"/>
      <c r="H524" s="13"/>
      <c r="I524" s="23"/>
      <c r="J524" s="28"/>
      <c r="K524" s="21"/>
      <c r="L524" s="102"/>
      <c r="M524" s="21"/>
      <c r="N524" s="52"/>
      <c r="O524" s="52"/>
    </row>
    <row r="525">
      <c r="A525" s="102"/>
      <c r="B525" s="13"/>
      <c r="C525" s="15"/>
      <c r="D525" s="15"/>
      <c r="E525" s="15"/>
      <c r="F525" s="15"/>
      <c r="G525" s="13"/>
      <c r="H525" s="13"/>
      <c r="I525" s="23"/>
      <c r="J525" s="28"/>
      <c r="K525" s="21"/>
      <c r="L525" s="102"/>
      <c r="M525" s="21"/>
      <c r="N525" s="52"/>
      <c r="O525" s="52"/>
    </row>
    <row r="526">
      <c r="A526" s="102"/>
      <c r="B526" s="13"/>
      <c r="C526" s="15"/>
      <c r="D526" s="15"/>
      <c r="E526" s="15"/>
      <c r="F526" s="15"/>
      <c r="G526" s="13"/>
      <c r="H526" s="13"/>
      <c r="I526" s="23"/>
      <c r="J526" s="28"/>
      <c r="K526" s="21"/>
      <c r="L526" s="102"/>
      <c r="M526" s="21"/>
      <c r="N526" s="52"/>
      <c r="O526" s="52"/>
    </row>
    <row r="527">
      <c r="A527" s="102"/>
      <c r="B527" s="13"/>
      <c r="C527" s="15"/>
      <c r="D527" s="15"/>
      <c r="E527" s="15"/>
      <c r="F527" s="15"/>
      <c r="G527" s="13"/>
      <c r="H527" s="13"/>
      <c r="I527" s="23"/>
      <c r="J527" s="28"/>
      <c r="K527" s="21"/>
      <c r="L527" s="102"/>
      <c r="M527" s="21"/>
      <c r="N527" s="52"/>
      <c r="O527" s="52"/>
    </row>
    <row r="528">
      <c r="A528" s="102"/>
      <c r="B528" s="13"/>
      <c r="C528" s="15"/>
      <c r="D528" s="15"/>
      <c r="E528" s="15"/>
      <c r="F528" s="15"/>
      <c r="G528" s="13"/>
      <c r="H528" s="13"/>
      <c r="I528" s="23"/>
      <c r="J528" s="28"/>
      <c r="K528" s="21"/>
      <c r="L528" s="102"/>
      <c r="M528" s="21"/>
      <c r="N528" s="52"/>
      <c r="O528" s="52"/>
    </row>
    <row r="529">
      <c r="A529" s="102"/>
      <c r="B529" s="13"/>
      <c r="C529" s="15"/>
      <c r="D529" s="15"/>
      <c r="E529" s="15"/>
      <c r="F529" s="15"/>
      <c r="G529" s="13"/>
      <c r="H529" s="13"/>
      <c r="I529" s="23"/>
      <c r="J529" s="28"/>
      <c r="K529" s="21"/>
      <c r="L529" s="102"/>
      <c r="M529" s="21"/>
      <c r="N529" s="52"/>
      <c r="O529" s="52"/>
    </row>
    <row r="530">
      <c r="A530" s="102"/>
      <c r="B530" s="13"/>
      <c r="C530" s="15"/>
      <c r="D530" s="15"/>
      <c r="E530" s="15"/>
      <c r="F530" s="15"/>
      <c r="G530" s="13"/>
      <c r="H530" s="13"/>
      <c r="I530" s="23"/>
      <c r="J530" s="28"/>
      <c r="K530" s="21"/>
      <c r="L530" s="102"/>
      <c r="M530" s="21"/>
      <c r="N530" s="52"/>
      <c r="O530" s="52"/>
    </row>
    <row r="531">
      <c r="A531" s="102"/>
      <c r="B531" s="13"/>
      <c r="C531" s="15"/>
      <c r="D531" s="15"/>
      <c r="E531" s="15"/>
      <c r="F531" s="15"/>
      <c r="G531" s="13"/>
      <c r="H531" s="13"/>
      <c r="I531" s="23"/>
      <c r="J531" s="28"/>
      <c r="K531" s="21"/>
      <c r="L531" s="102"/>
      <c r="M531" s="21"/>
      <c r="N531" s="52"/>
      <c r="O531" s="52"/>
    </row>
    <row r="532">
      <c r="A532" s="102"/>
      <c r="B532" s="13"/>
      <c r="C532" s="15"/>
      <c r="D532" s="15"/>
      <c r="E532" s="15"/>
      <c r="F532" s="15"/>
      <c r="G532" s="13"/>
      <c r="H532" s="13"/>
      <c r="I532" s="23"/>
      <c r="J532" s="28"/>
      <c r="K532" s="21"/>
      <c r="L532" s="102"/>
      <c r="M532" s="21"/>
      <c r="N532" s="52"/>
      <c r="O532" s="52"/>
    </row>
    <row r="533">
      <c r="A533" s="102"/>
      <c r="B533" s="13"/>
      <c r="C533" s="15"/>
      <c r="D533" s="15"/>
      <c r="E533" s="15"/>
      <c r="F533" s="15"/>
      <c r="G533" s="13"/>
      <c r="H533" s="13"/>
      <c r="I533" s="23"/>
      <c r="J533" s="28"/>
      <c r="K533" s="21"/>
      <c r="L533" s="102"/>
      <c r="M533" s="21"/>
      <c r="N533" s="52"/>
      <c r="O533" s="52"/>
    </row>
    <row r="534">
      <c r="A534" s="102"/>
      <c r="B534" s="13"/>
      <c r="C534" s="15"/>
      <c r="D534" s="15"/>
      <c r="E534" s="15"/>
      <c r="F534" s="15"/>
      <c r="G534" s="13"/>
      <c r="H534" s="13"/>
      <c r="I534" s="23"/>
      <c r="J534" s="28"/>
      <c r="K534" s="21"/>
      <c r="L534" s="102"/>
      <c r="M534" s="21"/>
      <c r="N534" s="52"/>
      <c r="O534" s="52"/>
    </row>
    <row r="535">
      <c r="A535" s="102"/>
      <c r="B535" s="13"/>
      <c r="C535" s="15"/>
      <c r="D535" s="15"/>
      <c r="E535" s="15"/>
      <c r="F535" s="15"/>
      <c r="G535" s="13"/>
      <c r="H535" s="13"/>
      <c r="I535" s="23"/>
      <c r="J535" s="28"/>
      <c r="K535" s="21"/>
      <c r="L535" s="102"/>
      <c r="M535" s="21"/>
      <c r="N535" s="52"/>
      <c r="O535" s="52"/>
    </row>
    <row r="536">
      <c r="A536" s="102"/>
      <c r="B536" s="13"/>
      <c r="C536" s="15"/>
      <c r="D536" s="15"/>
      <c r="E536" s="15"/>
      <c r="F536" s="15"/>
      <c r="G536" s="13"/>
      <c r="H536" s="13"/>
      <c r="I536" s="23"/>
      <c r="J536" s="28"/>
      <c r="K536" s="21"/>
      <c r="L536" s="102"/>
      <c r="M536" s="21"/>
      <c r="N536" s="52"/>
      <c r="O536" s="52"/>
    </row>
    <row r="537">
      <c r="A537" s="102"/>
      <c r="B537" s="13"/>
      <c r="C537" s="15"/>
      <c r="D537" s="15"/>
      <c r="E537" s="15"/>
      <c r="F537" s="15"/>
      <c r="G537" s="13"/>
      <c r="H537" s="13"/>
      <c r="I537" s="23"/>
      <c r="J537" s="28"/>
      <c r="K537" s="21"/>
      <c r="L537" s="102"/>
      <c r="M537" s="21"/>
      <c r="N537" s="52"/>
      <c r="O537" s="52"/>
    </row>
    <row r="538">
      <c r="A538" s="102"/>
      <c r="B538" s="13"/>
      <c r="C538" s="15"/>
      <c r="D538" s="15"/>
      <c r="E538" s="15"/>
      <c r="F538" s="15"/>
      <c r="G538" s="13"/>
      <c r="H538" s="13"/>
      <c r="I538" s="23"/>
      <c r="J538" s="28"/>
      <c r="K538" s="21"/>
      <c r="L538" s="102"/>
      <c r="M538" s="21"/>
      <c r="N538" s="52"/>
      <c r="O538" s="52"/>
    </row>
    <row r="539">
      <c r="A539" s="102"/>
      <c r="B539" s="13"/>
      <c r="C539" s="15"/>
      <c r="D539" s="15"/>
      <c r="E539" s="15"/>
      <c r="F539" s="15"/>
      <c r="G539" s="13"/>
      <c r="H539" s="13"/>
      <c r="I539" s="23"/>
      <c r="J539" s="28"/>
      <c r="K539" s="21"/>
      <c r="L539" s="102"/>
      <c r="M539" s="21"/>
      <c r="N539" s="52"/>
      <c r="O539" s="52"/>
    </row>
    <row r="540">
      <c r="A540" s="102"/>
      <c r="B540" s="13"/>
      <c r="C540" s="15"/>
      <c r="D540" s="15"/>
      <c r="E540" s="15"/>
      <c r="F540" s="15"/>
      <c r="G540" s="13"/>
      <c r="H540" s="13"/>
      <c r="I540" s="23"/>
      <c r="J540" s="28"/>
      <c r="K540" s="21"/>
      <c r="L540" s="102"/>
      <c r="M540" s="21"/>
      <c r="N540" s="52"/>
      <c r="O540" s="52"/>
    </row>
    <row r="541">
      <c r="A541" s="102"/>
      <c r="B541" s="13"/>
      <c r="C541" s="15"/>
      <c r="D541" s="15"/>
      <c r="E541" s="15"/>
      <c r="F541" s="15"/>
      <c r="G541" s="13"/>
      <c r="H541" s="13"/>
      <c r="I541" s="23"/>
      <c r="J541" s="28"/>
      <c r="K541" s="21"/>
      <c r="L541" s="102"/>
      <c r="M541" s="21"/>
      <c r="N541" s="52"/>
      <c r="O541" s="52"/>
    </row>
    <row r="542">
      <c r="A542" s="102"/>
      <c r="B542" s="13"/>
      <c r="C542" s="15"/>
      <c r="D542" s="15"/>
      <c r="E542" s="15"/>
      <c r="F542" s="15"/>
      <c r="G542" s="13"/>
      <c r="H542" s="13"/>
      <c r="I542" s="23"/>
      <c r="J542" s="28"/>
      <c r="K542" s="21"/>
      <c r="L542" s="102"/>
      <c r="M542" s="21"/>
      <c r="N542" s="52"/>
      <c r="O542" s="52"/>
    </row>
    <row r="543">
      <c r="A543" s="102"/>
      <c r="B543" s="13"/>
      <c r="C543" s="15"/>
      <c r="D543" s="15"/>
      <c r="E543" s="15"/>
      <c r="F543" s="15"/>
      <c r="G543" s="13"/>
      <c r="H543" s="13"/>
      <c r="I543" s="23"/>
      <c r="J543" s="28"/>
      <c r="K543" s="21"/>
      <c r="L543" s="102"/>
      <c r="M543" s="21"/>
      <c r="N543" s="52"/>
      <c r="O543" s="52"/>
    </row>
    <row r="544">
      <c r="A544" s="102"/>
      <c r="B544" s="13"/>
      <c r="C544" s="15"/>
      <c r="D544" s="15"/>
      <c r="E544" s="15"/>
      <c r="F544" s="15"/>
      <c r="G544" s="13"/>
      <c r="H544" s="13"/>
      <c r="I544" s="23"/>
      <c r="J544" s="28"/>
      <c r="K544" s="21"/>
      <c r="L544" s="102"/>
      <c r="M544" s="21"/>
      <c r="N544" s="52"/>
      <c r="O544" s="52"/>
    </row>
    <row r="545">
      <c r="A545" s="102"/>
      <c r="B545" s="13"/>
      <c r="C545" s="15"/>
      <c r="D545" s="15"/>
      <c r="E545" s="15"/>
      <c r="F545" s="15"/>
      <c r="G545" s="13"/>
      <c r="H545" s="13"/>
      <c r="I545" s="23"/>
      <c r="J545" s="28"/>
      <c r="K545" s="21"/>
      <c r="L545" s="102"/>
      <c r="M545" s="21"/>
      <c r="N545" s="52"/>
      <c r="O545" s="52"/>
    </row>
    <row r="546">
      <c r="A546" s="102"/>
      <c r="B546" s="13"/>
      <c r="C546" s="15"/>
      <c r="D546" s="15"/>
      <c r="E546" s="15"/>
      <c r="F546" s="15"/>
      <c r="G546" s="13"/>
      <c r="H546" s="13"/>
      <c r="I546" s="23"/>
      <c r="J546" s="28"/>
      <c r="K546" s="21"/>
      <c r="L546" s="102"/>
      <c r="M546" s="21"/>
      <c r="N546" s="52"/>
      <c r="O546" s="52"/>
    </row>
    <row r="547">
      <c r="A547" s="102"/>
      <c r="B547" s="13"/>
      <c r="C547" s="15"/>
      <c r="D547" s="15"/>
      <c r="E547" s="15"/>
      <c r="F547" s="15"/>
      <c r="G547" s="13"/>
      <c r="H547" s="13"/>
      <c r="I547" s="23"/>
      <c r="J547" s="28"/>
      <c r="K547" s="21"/>
      <c r="L547" s="102"/>
      <c r="M547" s="21"/>
      <c r="N547" s="52"/>
      <c r="O547" s="52"/>
    </row>
    <row r="548">
      <c r="A548" s="102"/>
      <c r="B548" s="13"/>
      <c r="C548" s="15"/>
      <c r="D548" s="15"/>
      <c r="E548" s="15"/>
      <c r="F548" s="15"/>
      <c r="G548" s="13"/>
      <c r="H548" s="13"/>
      <c r="I548" s="23"/>
      <c r="J548" s="28"/>
      <c r="K548" s="21"/>
      <c r="L548" s="102"/>
      <c r="M548" s="21"/>
      <c r="N548" s="52"/>
      <c r="O548" s="52"/>
    </row>
    <row r="549">
      <c r="A549" s="102"/>
      <c r="B549" s="13"/>
      <c r="C549" s="15"/>
      <c r="D549" s="15"/>
      <c r="E549" s="15"/>
      <c r="F549" s="15"/>
      <c r="G549" s="13"/>
      <c r="H549" s="13"/>
      <c r="I549" s="23"/>
      <c r="J549" s="28"/>
      <c r="K549" s="21"/>
      <c r="L549" s="102"/>
      <c r="M549" s="21"/>
      <c r="N549" s="52"/>
      <c r="O549" s="52"/>
    </row>
    <row r="550">
      <c r="A550" s="102"/>
      <c r="B550" s="13"/>
      <c r="C550" s="15"/>
      <c r="D550" s="15"/>
      <c r="E550" s="15"/>
      <c r="F550" s="15"/>
      <c r="G550" s="13"/>
      <c r="H550" s="13"/>
      <c r="I550" s="23"/>
      <c r="J550" s="28"/>
      <c r="K550" s="21"/>
      <c r="L550" s="102"/>
      <c r="M550" s="21"/>
      <c r="N550" s="52"/>
      <c r="O550" s="52"/>
    </row>
    <row r="551">
      <c r="A551" s="102"/>
      <c r="B551" s="13"/>
      <c r="C551" s="15"/>
      <c r="D551" s="15"/>
      <c r="E551" s="15"/>
      <c r="F551" s="15"/>
      <c r="G551" s="13"/>
      <c r="H551" s="13"/>
      <c r="I551" s="23"/>
      <c r="J551" s="28"/>
      <c r="K551" s="21"/>
      <c r="L551" s="102"/>
      <c r="M551" s="21"/>
      <c r="N551" s="52"/>
      <c r="O551" s="52"/>
    </row>
    <row r="552">
      <c r="A552" s="102"/>
      <c r="B552" s="13"/>
      <c r="C552" s="15"/>
      <c r="D552" s="15"/>
      <c r="E552" s="15"/>
      <c r="F552" s="15"/>
      <c r="G552" s="13"/>
      <c r="H552" s="13"/>
      <c r="I552" s="23"/>
      <c r="J552" s="28"/>
      <c r="K552" s="21"/>
      <c r="L552" s="102"/>
      <c r="M552" s="21"/>
      <c r="N552" s="52"/>
      <c r="O552" s="52"/>
    </row>
    <row r="553">
      <c r="A553" s="102"/>
      <c r="B553" s="13"/>
      <c r="C553" s="15"/>
      <c r="D553" s="15"/>
      <c r="E553" s="15"/>
      <c r="F553" s="15"/>
      <c r="G553" s="13"/>
      <c r="H553" s="13"/>
      <c r="I553" s="23"/>
      <c r="J553" s="28"/>
      <c r="K553" s="21"/>
      <c r="L553" s="102"/>
      <c r="M553" s="21"/>
      <c r="N553" s="52"/>
      <c r="O553" s="52"/>
    </row>
    <row r="554">
      <c r="A554" s="102"/>
      <c r="B554" s="13"/>
      <c r="C554" s="15"/>
      <c r="D554" s="15"/>
      <c r="E554" s="15"/>
      <c r="F554" s="15"/>
      <c r="G554" s="13"/>
      <c r="H554" s="13"/>
      <c r="I554" s="23"/>
      <c r="J554" s="28"/>
      <c r="K554" s="21"/>
      <c r="L554" s="102"/>
      <c r="M554" s="21"/>
      <c r="N554" s="52"/>
      <c r="O554" s="52"/>
    </row>
    <row r="555">
      <c r="A555" s="102"/>
      <c r="B555" s="13"/>
      <c r="C555" s="15"/>
      <c r="D555" s="15"/>
      <c r="E555" s="15"/>
      <c r="F555" s="15"/>
      <c r="G555" s="13"/>
      <c r="H555" s="13"/>
      <c r="I555" s="23"/>
      <c r="J555" s="28"/>
      <c r="K555" s="21"/>
      <c r="L555" s="102"/>
      <c r="M555" s="21"/>
      <c r="N555" s="52"/>
      <c r="O555" s="52"/>
    </row>
    <row r="556">
      <c r="A556" s="102"/>
      <c r="B556" s="13"/>
      <c r="C556" s="15"/>
      <c r="D556" s="15"/>
      <c r="E556" s="15"/>
      <c r="F556" s="15"/>
      <c r="G556" s="13"/>
      <c r="H556" s="13"/>
      <c r="I556" s="23"/>
      <c r="J556" s="28"/>
      <c r="K556" s="21"/>
      <c r="L556" s="102"/>
      <c r="M556" s="21"/>
      <c r="N556" s="52"/>
      <c r="O556" s="52"/>
    </row>
    <row r="557">
      <c r="A557" s="102"/>
      <c r="B557" s="13"/>
      <c r="C557" s="15"/>
      <c r="D557" s="15"/>
      <c r="E557" s="15"/>
      <c r="F557" s="15"/>
      <c r="G557" s="13"/>
      <c r="H557" s="13"/>
      <c r="I557" s="23"/>
      <c r="J557" s="28"/>
      <c r="K557" s="21"/>
      <c r="L557" s="102"/>
      <c r="M557" s="21"/>
      <c r="N557" s="52"/>
      <c r="O557" s="52"/>
    </row>
    <row r="558">
      <c r="A558" s="102"/>
      <c r="B558" s="13"/>
      <c r="C558" s="15"/>
      <c r="D558" s="15"/>
      <c r="E558" s="15"/>
      <c r="F558" s="15"/>
      <c r="G558" s="13"/>
      <c r="H558" s="13"/>
      <c r="I558" s="23"/>
      <c r="J558" s="28"/>
      <c r="K558" s="21"/>
      <c r="L558" s="102"/>
      <c r="M558" s="21"/>
      <c r="N558" s="52"/>
      <c r="O558" s="52"/>
    </row>
    <row r="559">
      <c r="A559" s="102"/>
      <c r="B559" s="13"/>
      <c r="C559" s="15"/>
      <c r="D559" s="15"/>
      <c r="E559" s="15"/>
      <c r="F559" s="15"/>
      <c r="G559" s="13"/>
      <c r="H559" s="13"/>
      <c r="I559" s="23"/>
      <c r="J559" s="28"/>
      <c r="K559" s="21"/>
      <c r="L559" s="102"/>
      <c r="M559" s="21"/>
      <c r="N559" s="52"/>
      <c r="O559" s="52"/>
    </row>
    <row r="560">
      <c r="A560" s="102"/>
      <c r="B560" s="13"/>
      <c r="C560" s="15"/>
      <c r="D560" s="15"/>
      <c r="E560" s="15"/>
      <c r="F560" s="15"/>
      <c r="G560" s="13"/>
      <c r="H560" s="13"/>
      <c r="I560" s="23"/>
      <c r="J560" s="28"/>
      <c r="K560" s="21"/>
      <c r="L560" s="102"/>
      <c r="M560" s="21"/>
      <c r="N560" s="52"/>
      <c r="O560" s="52"/>
    </row>
    <row r="561">
      <c r="A561" s="102"/>
      <c r="B561" s="13"/>
      <c r="C561" s="15"/>
      <c r="D561" s="15"/>
      <c r="E561" s="15"/>
      <c r="F561" s="15"/>
      <c r="G561" s="13"/>
      <c r="H561" s="13"/>
      <c r="I561" s="23"/>
      <c r="J561" s="28"/>
      <c r="K561" s="21"/>
      <c r="L561" s="102"/>
      <c r="M561" s="21"/>
      <c r="N561" s="52"/>
      <c r="O561" s="52"/>
    </row>
    <row r="562">
      <c r="A562" s="102"/>
      <c r="B562" s="13"/>
      <c r="C562" s="15"/>
      <c r="D562" s="15"/>
      <c r="E562" s="15"/>
      <c r="F562" s="15"/>
      <c r="G562" s="13"/>
      <c r="H562" s="13"/>
      <c r="I562" s="23"/>
      <c r="J562" s="28"/>
      <c r="K562" s="21"/>
      <c r="L562" s="102"/>
      <c r="M562" s="21"/>
      <c r="N562" s="52"/>
      <c r="O562" s="52"/>
    </row>
    <row r="563">
      <c r="A563" s="102"/>
      <c r="B563" s="13"/>
      <c r="C563" s="15"/>
      <c r="D563" s="15"/>
      <c r="E563" s="15"/>
      <c r="F563" s="15"/>
      <c r="G563" s="13"/>
      <c r="H563" s="13"/>
      <c r="I563" s="23"/>
      <c r="J563" s="28"/>
      <c r="K563" s="21"/>
      <c r="L563" s="102"/>
      <c r="M563" s="21"/>
      <c r="N563" s="52"/>
      <c r="O563" s="52"/>
    </row>
    <row r="564">
      <c r="A564" s="102"/>
      <c r="B564" s="13"/>
      <c r="C564" s="15"/>
      <c r="D564" s="15"/>
      <c r="E564" s="15"/>
      <c r="F564" s="15"/>
      <c r="G564" s="13"/>
      <c r="H564" s="13"/>
      <c r="I564" s="23"/>
      <c r="J564" s="28"/>
      <c r="K564" s="21"/>
      <c r="L564" s="102"/>
      <c r="M564" s="21"/>
      <c r="N564" s="52"/>
      <c r="O564" s="52"/>
    </row>
    <row r="565">
      <c r="A565" s="102"/>
      <c r="B565" s="13"/>
      <c r="C565" s="15"/>
      <c r="D565" s="15"/>
      <c r="E565" s="15"/>
      <c r="F565" s="15"/>
      <c r="G565" s="13"/>
      <c r="H565" s="13"/>
      <c r="I565" s="23"/>
      <c r="J565" s="28"/>
      <c r="K565" s="21"/>
      <c r="L565" s="102"/>
      <c r="M565" s="21"/>
      <c r="N565" s="52"/>
      <c r="O565" s="52"/>
    </row>
    <row r="566">
      <c r="A566" s="102"/>
      <c r="B566" s="13"/>
      <c r="C566" s="15"/>
      <c r="D566" s="15"/>
      <c r="E566" s="15"/>
      <c r="F566" s="15"/>
      <c r="G566" s="13"/>
      <c r="H566" s="13"/>
      <c r="I566" s="23"/>
      <c r="J566" s="28"/>
      <c r="K566" s="21"/>
      <c r="L566" s="102"/>
      <c r="M566" s="21"/>
      <c r="N566" s="52"/>
      <c r="O566" s="52"/>
    </row>
    <row r="567">
      <c r="A567" s="102"/>
      <c r="B567" s="13"/>
      <c r="C567" s="15"/>
      <c r="D567" s="15"/>
      <c r="E567" s="15"/>
      <c r="F567" s="15"/>
      <c r="G567" s="13"/>
      <c r="H567" s="13"/>
      <c r="I567" s="23"/>
      <c r="J567" s="28"/>
      <c r="K567" s="21"/>
      <c r="L567" s="102"/>
      <c r="M567" s="21"/>
      <c r="N567" s="52"/>
      <c r="O567" s="52"/>
    </row>
    <row r="568">
      <c r="A568" s="102"/>
      <c r="B568" s="13"/>
      <c r="C568" s="15"/>
      <c r="D568" s="15"/>
      <c r="E568" s="15"/>
      <c r="F568" s="15"/>
      <c r="G568" s="13"/>
      <c r="H568" s="13"/>
      <c r="I568" s="23"/>
      <c r="J568" s="28"/>
      <c r="K568" s="21"/>
      <c r="L568" s="102"/>
      <c r="M568" s="21"/>
      <c r="N568" s="52"/>
      <c r="O568" s="52"/>
    </row>
    <row r="569">
      <c r="A569" s="102"/>
      <c r="B569" s="13"/>
      <c r="C569" s="15"/>
      <c r="D569" s="15"/>
      <c r="E569" s="15"/>
      <c r="F569" s="15"/>
      <c r="G569" s="13"/>
      <c r="H569" s="13"/>
      <c r="I569" s="23"/>
      <c r="J569" s="28"/>
      <c r="K569" s="21"/>
      <c r="L569" s="102"/>
      <c r="M569" s="21"/>
      <c r="N569" s="52"/>
      <c r="O569" s="52"/>
    </row>
    <row r="570">
      <c r="A570" s="102"/>
      <c r="B570" s="13"/>
      <c r="C570" s="15"/>
      <c r="D570" s="15"/>
      <c r="E570" s="15"/>
      <c r="F570" s="15"/>
      <c r="G570" s="13"/>
      <c r="H570" s="13"/>
      <c r="I570" s="23"/>
      <c r="J570" s="28"/>
      <c r="K570" s="21"/>
      <c r="L570" s="102"/>
      <c r="M570" s="21"/>
      <c r="N570" s="52"/>
      <c r="O570" s="52"/>
    </row>
    <row r="571">
      <c r="A571" s="102"/>
      <c r="B571" s="13"/>
      <c r="C571" s="15"/>
      <c r="D571" s="15"/>
      <c r="E571" s="15"/>
      <c r="F571" s="15"/>
      <c r="G571" s="13"/>
      <c r="H571" s="13"/>
      <c r="I571" s="23"/>
      <c r="J571" s="28"/>
      <c r="K571" s="21"/>
      <c r="L571" s="102"/>
      <c r="M571" s="21"/>
      <c r="N571" s="52"/>
      <c r="O571" s="52"/>
    </row>
    <row r="572">
      <c r="A572" s="102"/>
      <c r="B572" s="13"/>
      <c r="C572" s="15"/>
      <c r="D572" s="15"/>
      <c r="E572" s="15"/>
      <c r="F572" s="15"/>
      <c r="G572" s="13"/>
      <c r="H572" s="13"/>
      <c r="I572" s="23"/>
      <c r="J572" s="28"/>
      <c r="K572" s="21"/>
      <c r="L572" s="102"/>
      <c r="M572" s="21"/>
      <c r="N572" s="52"/>
      <c r="O572" s="52"/>
    </row>
    <row r="573">
      <c r="A573" s="102"/>
      <c r="B573" s="13"/>
      <c r="C573" s="15"/>
      <c r="D573" s="15"/>
      <c r="E573" s="15"/>
      <c r="F573" s="15"/>
      <c r="G573" s="13"/>
      <c r="H573" s="13"/>
      <c r="I573" s="23"/>
      <c r="J573" s="28"/>
      <c r="K573" s="21"/>
      <c r="L573" s="102"/>
      <c r="M573" s="21"/>
      <c r="N573" s="52"/>
      <c r="O573" s="52"/>
    </row>
    <row r="574">
      <c r="A574" s="102"/>
      <c r="B574" s="13"/>
      <c r="C574" s="15"/>
      <c r="D574" s="15"/>
      <c r="E574" s="15"/>
      <c r="F574" s="15"/>
      <c r="G574" s="13"/>
      <c r="H574" s="13"/>
      <c r="I574" s="23"/>
      <c r="J574" s="28"/>
      <c r="K574" s="21"/>
      <c r="L574" s="102"/>
      <c r="M574" s="21"/>
      <c r="N574" s="52"/>
      <c r="O574" s="52"/>
    </row>
    <row r="575">
      <c r="A575" s="102"/>
      <c r="B575" s="13"/>
      <c r="C575" s="15"/>
      <c r="D575" s="15"/>
      <c r="E575" s="15"/>
      <c r="F575" s="15"/>
      <c r="G575" s="13"/>
      <c r="H575" s="13"/>
      <c r="I575" s="23"/>
      <c r="J575" s="28"/>
      <c r="K575" s="21"/>
      <c r="L575" s="102"/>
      <c r="M575" s="21"/>
      <c r="N575" s="52"/>
      <c r="O575" s="52"/>
    </row>
    <row r="576">
      <c r="A576" s="102"/>
      <c r="B576" s="13"/>
      <c r="C576" s="15"/>
      <c r="D576" s="15"/>
      <c r="E576" s="15"/>
      <c r="F576" s="15"/>
      <c r="G576" s="13"/>
      <c r="H576" s="13"/>
      <c r="I576" s="23"/>
      <c r="J576" s="28"/>
      <c r="K576" s="21"/>
      <c r="L576" s="102"/>
      <c r="M576" s="21"/>
      <c r="N576" s="52"/>
      <c r="O576" s="52"/>
    </row>
    <row r="577">
      <c r="A577" s="102"/>
      <c r="B577" s="13"/>
      <c r="C577" s="15"/>
      <c r="D577" s="15"/>
      <c r="E577" s="15"/>
      <c r="F577" s="15"/>
      <c r="G577" s="13"/>
      <c r="H577" s="13"/>
      <c r="I577" s="23"/>
      <c r="J577" s="28"/>
      <c r="K577" s="21"/>
      <c r="L577" s="102"/>
      <c r="M577" s="21"/>
      <c r="N577" s="52"/>
      <c r="O577" s="52"/>
    </row>
    <row r="578">
      <c r="A578" s="102"/>
      <c r="B578" s="13"/>
      <c r="C578" s="15"/>
      <c r="D578" s="15"/>
      <c r="E578" s="15"/>
      <c r="F578" s="15"/>
      <c r="G578" s="13"/>
      <c r="H578" s="13"/>
      <c r="I578" s="23"/>
      <c r="J578" s="28"/>
      <c r="K578" s="21"/>
      <c r="L578" s="102"/>
      <c r="M578" s="21"/>
      <c r="N578" s="52"/>
      <c r="O578" s="52"/>
    </row>
    <row r="579">
      <c r="A579" s="102"/>
      <c r="B579" s="13"/>
      <c r="C579" s="15"/>
      <c r="D579" s="15"/>
      <c r="E579" s="15"/>
      <c r="F579" s="15"/>
      <c r="G579" s="13"/>
      <c r="H579" s="13"/>
      <c r="I579" s="23"/>
      <c r="J579" s="28"/>
      <c r="K579" s="21"/>
      <c r="L579" s="102"/>
      <c r="M579" s="21"/>
      <c r="N579" s="52"/>
      <c r="O579" s="52"/>
    </row>
    <row r="580">
      <c r="A580" s="102"/>
      <c r="B580" s="13"/>
      <c r="C580" s="15"/>
      <c r="D580" s="15"/>
      <c r="E580" s="15"/>
      <c r="F580" s="15"/>
      <c r="G580" s="13"/>
      <c r="H580" s="13"/>
      <c r="I580" s="23"/>
      <c r="J580" s="28"/>
      <c r="K580" s="21"/>
      <c r="L580" s="102"/>
      <c r="M580" s="21"/>
      <c r="N580" s="52"/>
      <c r="O580" s="52"/>
    </row>
    <row r="581">
      <c r="A581" s="102"/>
      <c r="B581" s="13"/>
      <c r="C581" s="15"/>
      <c r="D581" s="15"/>
      <c r="E581" s="15"/>
      <c r="F581" s="15"/>
      <c r="G581" s="13"/>
      <c r="H581" s="13"/>
      <c r="I581" s="23"/>
      <c r="J581" s="28"/>
      <c r="K581" s="21"/>
      <c r="L581" s="102"/>
      <c r="M581" s="21"/>
      <c r="N581" s="52"/>
      <c r="O581" s="52"/>
    </row>
    <row r="582">
      <c r="A582" s="102"/>
      <c r="B582" s="13"/>
      <c r="C582" s="15"/>
      <c r="D582" s="15"/>
      <c r="E582" s="15"/>
      <c r="F582" s="15"/>
      <c r="G582" s="13"/>
      <c r="H582" s="13"/>
      <c r="I582" s="23"/>
      <c r="J582" s="28"/>
      <c r="K582" s="21"/>
      <c r="L582" s="102"/>
      <c r="M582" s="21"/>
      <c r="N582" s="52"/>
      <c r="O582" s="52"/>
    </row>
    <row r="583">
      <c r="A583" s="102"/>
      <c r="B583" s="13"/>
      <c r="C583" s="15"/>
      <c r="D583" s="15"/>
      <c r="E583" s="15"/>
      <c r="F583" s="15"/>
      <c r="G583" s="13"/>
      <c r="H583" s="13"/>
      <c r="I583" s="23"/>
      <c r="J583" s="28"/>
      <c r="K583" s="21"/>
      <c r="L583" s="102"/>
      <c r="M583" s="21"/>
      <c r="N583" s="52"/>
      <c r="O583" s="52"/>
    </row>
    <row r="584">
      <c r="A584" s="102"/>
      <c r="B584" s="13"/>
      <c r="C584" s="15"/>
      <c r="D584" s="15"/>
      <c r="E584" s="15"/>
      <c r="F584" s="15"/>
      <c r="G584" s="13"/>
      <c r="H584" s="13"/>
      <c r="I584" s="23"/>
      <c r="J584" s="28"/>
      <c r="K584" s="21"/>
      <c r="L584" s="102"/>
      <c r="M584" s="21"/>
      <c r="N584" s="52"/>
      <c r="O584" s="52"/>
    </row>
    <row r="585">
      <c r="A585" s="102"/>
      <c r="B585" s="13"/>
      <c r="C585" s="15"/>
      <c r="D585" s="15"/>
      <c r="E585" s="15"/>
      <c r="F585" s="15"/>
      <c r="G585" s="13"/>
      <c r="H585" s="13"/>
      <c r="I585" s="23"/>
      <c r="J585" s="28"/>
      <c r="K585" s="21"/>
      <c r="L585" s="102"/>
      <c r="M585" s="21"/>
      <c r="N585" s="52"/>
      <c r="O585" s="52"/>
    </row>
    <row r="586">
      <c r="A586" s="102"/>
      <c r="B586" s="13"/>
      <c r="C586" s="15"/>
      <c r="D586" s="15"/>
      <c r="E586" s="15"/>
      <c r="F586" s="15"/>
      <c r="G586" s="13"/>
      <c r="H586" s="13"/>
      <c r="I586" s="23"/>
      <c r="J586" s="28"/>
      <c r="K586" s="21"/>
      <c r="L586" s="102"/>
      <c r="M586" s="21"/>
      <c r="N586" s="52"/>
      <c r="O586" s="52"/>
    </row>
    <row r="587">
      <c r="A587" s="102"/>
      <c r="B587" s="13"/>
      <c r="C587" s="15"/>
      <c r="D587" s="15"/>
      <c r="E587" s="15"/>
      <c r="F587" s="15"/>
      <c r="G587" s="13"/>
      <c r="H587" s="13"/>
      <c r="I587" s="23"/>
      <c r="J587" s="28"/>
      <c r="K587" s="21"/>
      <c r="L587" s="102"/>
      <c r="M587" s="21"/>
      <c r="N587" s="52"/>
      <c r="O587" s="52"/>
    </row>
    <row r="588">
      <c r="A588" s="102"/>
      <c r="B588" s="13"/>
      <c r="C588" s="15"/>
      <c r="D588" s="15"/>
      <c r="E588" s="15"/>
      <c r="F588" s="15"/>
      <c r="G588" s="13"/>
      <c r="H588" s="13"/>
      <c r="I588" s="23"/>
      <c r="J588" s="28"/>
      <c r="K588" s="21"/>
      <c r="L588" s="102"/>
      <c r="M588" s="21"/>
      <c r="N588" s="52"/>
      <c r="O588" s="52"/>
    </row>
    <row r="589">
      <c r="A589" s="102"/>
      <c r="B589" s="13"/>
      <c r="C589" s="15"/>
      <c r="D589" s="15"/>
      <c r="E589" s="15"/>
      <c r="F589" s="15"/>
      <c r="G589" s="13"/>
      <c r="H589" s="13"/>
      <c r="I589" s="23"/>
      <c r="J589" s="28"/>
      <c r="K589" s="21"/>
      <c r="L589" s="102"/>
      <c r="M589" s="21"/>
      <c r="N589" s="52"/>
      <c r="O589" s="52"/>
    </row>
    <row r="590">
      <c r="A590" s="102"/>
      <c r="B590" s="13"/>
      <c r="C590" s="15"/>
      <c r="D590" s="15"/>
      <c r="E590" s="15"/>
      <c r="F590" s="15"/>
      <c r="G590" s="13"/>
      <c r="H590" s="13"/>
      <c r="I590" s="23"/>
      <c r="J590" s="28"/>
      <c r="K590" s="21"/>
      <c r="L590" s="102"/>
      <c r="M590" s="21"/>
      <c r="N590" s="52"/>
      <c r="O590" s="52"/>
    </row>
    <row r="591">
      <c r="A591" s="102"/>
      <c r="B591" s="13"/>
      <c r="C591" s="15"/>
      <c r="D591" s="15"/>
      <c r="E591" s="15"/>
      <c r="F591" s="15"/>
      <c r="G591" s="13"/>
      <c r="H591" s="13"/>
      <c r="I591" s="23"/>
      <c r="J591" s="28"/>
      <c r="K591" s="21"/>
      <c r="L591" s="102"/>
      <c r="M591" s="21"/>
      <c r="N591" s="52"/>
      <c r="O591" s="52"/>
    </row>
    <row r="592">
      <c r="A592" s="102"/>
      <c r="B592" s="13"/>
      <c r="C592" s="15"/>
      <c r="D592" s="15"/>
      <c r="E592" s="15"/>
      <c r="F592" s="15"/>
      <c r="G592" s="13"/>
      <c r="H592" s="13"/>
      <c r="I592" s="23"/>
      <c r="J592" s="28"/>
      <c r="K592" s="21"/>
      <c r="L592" s="102"/>
      <c r="M592" s="21"/>
      <c r="N592" s="52"/>
      <c r="O592" s="52"/>
    </row>
    <row r="593">
      <c r="A593" s="102"/>
      <c r="B593" s="13"/>
      <c r="C593" s="15"/>
      <c r="D593" s="15"/>
      <c r="E593" s="15"/>
      <c r="F593" s="15"/>
      <c r="G593" s="13"/>
      <c r="H593" s="13"/>
      <c r="I593" s="23"/>
      <c r="J593" s="28"/>
      <c r="K593" s="21"/>
      <c r="L593" s="102"/>
      <c r="M593" s="21"/>
      <c r="N593" s="52"/>
      <c r="O593" s="52"/>
    </row>
    <row r="594">
      <c r="A594" s="102"/>
      <c r="B594" s="13"/>
      <c r="C594" s="15"/>
      <c r="D594" s="15"/>
      <c r="E594" s="15"/>
      <c r="F594" s="15"/>
      <c r="G594" s="13"/>
      <c r="H594" s="13"/>
      <c r="I594" s="23"/>
      <c r="J594" s="28"/>
      <c r="K594" s="21"/>
      <c r="L594" s="102"/>
      <c r="M594" s="21"/>
      <c r="N594" s="52"/>
      <c r="O594" s="52"/>
    </row>
    <row r="595">
      <c r="A595" s="102"/>
      <c r="B595" s="13"/>
      <c r="C595" s="15"/>
      <c r="D595" s="15"/>
      <c r="E595" s="15"/>
      <c r="F595" s="15"/>
      <c r="G595" s="13"/>
      <c r="H595" s="13"/>
      <c r="I595" s="23"/>
      <c r="J595" s="28"/>
      <c r="K595" s="21"/>
      <c r="L595" s="102"/>
      <c r="M595" s="21"/>
      <c r="N595" s="52"/>
      <c r="O595" s="52"/>
    </row>
    <row r="596">
      <c r="A596" s="102"/>
      <c r="B596" s="13"/>
      <c r="C596" s="15"/>
      <c r="D596" s="15"/>
      <c r="E596" s="15"/>
      <c r="F596" s="15"/>
      <c r="G596" s="13"/>
      <c r="H596" s="13"/>
      <c r="I596" s="23"/>
      <c r="J596" s="28"/>
      <c r="K596" s="21"/>
      <c r="L596" s="102"/>
      <c r="M596" s="21"/>
      <c r="N596" s="52"/>
      <c r="O596" s="52"/>
    </row>
    <row r="597">
      <c r="A597" s="102"/>
      <c r="B597" s="13"/>
      <c r="C597" s="15"/>
      <c r="D597" s="15"/>
      <c r="E597" s="15"/>
      <c r="F597" s="15"/>
      <c r="G597" s="13"/>
      <c r="H597" s="13"/>
      <c r="I597" s="23"/>
      <c r="J597" s="28"/>
      <c r="K597" s="21"/>
      <c r="L597" s="102"/>
      <c r="M597" s="21"/>
      <c r="N597" s="52"/>
      <c r="O597" s="52"/>
    </row>
    <row r="598">
      <c r="A598" s="102"/>
      <c r="B598" s="13"/>
      <c r="C598" s="15"/>
      <c r="D598" s="15"/>
      <c r="E598" s="15"/>
      <c r="F598" s="15"/>
      <c r="G598" s="13"/>
      <c r="H598" s="13"/>
      <c r="I598" s="23"/>
      <c r="J598" s="28"/>
      <c r="K598" s="21"/>
      <c r="L598" s="102"/>
      <c r="M598" s="21"/>
      <c r="N598" s="52"/>
      <c r="O598" s="52"/>
    </row>
    <row r="599">
      <c r="A599" s="102"/>
      <c r="B599" s="13"/>
      <c r="C599" s="15"/>
      <c r="D599" s="15"/>
      <c r="E599" s="15"/>
      <c r="F599" s="15"/>
      <c r="G599" s="13"/>
      <c r="H599" s="13"/>
      <c r="I599" s="23"/>
      <c r="J599" s="28"/>
      <c r="K599" s="21"/>
      <c r="L599" s="102"/>
      <c r="M599" s="21"/>
      <c r="N599" s="52"/>
      <c r="O599" s="52"/>
    </row>
    <row r="600">
      <c r="A600" s="102"/>
      <c r="B600" s="13"/>
      <c r="C600" s="15"/>
      <c r="D600" s="15"/>
      <c r="E600" s="15"/>
      <c r="F600" s="15"/>
      <c r="G600" s="13"/>
      <c r="H600" s="13"/>
      <c r="I600" s="23"/>
      <c r="J600" s="28"/>
      <c r="K600" s="21"/>
      <c r="L600" s="102"/>
      <c r="M600" s="21"/>
      <c r="N600" s="52"/>
      <c r="O600" s="52"/>
    </row>
    <row r="601">
      <c r="A601" s="102"/>
      <c r="B601" s="13"/>
      <c r="C601" s="15"/>
      <c r="D601" s="15"/>
      <c r="E601" s="15"/>
      <c r="F601" s="15"/>
      <c r="G601" s="13"/>
      <c r="H601" s="13"/>
      <c r="I601" s="23"/>
      <c r="J601" s="28"/>
      <c r="K601" s="21"/>
      <c r="L601" s="102"/>
      <c r="M601" s="21"/>
      <c r="N601" s="52"/>
      <c r="O601" s="52"/>
    </row>
    <row r="602">
      <c r="A602" s="102"/>
      <c r="B602" s="13"/>
      <c r="C602" s="15"/>
      <c r="D602" s="15"/>
      <c r="E602" s="15"/>
      <c r="F602" s="15"/>
      <c r="G602" s="13"/>
      <c r="H602" s="13"/>
      <c r="I602" s="23"/>
      <c r="J602" s="28"/>
      <c r="K602" s="21"/>
      <c r="L602" s="102"/>
      <c r="M602" s="21"/>
      <c r="N602" s="52"/>
      <c r="O602" s="52"/>
    </row>
    <row r="603">
      <c r="A603" s="102"/>
      <c r="B603" s="13"/>
      <c r="C603" s="15"/>
      <c r="D603" s="15"/>
      <c r="E603" s="15"/>
      <c r="F603" s="15"/>
      <c r="G603" s="13"/>
      <c r="H603" s="13"/>
      <c r="I603" s="23"/>
      <c r="J603" s="28"/>
      <c r="K603" s="21"/>
      <c r="L603" s="102"/>
      <c r="M603" s="21"/>
      <c r="N603" s="52"/>
      <c r="O603" s="52"/>
    </row>
    <row r="604">
      <c r="A604" s="102"/>
      <c r="B604" s="13"/>
      <c r="C604" s="15"/>
      <c r="D604" s="15"/>
      <c r="E604" s="15"/>
      <c r="F604" s="15"/>
      <c r="G604" s="13"/>
      <c r="H604" s="13"/>
      <c r="I604" s="23"/>
      <c r="J604" s="28"/>
      <c r="K604" s="21"/>
      <c r="L604" s="102"/>
      <c r="M604" s="21"/>
      <c r="N604" s="52"/>
      <c r="O604" s="52"/>
    </row>
    <row r="605">
      <c r="A605" s="102"/>
      <c r="B605" s="13"/>
      <c r="C605" s="15"/>
      <c r="D605" s="15"/>
      <c r="E605" s="15"/>
      <c r="F605" s="15"/>
      <c r="G605" s="13"/>
      <c r="H605" s="13"/>
      <c r="I605" s="23"/>
      <c r="J605" s="28"/>
      <c r="K605" s="21"/>
      <c r="L605" s="102"/>
      <c r="M605" s="21"/>
      <c r="N605" s="52"/>
      <c r="O605" s="52"/>
    </row>
    <row r="606">
      <c r="A606" s="102"/>
      <c r="B606" s="13"/>
      <c r="C606" s="15"/>
      <c r="D606" s="15"/>
      <c r="E606" s="15"/>
      <c r="F606" s="15"/>
      <c r="G606" s="13"/>
      <c r="H606" s="13"/>
      <c r="I606" s="23"/>
      <c r="J606" s="28"/>
      <c r="K606" s="21"/>
      <c r="L606" s="102"/>
      <c r="M606" s="21"/>
      <c r="N606" s="52"/>
      <c r="O606" s="52"/>
    </row>
    <row r="607">
      <c r="A607" s="102"/>
      <c r="B607" s="13"/>
      <c r="C607" s="15"/>
      <c r="D607" s="15"/>
      <c r="E607" s="15"/>
      <c r="F607" s="15"/>
      <c r="G607" s="13"/>
      <c r="H607" s="13"/>
      <c r="I607" s="23"/>
      <c r="J607" s="28"/>
      <c r="K607" s="21"/>
      <c r="L607" s="102"/>
      <c r="M607" s="21"/>
      <c r="N607" s="52"/>
      <c r="O607" s="52"/>
    </row>
    <row r="608">
      <c r="A608" s="102"/>
      <c r="B608" s="13"/>
      <c r="C608" s="15"/>
      <c r="D608" s="15"/>
      <c r="E608" s="15"/>
      <c r="F608" s="15"/>
      <c r="G608" s="13"/>
      <c r="H608" s="13"/>
      <c r="I608" s="23"/>
      <c r="J608" s="28"/>
      <c r="K608" s="21"/>
      <c r="L608" s="102"/>
      <c r="M608" s="21"/>
      <c r="N608" s="52"/>
      <c r="O608" s="52"/>
    </row>
    <row r="609">
      <c r="A609" s="102"/>
      <c r="B609" s="13"/>
      <c r="C609" s="15"/>
      <c r="D609" s="15"/>
      <c r="E609" s="15"/>
      <c r="F609" s="15"/>
      <c r="G609" s="13"/>
      <c r="H609" s="13"/>
      <c r="I609" s="23"/>
      <c r="J609" s="28"/>
      <c r="K609" s="21"/>
      <c r="L609" s="102"/>
      <c r="M609" s="21"/>
      <c r="N609" s="52"/>
      <c r="O609" s="52"/>
    </row>
    <row r="610">
      <c r="A610" s="102"/>
      <c r="B610" s="13"/>
      <c r="C610" s="15"/>
      <c r="D610" s="15"/>
      <c r="E610" s="15"/>
      <c r="F610" s="15"/>
      <c r="G610" s="13"/>
      <c r="H610" s="13"/>
      <c r="I610" s="23"/>
      <c r="J610" s="28"/>
      <c r="K610" s="21"/>
      <c r="L610" s="102"/>
      <c r="M610" s="21"/>
      <c r="N610" s="52"/>
      <c r="O610" s="52"/>
    </row>
    <row r="611">
      <c r="A611" s="102"/>
      <c r="B611" s="13"/>
      <c r="C611" s="15"/>
      <c r="D611" s="15"/>
      <c r="E611" s="15"/>
      <c r="F611" s="15"/>
      <c r="G611" s="13"/>
      <c r="H611" s="13"/>
      <c r="I611" s="23"/>
      <c r="J611" s="28"/>
      <c r="K611" s="21"/>
      <c r="L611" s="102"/>
      <c r="M611" s="21"/>
      <c r="N611" s="52"/>
      <c r="O611" s="52"/>
    </row>
    <row r="612">
      <c r="A612" s="102"/>
      <c r="B612" s="13"/>
      <c r="C612" s="15"/>
      <c r="D612" s="15"/>
      <c r="E612" s="15"/>
      <c r="F612" s="15"/>
      <c r="G612" s="13"/>
      <c r="H612" s="13"/>
      <c r="I612" s="23"/>
      <c r="J612" s="28"/>
      <c r="K612" s="21"/>
      <c r="L612" s="102"/>
      <c r="M612" s="21"/>
      <c r="N612" s="52"/>
      <c r="O612" s="52"/>
    </row>
    <row r="613">
      <c r="A613" s="102"/>
      <c r="B613" s="13"/>
      <c r="C613" s="15"/>
      <c r="D613" s="15"/>
      <c r="E613" s="15"/>
      <c r="F613" s="15"/>
      <c r="G613" s="13"/>
      <c r="H613" s="13"/>
      <c r="I613" s="23"/>
      <c r="J613" s="28"/>
      <c r="K613" s="21"/>
      <c r="L613" s="102"/>
      <c r="M613" s="21"/>
      <c r="N613" s="52"/>
      <c r="O613" s="52"/>
    </row>
    <row r="614">
      <c r="A614" s="102"/>
      <c r="B614" s="13"/>
      <c r="C614" s="15"/>
      <c r="D614" s="15"/>
      <c r="E614" s="15"/>
      <c r="F614" s="15"/>
      <c r="G614" s="13"/>
      <c r="H614" s="13"/>
      <c r="I614" s="23"/>
      <c r="J614" s="28"/>
      <c r="K614" s="21"/>
      <c r="L614" s="102"/>
      <c r="M614" s="21"/>
      <c r="N614" s="52"/>
      <c r="O614" s="52"/>
    </row>
    <row r="615">
      <c r="A615" s="102"/>
      <c r="B615" s="13"/>
      <c r="C615" s="15"/>
      <c r="D615" s="15"/>
      <c r="E615" s="15"/>
      <c r="F615" s="15"/>
      <c r="G615" s="13"/>
      <c r="H615" s="13"/>
      <c r="I615" s="23"/>
      <c r="J615" s="28"/>
      <c r="K615" s="21"/>
      <c r="L615" s="102"/>
      <c r="M615" s="21"/>
      <c r="N615" s="52"/>
      <c r="O615" s="52"/>
    </row>
    <row r="616">
      <c r="A616" s="102"/>
      <c r="B616" s="13"/>
      <c r="C616" s="15"/>
      <c r="D616" s="15"/>
      <c r="E616" s="15"/>
      <c r="F616" s="15"/>
      <c r="G616" s="13"/>
      <c r="H616" s="13"/>
      <c r="I616" s="23"/>
      <c r="J616" s="28"/>
      <c r="K616" s="21"/>
      <c r="L616" s="102"/>
      <c r="M616" s="21"/>
      <c r="N616" s="52"/>
      <c r="O616" s="52"/>
    </row>
    <row r="617">
      <c r="A617" s="102"/>
      <c r="B617" s="13"/>
      <c r="C617" s="15"/>
      <c r="D617" s="15"/>
      <c r="E617" s="15"/>
      <c r="F617" s="15"/>
      <c r="G617" s="13"/>
      <c r="H617" s="13"/>
      <c r="I617" s="23"/>
      <c r="J617" s="28"/>
      <c r="K617" s="21"/>
      <c r="L617" s="102"/>
      <c r="M617" s="21"/>
      <c r="N617" s="52"/>
      <c r="O617" s="52"/>
    </row>
    <row r="618">
      <c r="A618" s="102"/>
      <c r="B618" s="13"/>
      <c r="C618" s="15"/>
      <c r="D618" s="15"/>
      <c r="E618" s="15"/>
      <c r="F618" s="15"/>
      <c r="G618" s="13"/>
      <c r="H618" s="13"/>
      <c r="I618" s="23"/>
      <c r="J618" s="28"/>
      <c r="K618" s="21"/>
      <c r="L618" s="102"/>
      <c r="M618" s="21"/>
      <c r="N618" s="52"/>
      <c r="O618" s="52"/>
    </row>
    <row r="619">
      <c r="A619" s="102"/>
      <c r="B619" s="13"/>
      <c r="C619" s="15"/>
      <c r="D619" s="15"/>
      <c r="E619" s="15"/>
      <c r="F619" s="15"/>
      <c r="G619" s="13"/>
      <c r="H619" s="13"/>
      <c r="I619" s="23"/>
      <c r="J619" s="28"/>
      <c r="K619" s="21"/>
      <c r="L619" s="102"/>
      <c r="M619" s="21"/>
      <c r="N619" s="52"/>
      <c r="O619" s="52"/>
    </row>
    <row r="620">
      <c r="A620" s="102"/>
      <c r="B620" s="13"/>
      <c r="C620" s="15"/>
      <c r="D620" s="15"/>
      <c r="E620" s="15"/>
      <c r="F620" s="15"/>
      <c r="G620" s="13"/>
      <c r="H620" s="13"/>
      <c r="I620" s="23"/>
      <c r="J620" s="28"/>
      <c r="K620" s="21"/>
      <c r="L620" s="102"/>
      <c r="M620" s="21"/>
      <c r="N620" s="52"/>
      <c r="O620" s="52"/>
    </row>
    <row r="621">
      <c r="A621" s="102"/>
      <c r="B621" s="13"/>
      <c r="C621" s="15"/>
      <c r="D621" s="15"/>
      <c r="E621" s="15"/>
      <c r="F621" s="15"/>
      <c r="G621" s="13"/>
      <c r="H621" s="13"/>
      <c r="I621" s="23"/>
      <c r="J621" s="28"/>
      <c r="K621" s="21"/>
      <c r="L621" s="102"/>
      <c r="M621" s="21"/>
      <c r="N621" s="52"/>
      <c r="O621" s="52"/>
    </row>
    <row r="622">
      <c r="A622" s="102"/>
      <c r="B622" s="13"/>
      <c r="C622" s="15"/>
      <c r="D622" s="15"/>
      <c r="E622" s="15"/>
      <c r="F622" s="15"/>
      <c r="G622" s="13"/>
      <c r="H622" s="13"/>
      <c r="I622" s="23"/>
      <c r="J622" s="28"/>
      <c r="K622" s="21"/>
      <c r="L622" s="102"/>
      <c r="M622" s="21"/>
      <c r="N622" s="52"/>
      <c r="O622" s="52"/>
    </row>
    <row r="623">
      <c r="A623" s="102"/>
      <c r="B623" s="13"/>
      <c r="C623" s="15"/>
      <c r="D623" s="15"/>
      <c r="E623" s="15"/>
      <c r="F623" s="15"/>
      <c r="G623" s="13"/>
      <c r="H623" s="13"/>
      <c r="I623" s="23"/>
      <c r="J623" s="28"/>
      <c r="K623" s="21"/>
      <c r="L623" s="102"/>
      <c r="M623" s="21"/>
      <c r="N623" s="52"/>
      <c r="O623" s="52"/>
    </row>
    <row r="624">
      <c r="A624" s="102"/>
      <c r="B624" s="13"/>
      <c r="C624" s="15"/>
      <c r="D624" s="15"/>
      <c r="E624" s="15"/>
      <c r="F624" s="15"/>
      <c r="G624" s="13"/>
      <c r="H624" s="13"/>
      <c r="I624" s="23"/>
      <c r="J624" s="28"/>
      <c r="K624" s="21"/>
      <c r="L624" s="102"/>
      <c r="M624" s="21"/>
      <c r="N624" s="52"/>
      <c r="O624" s="52"/>
    </row>
    <row r="625">
      <c r="A625" s="102"/>
      <c r="B625" s="13"/>
      <c r="C625" s="15"/>
      <c r="D625" s="15"/>
      <c r="E625" s="15"/>
      <c r="F625" s="15"/>
      <c r="G625" s="13"/>
      <c r="H625" s="13"/>
      <c r="I625" s="23"/>
      <c r="J625" s="28"/>
      <c r="K625" s="21"/>
      <c r="L625" s="102"/>
      <c r="M625" s="21"/>
      <c r="N625" s="52"/>
      <c r="O625" s="52"/>
    </row>
    <row r="626">
      <c r="A626" s="102"/>
      <c r="B626" s="13"/>
      <c r="C626" s="15"/>
      <c r="D626" s="15"/>
      <c r="E626" s="15"/>
      <c r="F626" s="15"/>
      <c r="G626" s="13"/>
      <c r="H626" s="13"/>
      <c r="I626" s="23"/>
      <c r="J626" s="28"/>
      <c r="K626" s="21"/>
      <c r="L626" s="102"/>
      <c r="M626" s="21"/>
      <c r="N626" s="52"/>
      <c r="O626" s="52"/>
    </row>
    <row r="627">
      <c r="A627" s="102"/>
      <c r="B627" s="13"/>
      <c r="C627" s="15"/>
      <c r="D627" s="15"/>
      <c r="E627" s="15"/>
      <c r="F627" s="15"/>
      <c r="G627" s="13"/>
      <c r="H627" s="13"/>
      <c r="I627" s="23"/>
      <c r="J627" s="28"/>
      <c r="K627" s="21"/>
      <c r="L627" s="102"/>
      <c r="M627" s="21"/>
      <c r="N627" s="52"/>
      <c r="O627" s="52"/>
    </row>
    <row r="628">
      <c r="A628" s="102"/>
      <c r="B628" s="13"/>
      <c r="C628" s="15"/>
      <c r="D628" s="15"/>
      <c r="E628" s="15"/>
      <c r="F628" s="15"/>
      <c r="G628" s="13"/>
      <c r="H628" s="13"/>
      <c r="I628" s="23"/>
      <c r="J628" s="28"/>
      <c r="K628" s="21"/>
      <c r="L628" s="102"/>
      <c r="M628" s="21"/>
      <c r="N628" s="52"/>
      <c r="O628" s="52"/>
    </row>
    <row r="629">
      <c r="A629" s="102"/>
      <c r="B629" s="13"/>
      <c r="C629" s="15"/>
      <c r="D629" s="15"/>
      <c r="E629" s="15"/>
      <c r="F629" s="15"/>
      <c r="G629" s="13"/>
      <c r="H629" s="13"/>
      <c r="I629" s="23"/>
      <c r="J629" s="28"/>
      <c r="K629" s="21"/>
      <c r="L629" s="102"/>
      <c r="M629" s="21"/>
      <c r="N629" s="52"/>
      <c r="O629" s="52"/>
    </row>
    <row r="630">
      <c r="A630" s="102"/>
      <c r="B630" s="13"/>
      <c r="C630" s="15"/>
      <c r="D630" s="15"/>
      <c r="E630" s="15"/>
      <c r="F630" s="15"/>
      <c r="G630" s="13"/>
      <c r="H630" s="13"/>
      <c r="I630" s="23"/>
      <c r="J630" s="28"/>
      <c r="K630" s="21"/>
      <c r="L630" s="102"/>
      <c r="M630" s="21"/>
      <c r="N630" s="52"/>
      <c r="O630" s="52"/>
    </row>
    <row r="631">
      <c r="A631" s="102"/>
      <c r="B631" s="13"/>
      <c r="C631" s="15"/>
      <c r="D631" s="15"/>
      <c r="E631" s="15"/>
      <c r="F631" s="15"/>
      <c r="G631" s="13"/>
      <c r="H631" s="13"/>
      <c r="I631" s="23"/>
      <c r="J631" s="28"/>
      <c r="K631" s="21"/>
      <c r="L631" s="102"/>
      <c r="M631" s="21"/>
      <c r="N631" s="52"/>
      <c r="O631" s="52"/>
    </row>
    <row r="632">
      <c r="A632" s="102"/>
      <c r="B632" s="13"/>
      <c r="C632" s="15"/>
      <c r="D632" s="15"/>
      <c r="E632" s="15"/>
      <c r="F632" s="15"/>
      <c r="G632" s="13"/>
      <c r="H632" s="13"/>
      <c r="I632" s="23"/>
      <c r="J632" s="28"/>
      <c r="K632" s="21"/>
      <c r="L632" s="102"/>
      <c r="M632" s="21"/>
      <c r="N632" s="52"/>
      <c r="O632" s="52"/>
    </row>
    <row r="633">
      <c r="A633" s="102"/>
      <c r="B633" s="13"/>
      <c r="C633" s="15"/>
      <c r="D633" s="15"/>
      <c r="E633" s="15"/>
      <c r="F633" s="15"/>
      <c r="G633" s="13"/>
      <c r="H633" s="13"/>
      <c r="I633" s="23"/>
      <c r="J633" s="28"/>
      <c r="K633" s="21"/>
      <c r="L633" s="102"/>
      <c r="M633" s="21"/>
      <c r="N633" s="52"/>
      <c r="O633" s="52"/>
    </row>
    <row r="634">
      <c r="A634" s="102"/>
      <c r="B634" s="13"/>
      <c r="C634" s="15"/>
      <c r="D634" s="15"/>
      <c r="E634" s="15"/>
      <c r="F634" s="15"/>
      <c r="G634" s="13"/>
      <c r="H634" s="13"/>
      <c r="I634" s="23"/>
      <c r="J634" s="28"/>
      <c r="K634" s="21"/>
      <c r="L634" s="102"/>
      <c r="M634" s="21"/>
      <c r="N634" s="52"/>
      <c r="O634" s="52"/>
    </row>
    <row r="635">
      <c r="A635" s="102"/>
      <c r="B635" s="13"/>
      <c r="C635" s="15"/>
      <c r="D635" s="15"/>
      <c r="E635" s="15"/>
      <c r="F635" s="15"/>
      <c r="G635" s="13"/>
      <c r="H635" s="13"/>
      <c r="I635" s="23"/>
      <c r="J635" s="28"/>
      <c r="K635" s="21"/>
      <c r="L635" s="102"/>
      <c r="M635" s="21"/>
      <c r="N635" s="52"/>
      <c r="O635" s="52"/>
    </row>
    <row r="636">
      <c r="A636" s="102"/>
      <c r="B636" s="13"/>
      <c r="C636" s="15"/>
      <c r="D636" s="15"/>
      <c r="E636" s="15"/>
      <c r="F636" s="15"/>
      <c r="G636" s="13"/>
      <c r="H636" s="13"/>
      <c r="I636" s="23"/>
      <c r="J636" s="28"/>
      <c r="K636" s="21"/>
      <c r="L636" s="102"/>
      <c r="M636" s="21"/>
      <c r="N636" s="52"/>
      <c r="O636" s="52"/>
    </row>
    <row r="637">
      <c r="A637" s="102"/>
      <c r="B637" s="13"/>
      <c r="C637" s="15"/>
      <c r="D637" s="15"/>
      <c r="E637" s="15"/>
      <c r="F637" s="15"/>
      <c r="G637" s="13"/>
      <c r="H637" s="13"/>
      <c r="I637" s="23"/>
      <c r="J637" s="28"/>
      <c r="K637" s="21"/>
      <c r="L637" s="102"/>
      <c r="M637" s="21"/>
      <c r="N637" s="52"/>
      <c r="O637" s="52"/>
    </row>
    <row r="638">
      <c r="A638" s="102"/>
      <c r="B638" s="13"/>
      <c r="C638" s="15"/>
      <c r="D638" s="15"/>
      <c r="E638" s="15"/>
      <c r="F638" s="15"/>
      <c r="G638" s="13"/>
      <c r="H638" s="13"/>
      <c r="I638" s="23"/>
      <c r="J638" s="28"/>
      <c r="K638" s="21"/>
      <c r="L638" s="102"/>
      <c r="M638" s="21"/>
      <c r="N638" s="52"/>
      <c r="O638" s="52"/>
    </row>
    <row r="639">
      <c r="A639" s="102"/>
      <c r="B639" s="13"/>
      <c r="C639" s="15"/>
      <c r="D639" s="15"/>
      <c r="E639" s="15"/>
      <c r="F639" s="15"/>
      <c r="G639" s="13"/>
      <c r="H639" s="13"/>
      <c r="I639" s="23"/>
      <c r="J639" s="28"/>
      <c r="K639" s="21"/>
      <c r="L639" s="102"/>
      <c r="M639" s="21"/>
      <c r="N639" s="52"/>
      <c r="O639" s="52"/>
    </row>
    <row r="640">
      <c r="A640" s="102"/>
      <c r="B640" s="13"/>
      <c r="C640" s="15"/>
      <c r="D640" s="15"/>
      <c r="E640" s="15"/>
      <c r="F640" s="15"/>
      <c r="G640" s="13"/>
      <c r="H640" s="13"/>
      <c r="I640" s="23"/>
      <c r="J640" s="28"/>
      <c r="K640" s="21"/>
      <c r="L640" s="102"/>
      <c r="M640" s="21"/>
      <c r="N640" s="52"/>
      <c r="O640" s="52"/>
    </row>
    <row r="641">
      <c r="A641" s="102"/>
      <c r="B641" s="13"/>
      <c r="C641" s="15"/>
      <c r="D641" s="15"/>
      <c r="E641" s="15"/>
      <c r="F641" s="15"/>
      <c r="G641" s="13"/>
      <c r="H641" s="13"/>
      <c r="I641" s="23"/>
      <c r="J641" s="28"/>
      <c r="K641" s="21"/>
      <c r="L641" s="102"/>
      <c r="M641" s="21"/>
      <c r="N641" s="52"/>
      <c r="O641" s="52"/>
    </row>
    <row r="642">
      <c r="A642" s="102"/>
      <c r="B642" s="13"/>
      <c r="C642" s="15"/>
      <c r="D642" s="15"/>
      <c r="E642" s="15"/>
      <c r="F642" s="15"/>
      <c r="G642" s="13"/>
      <c r="H642" s="13"/>
      <c r="I642" s="23"/>
      <c r="J642" s="28"/>
      <c r="K642" s="21"/>
      <c r="L642" s="102"/>
      <c r="M642" s="21"/>
      <c r="N642" s="52"/>
      <c r="O642" s="52"/>
    </row>
    <row r="643">
      <c r="A643" s="102"/>
      <c r="B643" s="13"/>
      <c r="C643" s="15"/>
      <c r="D643" s="15"/>
      <c r="E643" s="15"/>
      <c r="F643" s="15"/>
      <c r="G643" s="13"/>
      <c r="H643" s="13"/>
      <c r="I643" s="23"/>
      <c r="J643" s="28"/>
      <c r="K643" s="21"/>
      <c r="L643" s="102"/>
      <c r="M643" s="21"/>
      <c r="N643" s="52"/>
      <c r="O643" s="52"/>
    </row>
    <row r="644">
      <c r="A644" s="102"/>
      <c r="B644" s="13"/>
      <c r="C644" s="15"/>
      <c r="D644" s="15"/>
      <c r="E644" s="15"/>
      <c r="F644" s="15"/>
      <c r="G644" s="13"/>
      <c r="H644" s="13"/>
      <c r="I644" s="23"/>
      <c r="J644" s="28"/>
      <c r="K644" s="21"/>
      <c r="L644" s="102"/>
      <c r="M644" s="21"/>
      <c r="N644" s="52"/>
      <c r="O644" s="52"/>
    </row>
    <row r="645">
      <c r="A645" s="102"/>
      <c r="B645" s="13"/>
      <c r="C645" s="15"/>
      <c r="D645" s="15"/>
      <c r="E645" s="15"/>
      <c r="F645" s="15"/>
      <c r="G645" s="13"/>
      <c r="H645" s="13"/>
      <c r="I645" s="23"/>
      <c r="J645" s="28"/>
      <c r="K645" s="21"/>
      <c r="L645" s="102"/>
      <c r="M645" s="21"/>
      <c r="N645" s="52"/>
      <c r="O645" s="52"/>
    </row>
    <row r="646">
      <c r="A646" s="102"/>
      <c r="B646" s="13"/>
      <c r="C646" s="15"/>
      <c r="D646" s="15"/>
      <c r="E646" s="15"/>
      <c r="F646" s="15"/>
      <c r="G646" s="13"/>
      <c r="H646" s="13"/>
      <c r="I646" s="23"/>
      <c r="J646" s="28"/>
      <c r="K646" s="21"/>
      <c r="L646" s="102"/>
      <c r="M646" s="21"/>
      <c r="N646" s="52"/>
      <c r="O646" s="52"/>
    </row>
    <row r="647">
      <c r="A647" s="102"/>
      <c r="B647" s="13"/>
      <c r="C647" s="15"/>
      <c r="D647" s="15"/>
      <c r="E647" s="15"/>
      <c r="F647" s="15"/>
      <c r="G647" s="13"/>
      <c r="H647" s="13"/>
      <c r="I647" s="23"/>
      <c r="J647" s="28"/>
      <c r="K647" s="21"/>
      <c r="L647" s="102"/>
      <c r="M647" s="21"/>
      <c r="N647" s="52"/>
      <c r="O647" s="52"/>
    </row>
    <row r="648">
      <c r="A648" s="102"/>
      <c r="B648" s="13"/>
      <c r="C648" s="15"/>
      <c r="D648" s="15"/>
      <c r="E648" s="15"/>
      <c r="F648" s="15"/>
      <c r="G648" s="13"/>
      <c r="H648" s="13"/>
      <c r="I648" s="23"/>
      <c r="J648" s="28"/>
      <c r="K648" s="21"/>
      <c r="L648" s="102"/>
      <c r="M648" s="21"/>
      <c r="N648" s="52"/>
      <c r="O648" s="52"/>
    </row>
    <row r="649">
      <c r="A649" s="102"/>
      <c r="B649" s="13"/>
      <c r="C649" s="15"/>
      <c r="D649" s="15"/>
      <c r="E649" s="15"/>
      <c r="F649" s="15"/>
      <c r="G649" s="13"/>
      <c r="H649" s="13"/>
      <c r="I649" s="23"/>
      <c r="J649" s="28"/>
      <c r="K649" s="21"/>
      <c r="L649" s="102"/>
      <c r="M649" s="21"/>
      <c r="N649" s="52"/>
      <c r="O649" s="52"/>
    </row>
    <row r="650">
      <c r="A650" s="102"/>
      <c r="B650" s="13"/>
      <c r="C650" s="15"/>
      <c r="D650" s="15"/>
      <c r="E650" s="15"/>
      <c r="F650" s="15"/>
      <c r="G650" s="13"/>
      <c r="H650" s="13"/>
      <c r="I650" s="23"/>
      <c r="J650" s="28"/>
      <c r="K650" s="21"/>
      <c r="L650" s="102"/>
      <c r="M650" s="21"/>
      <c r="N650" s="52"/>
      <c r="O650" s="52"/>
    </row>
    <row r="651">
      <c r="A651" s="102"/>
      <c r="B651" s="13"/>
      <c r="C651" s="15"/>
      <c r="D651" s="15"/>
      <c r="E651" s="15"/>
      <c r="F651" s="15"/>
      <c r="G651" s="13"/>
      <c r="H651" s="13"/>
      <c r="I651" s="23"/>
      <c r="J651" s="28"/>
      <c r="K651" s="21"/>
      <c r="L651" s="102"/>
      <c r="M651" s="21"/>
      <c r="N651" s="52"/>
      <c r="O651" s="52"/>
    </row>
    <row r="652">
      <c r="A652" s="102"/>
      <c r="B652" s="13"/>
      <c r="C652" s="15"/>
      <c r="D652" s="15"/>
      <c r="E652" s="15"/>
      <c r="F652" s="15"/>
      <c r="G652" s="13"/>
      <c r="H652" s="13"/>
      <c r="I652" s="23"/>
      <c r="J652" s="28"/>
      <c r="K652" s="21"/>
      <c r="L652" s="102"/>
      <c r="M652" s="21"/>
      <c r="N652" s="52"/>
      <c r="O652" s="52"/>
    </row>
    <row r="653">
      <c r="A653" s="102"/>
      <c r="B653" s="13"/>
      <c r="C653" s="15"/>
      <c r="D653" s="15"/>
      <c r="E653" s="15"/>
      <c r="F653" s="15"/>
      <c r="G653" s="13"/>
      <c r="H653" s="13"/>
      <c r="I653" s="23"/>
      <c r="J653" s="28"/>
      <c r="K653" s="21"/>
      <c r="L653" s="102"/>
      <c r="M653" s="21"/>
      <c r="N653" s="52"/>
      <c r="O653" s="52"/>
    </row>
    <row r="654">
      <c r="A654" s="102"/>
      <c r="B654" s="13"/>
      <c r="C654" s="15"/>
      <c r="D654" s="15"/>
      <c r="E654" s="15"/>
      <c r="F654" s="15"/>
      <c r="G654" s="13"/>
      <c r="H654" s="13"/>
      <c r="I654" s="23"/>
      <c r="J654" s="28"/>
      <c r="K654" s="21"/>
      <c r="L654" s="102"/>
      <c r="M654" s="21"/>
      <c r="N654" s="52"/>
      <c r="O654" s="52"/>
    </row>
    <row r="655">
      <c r="A655" s="102"/>
      <c r="B655" s="13"/>
      <c r="C655" s="15"/>
      <c r="D655" s="15"/>
      <c r="E655" s="15"/>
      <c r="F655" s="15"/>
      <c r="G655" s="13"/>
      <c r="H655" s="13"/>
      <c r="I655" s="23"/>
      <c r="J655" s="28"/>
      <c r="K655" s="21"/>
      <c r="L655" s="102"/>
      <c r="M655" s="21"/>
      <c r="N655" s="52"/>
      <c r="O655" s="52"/>
    </row>
    <row r="656">
      <c r="A656" s="102"/>
      <c r="B656" s="13"/>
      <c r="C656" s="15"/>
      <c r="D656" s="15"/>
      <c r="E656" s="15"/>
      <c r="F656" s="15"/>
      <c r="G656" s="13"/>
      <c r="H656" s="13"/>
      <c r="I656" s="23"/>
      <c r="J656" s="28"/>
      <c r="K656" s="21"/>
      <c r="L656" s="102"/>
      <c r="M656" s="21"/>
      <c r="N656" s="52"/>
      <c r="O656" s="52"/>
    </row>
    <row r="657">
      <c r="A657" s="102"/>
      <c r="B657" s="13"/>
      <c r="C657" s="15"/>
      <c r="D657" s="15"/>
      <c r="E657" s="15"/>
      <c r="F657" s="15"/>
      <c r="G657" s="13"/>
      <c r="H657" s="13"/>
      <c r="I657" s="23"/>
      <c r="J657" s="28"/>
      <c r="K657" s="21"/>
      <c r="L657" s="102"/>
      <c r="M657" s="21"/>
      <c r="N657" s="52"/>
      <c r="O657" s="52"/>
    </row>
    <row r="658">
      <c r="A658" s="102"/>
      <c r="B658" s="13"/>
      <c r="C658" s="15"/>
      <c r="D658" s="15"/>
      <c r="E658" s="15"/>
      <c r="F658" s="15"/>
      <c r="G658" s="13"/>
      <c r="H658" s="13"/>
      <c r="I658" s="23"/>
      <c r="J658" s="28"/>
      <c r="K658" s="21"/>
      <c r="L658" s="102"/>
      <c r="M658" s="21"/>
      <c r="N658" s="52"/>
      <c r="O658" s="52"/>
    </row>
    <row r="659">
      <c r="A659" s="102"/>
      <c r="B659" s="13"/>
      <c r="C659" s="15"/>
      <c r="D659" s="15"/>
      <c r="E659" s="15"/>
      <c r="F659" s="15"/>
      <c r="G659" s="13"/>
      <c r="H659" s="13"/>
      <c r="I659" s="23"/>
      <c r="J659" s="28"/>
      <c r="K659" s="21"/>
      <c r="L659" s="102"/>
      <c r="M659" s="21"/>
      <c r="N659" s="52"/>
      <c r="O659" s="52"/>
    </row>
    <row r="660">
      <c r="A660" s="102"/>
      <c r="B660" s="13"/>
      <c r="C660" s="15"/>
      <c r="D660" s="15"/>
      <c r="E660" s="15"/>
      <c r="F660" s="15"/>
      <c r="G660" s="13"/>
      <c r="H660" s="13"/>
      <c r="I660" s="23"/>
      <c r="J660" s="28"/>
      <c r="K660" s="21"/>
      <c r="L660" s="102"/>
      <c r="M660" s="21"/>
      <c r="N660" s="52"/>
      <c r="O660" s="52"/>
    </row>
    <row r="661">
      <c r="A661" s="102"/>
      <c r="B661" s="13"/>
      <c r="C661" s="15"/>
      <c r="D661" s="15"/>
      <c r="E661" s="15"/>
      <c r="F661" s="15"/>
      <c r="G661" s="13"/>
      <c r="H661" s="13"/>
      <c r="I661" s="23"/>
      <c r="J661" s="28"/>
      <c r="K661" s="21"/>
      <c r="L661" s="102"/>
      <c r="M661" s="21"/>
      <c r="N661" s="52"/>
      <c r="O661" s="52"/>
    </row>
    <row r="662">
      <c r="A662" s="102"/>
      <c r="B662" s="13"/>
      <c r="C662" s="15"/>
      <c r="D662" s="15"/>
      <c r="E662" s="15"/>
      <c r="F662" s="15"/>
      <c r="G662" s="13"/>
      <c r="H662" s="13"/>
      <c r="I662" s="23"/>
      <c r="J662" s="28"/>
      <c r="K662" s="21"/>
      <c r="L662" s="102"/>
      <c r="M662" s="21"/>
      <c r="N662" s="52"/>
      <c r="O662" s="52"/>
    </row>
    <row r="663">
      <c r="A663" s="102"/>
      <c r="B663" s="13"/>
      <c r="C663" s="15"/>
      <c r="D663" s="15"/>
      <c r="E663" s="15"/>
      <c r="F663" s="15"/>
      <c r="G663" s="13"/>
      <c r="H663" s="13"/>
      <c r="I663" s="23"/>
      <c r="J663" s="28"/>
      <c r="K663" s="21"/>
      <c r="L663" s="102"/>
      <c r="M663" s="21"/>
      <c r="N663" s="52"/>
      <c r="O663" s="52"/>
    </row>
    <row r="664">
      <c r="A664" s="102"/>
      <c r="B664" s="13"/>
      <c r="C664" s="15"/>
      <c r="D664" s="15"/>
      <c r="E664" s="15"/>
      <c r="F664" s="15"/>
      <c r="G664" s="13"/>
      <c r="H664" s="13"/>
      <c r="I664" s="23"/>
      <c r="J664" s="28"/>
      <c r="K664" s="21"/>
      <c r="L664" s="102"/>
      <c r="M664" s="21"/>
      <c r="N664" s="52"/>
      <c r="O664" s="52"/>
    </row>
    <row r="665">
      <c r="A665" s="102"/>
      <c r="B665" s="13"/>
      <c r="C665" s="15"/>
      <c r="D665" s="15"/>
      <c r="E665" s="15"/>
      <c r="F665" s="15"/>
      <c r="G665" s="13"/>
      <c r="H665" s="13"/>
      <c r="I665" s="23"/>
      <c r="J665" s="28"/>
      <c r="K665" s="21"/>
      <c r="L665" s="102"/>
      <c r="M665" s="21"/>
      <c r="N665" s="52"/>
      <c r="O665" s="52"/>
    </row>
    <row r="666">
      <c r="A666" s="102"/>
      <c r="B666" s="13"/>
      <c r="C666" s="15"/>
      <c r="D666" s="15"/>
      <c r="E666" s="15"/>
      <c r="F666" s="15"/>
      <c r="G666" s="13"/>
      <c r="H666" s="13"/>
      <c r="I666" s="23"/>
      <c r="J666" s="28"/>
      <c r="K666" s="21"/>
      <c r="L666" s="102"/>
      <c r="M666" s="21"/>
      <c r="N666" s="52"/>
      <c r="O666" s="52"/>
    </row>
    <row r="667">
      <c r="A667" s="102"/>
      <c r="B667" s="13"/>
      <c r="C667" s="15"/>
      <c r="D667" s="15"/>
      <c r="E667" s="15"/>
      <c r="F667" s="15"/>
      <c r="G667" s="13"/>
      <c r="H667" s="13"/>
      <c r="I667" s="23"/>
      <c r="J667" s="28"/>
      <c r="K667" s="21"/>
      <c r="L667" s="102"/>
      <c r="M667" s="21"/>
      <c r="N667" s="52"/>
      <c r="O667" s="52"/>
    </row>
    <row r="668">
      <c r="A668" s="102"/>
      <c r="B668" s="13"/>
      <c r="C668" s="15"/>
      <c r="D668" s="15"/>
      <c r="E668" s="15"/>
      <c r="F668" s="15"/>
      <c r="G668" s="13"/>
      <c r="H668" s="13"/>
      <c r="I668" s="23"/>
      <c r="J668" s="28"/>
      <c r="K668" s="21"/>
      <c r="L668" s="102"/>
      <c r="M668" s="21"/>
      <c r="N668" s="52"/>
      <c r="O668" s="52"/>
    </row>
    <row r="669">
      <c r="A669" s="102"/>
      <c r="B669" s="13"/>
      <c r="C669" s="15"/>
      <c r="D669" s="15"/>
      <c r="E669" s="15"/>
      <c r="F669" s="15"/>
      <c r="G669" s="13"/>
      <c r="H669" s="13"/>
      <c r="I669" s="23"/>
      <c r="J669" s="28"/>
      <c r="K669" s="21"/>
      <c r="L669" s="102"/>
      <c r="M669" s="21"/>
      <c r="N669" s="52"/>
      <c r="O669" s="52"/>
    </row>
    <row r="670">
      <c r="A670" s="102"/>
      <c r="B670" s="13"/>
      <c r="C670" s="15"/>
      <c r="D670" s="15"/>
      <c r="E670" s="15"/>
      <c r="F670" s="15"/>
      <c r="G670" s="13"/>
      <c r="H670" s="13"/>
      <c r="I670" s="23"/>
      <c r="J670" s="28"/>
      <c r="K670" s="21"/>
      <c r="L670" s="102"/>
      <c r="M670" s="21"/>
      <c r="N670" s="52"/>
      <c r="O670" s="52"/>
    </row>
    <row r="671">
      <c r="A671" s="102"/>
      <c r="B671" s="13"/>
      <c r="C671" s="15"/>
      <c r="D671" s="15"/>
      <c r="E671" s="15"/>
      <c r="F671" s="15"/>
      <c r="G671" s="13"/>
      <c r="H671" s="13"/>
      <c r="I671" s="23"/>
      <c r="J671" s="28"/>
      <c r="K671" s="21"/>
      <c r="L671" s="102"/>
      <c r="M671" s="21"/>
      <c r="N671" s="52"/>
      <c r="O671" s="52"/>
    </row>
    <row r="672">
      <c r="A672" s="102"/>
      <c r="B672" s="13"/>
      <c r="C672" s="15"/>
      <c r="D672" s="15"/>
      <c r="E672" s="15"/>
      <c r="F672" s="15"/>
      <c r="G672" s="13"/>
      <c r="H672" s="13"/>
      <c r="I672" s="23"/>
      <c r="J672" s="28"/>
      <c r="K672" s="21"/>
      <c r="L672" s="102"/>
      <c r="M672" s="21"/>
      <c r="N672" s="52"/>
      <c r="O672" s="52"/>
    </row>
    <row r="673">
      <c r="A673" s="102"/>
      <c r="B673" s="13"/>
      <c r="C673" s="15"/>
      <c r="D673" s="15"/>
      <c r="E673" s="15"/>
      <c r="F673" s="15"/>
      <c r="G673" s="13"/>
      <c r="H673" s="13"/>
      <c r="I673" s="23"/>
      <c r="J673" s="28"/>
      <c r="K673" s="21"/>
      <c r="L673" s="102"/>
      <c r="M673" s="21"/>
      <c r="N673" s="52"/>
      <c r="O673" s="52"/>
    </row>
    <row r="674">
      <c r="A674" s="102"/>
      <c r="B674" s="13"/>
      <c r="C674" s="15"/>
      <c r="D674" s="15"/>
      <c r="E674" s="15"/>
      <c r="F674" s="15"/>
      <c r="G674" s="13"/>
      <c r="H674" s="13"/>
      <c r="I674" s="23"/>
      <c r="J674" s="28"/>
      <c r="K674" s="21"/>
      <c r="L674" s="102"/>
      <c r="M674" s="21"/>
      <c r="N674" s="52"/>
      <c r="O674" s="52"/>
    </row>
    <row r="675">
      <c r="A675" s="102"/>
      <c r="B675" s="13"/>
      <c r="C675" s="15"/>
      <c r="D675" s="15"/>
      <c r="E675" s="15"/>
      <c r="F675" s="15"/>
      <c r="G675" s="13"/>
      <c r="H675" s="13"/>
      <c r="I675" s="23"/>
      <c r="J675" s="28"/>
      <c r="K675" s="21"/>
      <c r="L675" s="102"/>
      <c r="M675" s="21"/>
      <c r="N675" s="52"/>
      <c r="O675" s="52"/>
    </row>
    <row r="676">
      <c r="A676" s="102"/>
      <c r="B676" s="13"/>
      <c r="C676" s="15"/>
      <c r="D676" s="15"/>
      <c r="E676" s="15"/>
      <c r="F676" s="15"/>
      <c r="G676" s="13"/>
      <c r="H676" s="13"/>
      <c r="I676" s="23"/>
      <c r="J676" s="28"/>
      <c r="K676" s="21"/>
      <c r="L676" s="102"/>
      <c r="M676" s="21"/>
      <c r="N676" s="52"/>
      <c r="O676" s="52"/>
    </row>
    <row r="677">
      <c r="A677" s="102"/>
      <c r="B677" s="13"/>
      <c r="C677" s="15"/>
      <c r="D677" s="15"/>
      <c r="E677" s="15"/>
      <c r="F677" s="15"/>
      <c r="G677" s="13"/>
      <c r="H677" s="13"/>
      <c r="I677" s="23"/>
      <c r="J677" s="28"/>
      <c r="K677" s="21"/>
      <c r="L677" s="102"/>
      <c r="M677" s="21"/>
      <c r="N677" s="52"/>
      <c r="O677" s="52"/>
    </row>
    <row r="678">
      <c r="A678" s="102"/>
      <c r="B678" s="13"/>
      <c r="C678" s="15"/>
      <c r="D678" s="15"/>
      <c r="E678" s="15"/>
      <c r="F678" s="15"/>
      <c r="G678" s="13"/>
      <c r="H678" s="13"/>
      <c r="I678" s="23"/>
      <c r="J678" s="28"/>
      <c r="K678" s="21"/>
      <c r="L678" s="102"/>
      <c r="M678" s="21"/>
      <c r="N678" s="52"/>
      <c r="O678" s="52"/>
    </row>
    <row r="679">
      <c r="A679" s="102"/>
      <c r="B679" s="13"/>
      <c r="C679" s="15"/>
      <c r="D679" s="15"/>
      <c r="E679" s="15"/>
      <c r="F679" s="15"/>
      <c r="G679" s="13"/>
      <c r="H679" s="13"/>
      <c r="I679" s="23"/>
      <c r="J679" s="28"/>
      <c r="K679" s="21"/>
      <c r="L679" s="102"/>
      <c r="M679" s="21"/>
      <c r="N679" s="52"/>
      <c r="O679" s="52"/>
    </row>
    <row r="680">
      <c r="A680" s="102"/>
      <c r="B680" s="13"/>
      <c r="C680" s="15"/>
      <c r="D680" s="15"/>
      <c r="E680" s="15"/>
      <c r="F680" s="15"/>
      <c r="G680" s="13"/>
      <c r="H680" s="13"/>
      <c r="I680" s="23"/>
      <c r="J680" s="28"/>
      <c r="K680" s="21"/>
      <c r="L680" s="102"/>
      <c r="M680" s="21"/>
      <c r="N680" s="52"/>
      <c r="O680" s="52"/>
    </row>
    <row r="681">
      <c r="A681" s="102"/>
      <c r="B681" s="13"/>
      <c r="C681" s="15"/>
      <c r="D681" s="15"/>
      <c r="E681" s="15"/>
      <c r="F681" s="15"/>
      <c r="G681" s="13"/>
      <c r="H681" s="13"/>
      <c r="I681" s="23"/>
      <c r="J681" s="28"/>
      <c r="K681" s="21"/>
      <c r="L681" s="102"/>
      <c r="M681" s="21"/>
      <c r="N681" s="52"/>
      <c r="O681" s="52"/>
    </row>
    <row r="682">
      <c r="A682" s="102"/>
      <c r="B682" s="13"/>
      <c r="C682" s="15"/>
      <c r="D682" s="15"/>
      <c r="E682" s="15"/>
      <c r="F682" s="15"/>
      <c r="G682" s="13"/>
      <c r="H682" s="13"/>
      <c r="I682" s="23"/>
      <c r="J682" s="28"/>
      <c r="K682" s="21"/>
      <c r="L682" s="102"/>
      <c r="M682" s="21"/>
      <c r="N682" s="52"/>
      <c r="O682" s="52"/>
    </row>
    <row r="683">
      <c r="A683" s="102"/>
      <c r="B683" s="13"/>
      <c r="C683" s="15"/>
      <c r="D683" s="15"/>
      <c r="E683" s="15"/>
      <c r="F683" s="15"/>
      <c r="G683" s="13"/>
      <c r="H683" s="13"/>
      <c r="I683" s="23"/>
      <c r="J683" s="28"/>
      <c r="K683" s="21"/>
      <c r="L683" s="102"/>
      <c r="M683" s="21"/>
      <c r="N683" s="52"/>
      <c r="O683" s="52"/>
    </row>
    <row r="684">
      <c r="A684" s="102"/>
      <c r="B684" s="13"/>
      <c r="C684" s="15"/>
      <c r="D684" s="15"/>
      <c r="E684" s="15"/>
      <c r="F684" s="15"/>
      <c r="G684" s="13"/>
      <c r="H684" s="13"/>
      <c r="I684" s="23"/>
      <c r="J684" s="28"/>
      <c r="K684" s="21"/>
      <c r="L684" s="102"/>
      <c r="M684" s="21"/>
      <c r="N684" s="52"/>
      <c r="O684" s="52"/>
    </row>
    <row r="685">
      <c r="A685" s="102"/>
      <c r="B685" s="13"/>
      <c r="C685" s="15"/>
      <c r="D685" s="15"/>
      <c r="E685" s="15"/>
      <c r="F685" s="15"/>
      <c r="G685" s="13"/>
      <c r="H685" s="13"/>
      <c r="I685" s="23"/>
      <c r="J685" s="28"/>
      <c r="K685" s="21"/>
      <c r="L685" s="102"/>
      <c r="M685" s="21"/>
      <c r="N685" s="52"/>
      <c r="O685" s="52"/>
    </row>
    <row r="686">
      <c r="A686" s="102"/>
      <c r="B686" s="13"/>
      <c r="C686" s="15"/>
      <c r="D686" s="15"/>
      <c r="E686" s="15"/>
      <c r="F686" s="15"/>
      <c r="G686" s="13"/>
      <c r="H686" s="13"/>
      <c r="I686" s="23"/>
      <c r="J686" s="28"/>
      <c r="K686" s="21"/>
      <c r="L686" s="102"/>
      <c r="M686" s="21"/>
      <c r="N686" s="52"/>
      <c r="O686" s="52"/>
    </row>
    <row r="687">
      <c r="A687" s="102"/>
      <c r="B687" s="13"/>
      <c r="C687" s="15"/>
      <c r="D687" s="15"/>
      <c r="E687" s="15"/>
      <c r="F687" s="15"/>
      <c r="G687" s="13"/>
      <c r="H687" s="13"/>
      <c r="I687" s="23"/>
      <c r="J687" s="28"/>
      <c r="K687" s="21"/>
      <c r="L687" s="102"/>
      <c r="M687" s="21"/>
      <c r="N687" s="52"/>
      <c r="O687" s="52"/>
    </row>
    <row r="688">
      <c r="A688" s="102"/>
      <c r="B688" s="13"/>
      <c r="C688" s="15"/>
      <c r="D688" s="15"/>
      <c r="E688" s="15"/>
      <c r="F688" s="15"/>
      <c r="G688" s="13"/>
      <c r="H688" s="13"/>
      <c r="I688" s="23"/>
      <c r="J688" s="28"/>
      <c r="K688" s="21"/>
      <c r="L688" s="102"/>
      <c r="M688" s="21"/>
      <c r="N688" s="52"/>
      <c r="O688" s="52"/>
    </row>
    <row r="689">
      <c r="A689" s="102"/>
      <c r="B689" s="13"/>
      <c r="C689" s="15"/>
      <c r="D689" s="15"/>
      <c r="E689" s="15"/>
      <c r="F689" s="15"/>
      <c r="G689" s="13"/>
      <c r="H689" s="13"/>
      <c r="I689" s="23"/>
      <c r="J689" s="28"/>
      <c r="K689" s="21"/>
      <c r="L689" s="102"/>
      <c r="M689" s="21"/>
      <c r="N689" s="52"/>
      <c r="O689" s="52"/>
    </row>
    <row r="690">
      <c r="A690" s="102"/>
      <c r="B690" s="13"/>
      <c r="C690" s="15"/>
      <c r="D690" s="15"/>
      <c r="E690" s="15"/>
      <c r="F690" s="15"/>
      <c r="G690" s="13"/>
      <c r="H690" s="13"/>
      <c r="I690" s="23"/>
      <c r="J690" s="28"/>
      <c r="K690" s="21"/>
      <c r="L690" s="102"/>
      <c r="M690" s="21"/>
      <c r="N690" s="52"/>
      <c r="O690" s="52"/>
    </row>
    <row r="691">
      <c r="A691" s="102"/>
      <c r="B691" s="13"/>
      <c r="C691" s="15"/>
      <c r="D691" s="15"/>
      <c r="E691" s="15"/>
      <c r="F691" s="15"/>
      <c r="G691" s="13"/>
      <c r="H691" s="13"/>
      <c r="I691" s="23"/>
      <c r="J691" s="28"/>
      <c r="K691" s="21"/>
      <c r="L691" s="102"/>
      <c r="M691" s="21"/>
      <c r="N691" s="52"/>
      <c r="O691" s="52"/>
    </row>
    <row r="692">
      <c r="A692" s="102"/>
      <c r="B692" s="13"/>
      <c r="C692" s="15"/>
      <c r="D692" s="15"/>
      <c r="E692" s="15"/>
      <c r="F692" s="15"/>
      <c r="G692" s="13"/>
      <c r="H692" s="13"/>
      <c r="I692" s="23"/>
      <c r="J692" s="28"/>
      <c r="K692" s="21"/>
      <c r="L692" s="102"/>
      <c r="M692" s="21"/>
      <c r="N692" s="52"/>
      <c r="O692" s="52"/>
    </row>
    <row r="693">
      <c r="A693" s="102"/>
      <c r="B693" s="13"/>
      <c r="C693" s="15"/>
      <c r="D693" s="15"/>
      <c r="E693" s="15"/>
      <c r="F693" s="15"/>
      <c r="G693" s="13"/>
      <c r="H693" s="13"/>
      <c r="I693" s="23"/>
      <c r="J693" s="28"/>
      <c r="K693" s="21"/>
      <c r="L693" s="102"/>
      <c r="M693" s="21"/>
      <c r="N693" s="52"/>
      <c r="O693" s="52"/>
    </row>
    <row r="694">
      <c r="A694" s="102"/>
      <c r="B694" s="13"/>
      <c r="C694" s="15"/>
      <c r="D694" s="15"/>
      <c r="E694" s="15"/>
      <c r="F694" s="15"/>
      <c r="G694" s="13"/>
      <c r="H694" s="13"/>
      <c r="I694" s="23"/>
      <c r="J694" s="28"/>
      <c r="K694" s="21"/>
      <c r="L694" s="102"/>
      <c r="M694" s="21"/>
      <c r="N694" s="52"/>
      <c r="O694" s="52"/>
    </row>
    <row r="695">
      <c r="A695" s="102"/>
      <c r="B695" s="13"/>
      <c r="C695" s="15"/>
      <c r="D695" s="15"/>
      <c r="E695" s="15"/>
      <c r="F695" s="15"/>
      <c r="G695" s="13"/>
      <c r="H695" s="13"/>
      <c r="I695" s="23"/>
      <c r="J695" s="28"/>
      <c r="K695" s="21"/>
      <c r="L695" s="102"/>
      <c r="M695" s="21"/>
      <c r="N695" s="52"/>
      <c r="O695" s="52"/>
    </row>
    <row r="696">
      <c r="A696" s="102"/>
      <c r="B696" s="13"/>
      <c r="C696" s="15"/>
      <c r="D696" s="15"/>
      <c r="E696" s="15"/>
      <c r="F696" s="15"/>
      <c r="G696" s="13"/>
      <c r="H696" s="13"/>
      <c r="I696" s="23"/>
      <c r="J696" s="28"/>
      <c r="K696" s="21"/>
      <c r="L696" s="102"/>
      <c r="M696" s="21"/>
      <c r="N696" s="52"/>
      <c r="O696" s="52"/>
    </row>
    <row r="697">
      <c r="A697" s="102"/>
      <c r="B697" s="13"/>
      <c r="C697" s="15"/>
      <c r="D697" s="15"/>
      <c r="E697" s="15"/>
      <c r="F697" s="15"/>
      <c r="G697" s="13"/>
      <c r="H697" s="13"/>
      <c r="I697" s="23"/>
      <c r="J697" s="28"/>
      <c r="K697" s="21"/>
      <c r="L697" s="102"/>
      <c r="M697" s="21"/>
      <c r="N697" s="52"/>
      <c r="O697" s="52"/>
    </row>
    <row r="698">
      <c r="A698" s="102"/>
      <c r="B698" s="13"/>
      <c r="C698" s="15"/>
      <c r="D698" s="15"/>
      <c r="E698" s="15"/>
      <c r="F698" s="15"/>
      <c r="G698" s="13"/>
      <c r="H698" s="13"/>
      <c r="I698" s="23"/>
      <c r="J698" s="28"/>
      <c r="K698" s="21"/>
      <c r="L698" s="102"/>
      <c r="M698" s="21"/>
      <c r="N698" s="52"/>
      <c r="O698" s="52"/>
    </row>
    <row r="699">
      <c r="A699" s="102"/>
      <c r="B699" s="13"/>
      <c r="C699" s="15"/>
      <c r="D699" s="15"/>
      <c r="E699" s="15"/>
      <c r="F699" s="15"/>
      <c r="G699" s="13"/>
      <c r="H699" s="13"/>
      <c r="I699" s="23"/>
      <c r="J699" s="28"/>
      <c r="K699" s="21"/>
      <c r="L699" s="102"/>
      <c r="M699" s="21"/>
      <c r="N699" s="52"/>
      <c r="O699" s="52"/>
    </row>
    <row r="700">
      <c r="A700" s="102"/>
      <c r="B700" s="13"/>
      <c r="C700" s="15"/>
      <c r="D700" s="15"/>
      <c r="E700" s="15"/>
      <c r="F700" s="15"/>
      <c r="G700" s="13"/>
      <c r="H700" s="13"/>
      <c r="I700" s="23"/>
      <c r="J700" s="28"/>
      <c r="K700" s="21"/>
      <c r="L700" s="102"/>
      <c r="M700" s="21"/>
      <c r="N700" s="52"/>
      <c r="O700" s="52"/>
    </row>
    <row r="701">
      <c r="A701" s="102"/>
      <c r="B701" s="13"/>
      <c r="C701" s="15"/>
      <c r="D701" s="15"/>
      <c r="E701" s="15"/>
      <c r="F701" s="15"/>
      <c r="G701" s="13"/>
      <c r="H701" s="13"/>
      <c r="I701" s="23"/>
      <c r="J701" s="28"/>
      <c r="K701" s="21"/>
      <c r="L701" s="102"/>
      <c r="M701" s="21"/>
      <c r="N701" s="52"/>
      <c r="O701" s="52"/>
    </row>
    <row r="702">
      <c r="A702" s="102"/>
      <c r="B702" s="13"/>
      <c r="C702" s="15"/>
      <c r="D702" s="15"/>
      <c r="E702" s="15"/>
      <c r="F702" s="15"/>
      <c r="G702" s="13"/>
      <c r="H702" s="13"/>
      <c r="I702" s="23"/>
      <c r="J702" s="28"/>
      <c r="K702" s="21"/>
      <c r="L702" s="102"/>
      <c r="M702" s="21"/>
      <c r="N702" s="52"/>
      <c r="O702" s="52"/>
    </row>
    <row r="703">
      <c r="A703" s="102"/>
      <c r="B703" s="13"/>
      <c r="C703" s="15"/>
      <c r="D703" s="15"/>
      <c r="E703" s="15"/>
      <c r="F703" s="15"/>
      <c r="G703" s="13"/>
      <c r="H703" s="13"/>
      <c r="I703" s="23"/>
      <c r="J703" s="28"/>
      <c r="K703" s="21"/>
      <c r="L703" s="102"/>
      <c r="M703" s="21"/>
      <c r="N703" s="52"/>
      <c r="O703" s="52"/>
    </row>
    <row r="704">
      <c r="A704" s="102"/>
      <c r="B704" s="13"/>
      <c r="C704" s="15"/>
      <c r="D704" s="15"/>
      <c r="E704" s="15"/>
      <c r="F704" s="15"/>
      <c r="G704" s="13"/>
      <c r="H704" s="13"/>
      <c r="I704" s="23"/>
      <c r="J704" s="28"/>
      <c r="K704" s="21"/>
      <c r="L704" s="102"/>
      <c r="M704" s="21"/>
      <c r="N704" s="52"/>
      <c r="O704" s="52"/>
    </row>
    <row r="705">
      <c r="A705" s="102"/>
      <c r="B705" s="13"/>
      <c r="C705" s="15"/>
      <c r="D705" s="15"/>
      <c r="E705" s="15"/>
      <c r="F705" s="15"/>
      <c r="G705" s="13"/>
      <c r="H705" s="13"/>
      <c r="I705" s="23"/>
      <c r="J705" s="28"/>
      <c r="K705" s="21"/>
      <c r="L705" s="102"/>
      <c r="M705" s="21"/>
      <c r="N705" s="52"/>
      <c r="O705" s="52"/>
    </row>
    <row r="706">
      <c r="A706" s="102"/>
      <c r="B706" s="13"/>
      <c r="C706" s="15"/>
      <c r="D706" s="15"/>
      <c r="E706" s="15"/>
      <c r="F706" s="15"/>
      <c r="G706" s="13"/>
      <c r="H706" s="13"/>
      <c r="I706" s="23"/>
      <c r="J706" s="28"/>
      <c r="K706" s="21"/>
      <c r="L706" s="102"/>
      <c r="M706" s="21"/>
      <c r="N706" s="52"/>
      <c r="O706" s="52"/>
    </row>
    <row r="707">
      <c r="A707" s="102"/>
      <c r="B707" s="13"/>
      <c r="C707" s="15"/>
      <c r="D707" s="15"/>
      <c r="E707" s="15"/>
      <c r="F707" s="15"/>
      <c r="G707" s="13"/>
      <c r="H707" s="13"/>
      <c r="I707" s="23"/>
      <c r="J707" s="28"/>
      <c r="K707" s="21"/>
      <c r="L707" s="102"/>
      <c r="M707" s="21"/>
      <c r="N707" s="52"/>
      <c r="O707" s="52"/>
    </row>
    <row r="708">
      <c r="A708" s="102"/>
      <c r="B708" s="13"/>
      <c r="C708" s="15"/>
      <c r="D708" s="15"/>
      <c r="E708" s="15"/>
      <c r="F708" s="15"/>
      <c r="G708" s="13"/>
      <c r="H708" s="13"/>
      <c r="I708" s="23"/>
      <c r="J708" s="28"/>
      <c r="K708" s="21"/>
      <c r="L708" s="102"/>
      <c r="M708" s="21"/>
      <c r="N708" s="52"/>
      <c r="O708" s="52"/>
    </row>
    <row r="709">
      <c r="A709" s="102"/>
      <c r="B709" s="13"/>
      <c r="C709" s="15"/>
      <c r="D709" s="15"/>
      <c r="E709" s="15"/>
      <c r="F709" s="15"/>
      <c r="G709" s="13"/>
      <c r="H709" s="13"/>
      <c r="I709" s="23"/>
      <c r="J709" s="28"/>
      <c r="K709" s="21"/>
      <c r="L709" s="102"/>
      <c r="M709" s="21"/>
      <c r="N709" s="52"/>
      <c r="O709" s="52"/>
    </row>
    <row r="710">
      <c r="A710" s="102"/>
      <c r="B710" s="13"/>
      <c r="C710" s="15"/>
      <c r="D710" s="15"/>
      <c r="E710" s="15"/>
      <c r="F710" s="15"/>
      <c r="G710" s="13"/>
      <c r="H710" s="13"/>
      <c r="I710" s="23"/>
      <c r="J710" s="28"/>
      <c r="K710" s="21"/>
      <c r="L710" s="102"/>
      <c r="M710" s="21"/>
      <c r="N710" s="52"/>
      <c r="O710" s="52"/>
    </row>
    <row r="711">
      <c r="A711" s="102"/>
      <c r="B711" s="13"/>
      <c r="C711" s="15"/>
      <c r="D711" s="15"/>
      <c r="E711" s="15"/>
      <c r="F711" s="15"/>
      <c r="G711" s="13"/>
      <c r="H711" s="13"/>
      <c r="I711" s="23"/>
      <c r="J711" s="28"/>
      <c r="K711" s="21"/>
      <c r="L711" s="102"/>
      <c r="M711" s="21"/>
      <c r="N711" s="52"/>
      <c r="O711" s="52"/>
    </row>
    <row r="712">
      <c r="A712" s="102"/>
      <c r="B712" s="13"/>
      <c r="C712" s="15"/>
      <c r="D712" s="15"/>
      <c r="E712" s="15"/>
      <c r="F712" s="15"/>
      <c r="G712" s="13"/>
      <c r="H712" s="13"/>
      <c r="I712" s="23"/>
      <c r="J712" s="28"/>
      <c r="K712" s="21"/>
      <c r="L712" s="102"/>
      <c r="M712" s="21"/>
      <c r="N712" s="52"/>
      <c r="O712" s="52"/>
    </row>
    <row r="713">
      <c r="A713" s="102"/>
      <c r="B713" s="13"/>
      <c r="C713" s="15"/>
      <c r="D713" s="15"/>
      <c r="E713" s="15"/>
      <c r="F713" s="15"/>
      <c r="G713" s="13"/>
      <c r="H713" s="13"/>
      <c r="I713" s="23"/>
      <c r="J713" s="28"/>
      <c r="K713" s="21"/>
      <c r="L713" s="102"/>
      <c r="M713" s="21"/>
      <c r="N713" s="52"/>
      <c r="O713" s="52"/>
    </row>
    <row r="714">
      <c r="A714" s="102"/>
      <c r="B714" s="13"/>
      <c r="C714" s="15"/>
      <c r="D714" s="15"/>
      <c r="E714" s="15"/>
      <c r="F714" s="15"/>
      <c r="G714" s="13"/>
      <c r="H714" s="13"/>
      <c r="I714" s="23"/>
      <c r="J714" s="28"/>
      <c r="K714" s="21"/>
      <c r="L714" s="102"/>
      <c r="M714" s="21"/>
      <c r="N714" s="52"/>
      <c r="O714" s="52"/>
    </row>
    <row r="715">
      <c r="A715" s="102"/>
      <c r="B715" s="13"/>
      <c r="C715" s="15"/>
      <c r="D715" s="15"/>
      <c r="E715" s="15"/>
      <c r="F715" s="15"/>
      <c r="G715" s="13"/>
      <c r="H715" s="13"/>
      <c r="I715" s="23"/>
      <c r="J715" s="28"/>
      <c r="K715" s="21"/>
      <c r="L715" s="102"/>
      <c r="M715" s="21"/>
      <c r="N715" s="52"/>
      <c r="O715" s="52"/>
    </row>
    <row r="716">
      <c r="A716" s="102"/>
      <c r="B716" s="13"/>
      <c r="C716" s="15"/>
      <c r="D716" s="15"/>
      <c r="E716" s="15"/>
      <c r="F716" s="15"/>
      <c r="G716" s="13"/>
      <c r="H716" s="13"/>
      <c r="I716" s="23"/>
      <c r="J716" s="28"/>
      <c r="K716" s="21"/>
      <c r="L716" s="102"/>
      <c r="M716" s="21"/>
      <c r="N716" s="52"/>
      <c r="O716" s="52"/>
    </row>
    <row r="717">
      <c r="A717" s="102"/>
      <c r="B717" s="13"/>
      <c r="C717" s="15"/>
      <c r="D717" s="15"/>
      <c r="E717" s="15"/>
      <c r="F717" s="15"/>
      <c r="G717" s="13"/>
      <c r="H717" s="13"/>
      <c r="I717" s="23"/>
      <c r="J717" s="28"/>
      <c r="K717" s="21"/>
      <c r="L717" s="102"/>
      <c r="M717" s="21"/>
      <c r="N717" s="52"/>
      <c r="O717" s="52"/>
    </row>
    <row r="718">
      <c r="A718" s="102"/>
      <c r="B718" s="13"/>
      <c r="C718" s="15"/>
      <c r="D718" s="15"/>
      <c r="E718" s="15"/>
      <c r="F718" s="15"/>
      <c r="G718" s="13"/>
      <c r="H718" s="13"/>
      <c r="I718" s="23"/>
      <c r="J718" s="28"/>
      <c r="K718" s="21"/>
      <c r="L718" s="102"/>
      <c r="M718" s="21"/>
      <c r="N718" s="52"/>
      <c r="O718" s="52"/>
    </row>
    <row r="719">
      <c r="A719" s="102"/>
      <c r="B719" s="13"/>
      <c r="C719" s="15"/>
      <c r="D719" s="15"/>
      <c r="E719" s="15"/>
      <c r="F719" s="15"/>
      <c r="G719" s="13"/>
      <c r="H719" s="13"/>
      <c r="I719" s="23"/>
      <c r="J719" s="28"/>
      <c r="K719" s="21"/>
      <c r="L719" s="102"/>
      <c r="M719" s="21"/>
      <c r="N719" s="52"/>
      <c r="O719" s="52"/>
    </row>
    <row r="720">
      <c r="A720" s="102"/>
      <c r="B720" s="13"/>
      <c r="C720" s="15"/>
      <c r="D720" s="15"/>
      <c r="E720" s="15"/>
      <c r="F720" s="15"/>
      <c r="G720" s="13"/>
      <c r="H720" s="13"/>
      <c r="I720" s="23"/>
      <c r="J720" s="28"/>
      <c r="K720" s="21"/>
      <c r="L720" s="102"/>
      <c r="M720" s="21"/>
      <c r="N720" s="52"/>
      <c r="O720" s="52"/>
    </row>
    <row r="721">
      <c r="A721" s="102"/>
      <c r="B721" s="13"/>
      <c r="C721" s="15"/>
      <c r="D721" s="15"/>
      <c r="E721" s="15"/>
      <c r="F721" s="15"/>
      <c r="G721" s="13"/>
      <c r="H721" s="13"/>
      <c r="I721" s="23"/>
      <c r="J721" s="28"/>
      <c r="K721" s="21"/>
      <c r="L721" s="102"/>
      <c r="M721" s="21"/>
      <c r="N721" s="52"/>
      <c r="O721" s="52"/>
    </row>
    <row r="722">
      <c r="A722" s="102"/>
      <c r="B722" s="13"/>
      <c r="C722" s="15"/>
      <c r="D722" s="15"/>
      <c r="E722" s="15"/>
      <c r="F722" s="15"/>
      <c r="G722" s="13"/>
      <c r="H722" s="13"/>
      <c r="I722" s="23"/>
      <c r="J722" s="28"/>
      <c r="K722" s="21"/>
      <c r="L722" s="102"/>
      <c r="M722" s="21"/>
      <c r="N722" s="52"/>
      <c r="O722" s="52"/>
    </row>
    <row r="723">
      <c r="A723" s="102"/>
      <c r="B723" s="13"/>
      <c r="C723" s="15"/>
      <c r="D723" s="15"/>
      <c r="E723" s="15"/>
      <c r="F723" s="15"/>
      <c r="G723" s="13"/>
      <c r="H723" s="13"/>
      <c r="I723" s="23"/>
      <c r="J723" s="28"/>
      <c r="K723" s="21"/>
      <c r="L723" s="102"/>
      <c r="M723" s="21"/>
      <c r="N723" s="52"/>
      <c r="O723" s="52"/>
    </row>
    <row r="724">
      <c r="A724" s="102"/>
      <c r="B724" s="13"/>
      <c r="C724" s="15"/>
      <c r="D724" s="15"/>
      <c r="E724" s="15"/>
      <c r="F724" s="15"/>
      <c r="G724" s="13"/>
      <c r="H724" s="13"/>
      <c r="I724" s="23"/>
      <c r="J724" s="28"/>
      <c r="K724" s="21"/>
      <c r="L724" s="102"/>
      <c r="M724" s="21"/>
      <c r="N724" s="52"/>
      <c r="O724" s="52"/>
    </row>
    <row r="725">
      <c r="A725" s="102"/>
      <c r="B725" s="13"/>
      <c r="C725" s="15"/>
      <c r="D725" s="15"/>
      <c r="E725" s="15"/>
      <c r="F725" s="15"/>
      <c r="G725" s="13"/>
      <c r="H725" s="13"/>
      <c r="I725" s="23"/>
      <c r="J725" s="28"/>
      <c r="K725" s="21"/>
      <c r="L725" s="102"/>
      <c r="M725" s="21"/>
      <c r="N725" s="52"/>
      <c r="O725" s="52"/>
    </row>
    <row r="726">
      <c r="A726" s="102"/>
      <c r="B726" s="13"/>
      <c r="C726" s="15"/>
      <c r="D726" s="15"/>
      <c r="E726" s="15"/>
      <c r="F726" s="15"/>
      <c r="G726" s="13"/>
      <c r="H726" s="13"/>
      <c r="I726" s="23"/>
      <c r="J726" s="28"/>
      <c r="K726" s="21"/>
      <c r="L726" s="102"/>
      <c r="M726" s="21"/>
      <c r="N726" s="52"/>
      <c r="O726" s="52"/>
    </row>
    <row r="727">
      <c r="A727" s="102"/>
      <c r="B727" s="13"/>
      <c r="C727" s="15"/>
      <c r="D727" s="15"/>
      <c r="E727" s="15"/>
      <c r="F727" s="15"/>
      <c r="G727" s="13"/>
      <c r="H727" s="13"/>
      <c r="I727" s="23"/>
      <c r="J727" s="28"/>
      <c r="K727" s="21"/>
      <c r="L727" s="102"/>
      <c r="M727" s="21"/>
      <c r="N727" s="52"/>
      <c r="O727" s="52"/>
    </row>
    <row r="728">
      <c r="A728" s="102"/>
      <c r="B728" s="13"/>
      <c r="C728" s="15"/>
      <c r="D728" s="15"/>
      <c r="E728" s="15"/>
      <c r="F728" s="15"/>
      <c r="G728" s="13"/>
      <c r="H728" s="13"/>
      <c r="I728" s="23"/>
      <c r="J728" s="28"/>
      <c r="K728" s="21"/>
      <c r="L728" s="102"/>
      <c r="M728" s="21"/>
      <c r="N728" s="52"/>
      <c r="O728" s="52"/>
    </row>
    <row r="729">
      <c r="A729" s="102"/>
      <c r="B729" s="13"/>
      <c r="C729" s="15"/>
      <c r="D729" s="15"/>
      <c r="E729" s="15"/>
      <c r="F729" s="15"/>
      <c r="G729" s="13"/>
      <c r="H729" s="13"/>
      <c r="I729" s="23"/>
      <c r="J729" s="28"/>
      <c r="K729" s="21"/>
      <c r="L729" s="102"/>
      <c r="M729" s="21"/>
      <c r="N729" s="52"/>
      <c r="O729" s="52"/>
    </row>
    <row r="730">
      <c r="A730" s="102"/>
      <c r="B730" s="13"/>
      <c r="C730" s="15"/>
      <c r="D730" s="15"/>
      <c r="E730" s="15"/>
      <c r="F730" s="15"/>
      <c r="G730" s="13"/>
      <c r="H730" s="13"/>
      <c r="I730" s="23"/>
      <c r="J730" s="28"/>
      <c r="K730" s="21"/>
      <c r="L730" s="102"/>
      <c r="M730" s="21"/>
      <c r="N730" s="52"/>
      <c r="O730" s="52"/>
    </row>
    <row r="731">
      <c r="A731" s="102"/>
      <c r="B731" s="13"/>
      <c r="C731" s="15"/>
      <c r="D731" s="15"/>
      <c r="E731" s="15"/>
      <c r="F731" s="15"/>
      <c r="G731" s="13"/>
      <c r="H731" s="13"/>
      <c r="I731" s="23"/>
      <c r="J731" s="28"/>
      <c r="K731" s="21"/>
      <c r="L731" s="102"/>
      <c r="M731" s="21"/>
      <c r="N731" s="52"/>
      <c r="O731" s="52"/>
    </row>
    <row r="732">
      <c r="A732" s="102"/>
      <c r="B732" s="13"/>
      <c r="C732" s="15"/>
      <c r="D732" s="15"/>
      <c r="E732" s="15"/>
      <c r="F732" s="15"/>
      <c r="G732" s="13"/>
      <c r="H732" s="13"/>
      <c r="I732" s="23"/>
      <c r="J732" s="28"/>
      <c r="K732" s="21"/>
      <c r="L732" s="102"/>
      <c r="M732" s="21"/>
      <c r="N732" s="52"/>
      <c r="O732" s="52"/>
    </row>
    <row r="733">
      <c r="A733" s="102"/>
      <c r="B733" s="13"/>
      <c r="C733" s="15"/>
      <c r="D733" s="15"/>
      <c r="E733" s="15"/>
      <c r="F733" s="15"/>
      <c r="G733" s="13"/>
      <c r="H733" s="13"/>
      <c r="I733" s="23"/>
      <c r="J733" s="28"/>
      <c r="K733" s="21"/>
      <c r="L733" s="102"/>
      <c r="M733" s="21"/>
      <c r="N733" s="52"/>
      <c r="O733" s="52"/>
    </row>
    <row r="734">
      <c r="A734" s="102"/>
      <c r="B734" s="13"/>
      <c r="C734" s="15"/>
      <c r="D734" s="15"/>
      <c r="E734" s="15"/>
      <c r="F734" s="15"/>
      <c r="G734" s="13"/>
      <c r="H734" s="13"/>
      <c r="I734" s="23"/>
      <c r="J734" s="28"/>
      <c r="K734" s="21"/>
      <c r="L734" s="102"/>
      <c r="M734" s="21"/>
      <c r="N734" s="52"/>
      <c r="O734" s="52"/>
    </row>
    <row r="735">
      <c r="A735" s="102"/>
      <c r="B735" s="13"/>
      <c r="C735" s="15"/>
      <c r="D735" s="15"/>
      <c r="E735" s="15"/>
      <c r="F735" s="15"/>
      <c r="G735" s="13"/>
      <c r="H735" s="13"/>
      <c r="I735" s="23"/>
      <c r="J735" s="28"/>
      <c r="K735" s="21"/>
      <c r="L735" s="102"/>
      <c r="M735" s="21"/>
      <c r="N735" s="52"/>
      <c r="O735" s="52"/>
    </row>
    <row r="736">
      <c r="A736" s="102"/>
      <c r="B736" s="13"/>
      <c r="C736" s="15"/>
      <c r="D736" s="15"/>
      <c r="E736" s="15"/>
      <c r="F736" s="15"/>
      <c r="G736" s="13"/>
      <c r="H736" s="13"/>
      <c r="I736" s="23"/>
      <c r="J736" s="28"/>
      <c r="K736" s="21"/>
      <c r="L736" s="102"/>
      <c r="M736" s="21"/>
      <c r="N736" s="52"/>
      <c r="O736" s="52"/>
    </row>
    <row r="737">
      <c r="A737" s="102"/>
      <c r="B737" s="13"/>
      <c r="C737" s="15"/>
      <c r="D737" s="15"/>
      <c r="E737" s="15"/>
      <c r="F737" s="15"/>
      <c r="G737" s="13"/>
      <c r="H737" s="13"/>
      <c r="I737" s="23"/>
      <c r="J737" s="28"/>
      <c r="K737" s="21"/>
      <c r="L737" s="102"/>
      <c r="M737" s="21"/>
      <c r="N737" s="52"/>
      <c r="O737" s="52"/>
    </row>
    <row r="738">
      <c r="A738" s="102"/>
      <c r="B738" s="13"/>
      <c r="C738" s="15"/>
      <c r="D738" s="15"/>
      <c r="E738" s="15"/>
      <c r="F738" s="15"/>
      <c r="G738" s="13"/>
      <c r="H738" s="13"/>
      <c r="I738" s="23"/>
      <c r="J738" s="28"/>
      <c r="K738" s="21"/>
      <c r="L738" s="102"/>
      <c r="M738" s="21"/>
      <c r="N738" s="52"/>
      <c r="O738" s="52"/>
    </row>
    <row r="739">
      <c r="A739" s="102"/>
      <c r="B739" s="13"/>
      <c r="C739" s="15"/>
      <c r="D739" s="15"/>
      <c r="E739" s="15"/>
      <c r="F739" s="15"/>
      <c r="G739" s="13"/>
      <c r="H739" s="13"/>
      <c r="I739" s="23"/>
      <c r="J739" s="28"/>
      <c r="K739" s="21"/>
      <c r="L739" s="102"/>
      <c r="M739" s="21"/>
      <c r="N739" s="52"/>
      <c r="O739" s="52"/>
    </row>
    <row r="740">
      <c r="A740" s="102"/>
      <c r="B740" s="13"/>
      <c r="C740" s="15"/>
      <c r="D740" s="15"/>
      <c r="E740" s="15"/>
      <c r="F740" s="15"/>
      <c r="G740" s="13"/>
      <c r="H740" s="13"/>
      <c r="I740" s="23"/>
      <c r="J740" s="28"/>
      <c r="K740" s="21"/>
      <c r="L740" s="102"/>
      <c r="M740" s="21"/>
      <c r="N740" s="52"/>
      <c r="O740" s="52"/>
    </row>
    <row r="741">
      <c r="A741" s="102"/>
      <c r="B741" s="13"/>
      <c r="C741" s="15"/>
      <c r="D741" s="15"/>
      <c r="E741" s="15"/>
      <c r="F741" s="15"/>
      <c r="G741" s="13"/>
      <c r="H741" s="13"/>
      <c r="I741" s="23"/>
      <c r="J741" s="28"/>
      <c r="K741" s="21"/>
      <c r="L741" s="102"/>
      <c r="M741" s="21"/>
      <c r="N741" s="52"/>
      <c r="O741" s="52"/>
    </row>
    <row r="742">
      <c r="A742" s="102"/>
      <c r="B742" s="13"/>
      <c r="C742" s="15"/>
      <c r="D742" s="15"/>
      <c r="E742" s="15"/>
      <c r="F742" s="15"/>
      <c r="G742" s="13"/>
      <c r="H742" s="13"/>
      <c r="I742" s="23"/>
      <c r="J742" s="28"/>
      <c r="K742" s="21"/>
      <c r="L742" s="102"/>
      <c r="M742" s="21"/>
      <c r="N742" s="52"/>
      <c r="O742" s="52"/>
    </row>
    <row r="743">
      <c r="A743" s="102"/>
      <c r="B743" s="13"/>
      <c r="C743" s="15"/>
      <c r="D743" s="15"/>
      <c r="E743" s="15"/>
      <c r="F743" s="15"/>
      <c r="G743" s="13"/>
      <c r="H743" s="13"/>
      <c r="I743" s="23"/>
      <c r="J743" s="28"/>
      <c r="K743" s="21"/>
      <c r="L743" s="102"/>
      <c r="M743" s="21"/>
      <c r="N743" s="52"/>
      <c r="O743" s="52"/>
    </row>
    <row r="744">
      <c r="A744" s="102"/>
      <c r="B744" s="13"/>
      <c r="C744" s="15"/>
      <c r="D744" s="15"/>
      <c r="E744" s="15"/>
      <c r="F744" s="15"/>
      <c r="G744" s="13"/>
      <c r="H744" s="13"/>
      <c r="I744" s="23"/>
      <c r="J744" s="28"/>
      <c r="K744" s="21"/>
      <c r="L744" s="102"/>
      <c r="M744" s="21"/>
      <c r="N744" s="52"/>
      <c r="O744" s="52"/>
    </row>
    <row r="745">
      <c r="A745" s="102"/>
      <c r="B745" s="13"/>
      <c r="C745" s="15"/>
      <c r="D745" s="15"/>
      <c r="E745" s="15"/>
      <c r="F745" s="15"/>
      <c r="G745" s="13"/>
      <c r="H745" s="13"/>
      <c r="I745" s="23"/>
      <c r="J745" s="28"/>
      <c r="K745" s="21"/>
      <c r="L745" s="102"/>
      <c r="M745" s="21"/>
      <c r="N745" s="52"/>
      <c r="O745" s="52"/>
    </row>
    <row r="746">
      <c r="A746" s="102"/>
      <c r="B746" s="13"/>
      <c r="C746" s="15"/>
      <c r="D746" s="15"/>
      <c r="E746" s="15"/>
      <c r="F746" s="15"/>
      <c r="G746" s="13"/>
      <c r="H746" s="13"/>
      <c r="I746" s="23"/>
      <c r="J746" s="28"/>
      <c r="K746" s="21"/>
      <c r="L746" s="102"/>
      <c r="M746" s="21"/>
      <c r="N746" s="52"/>
      <c r="O746" s="52"/>
    </row>
    <row r="747">
      <c r="A747" s="102"/>
      <c r="B747" s="13"/>
      <c r="C747" s="15"/>
      <c r="D747" s="15"/>
      <c r="E747" s="15"/>
      <c r="F747" s="15"/>
      <c r="G747" s="13"/>
      <c r="H747" s="13"/>
      <c r="I747" s="23"/>
      <c r="J747" s="28"/>
      <c r="K747" s="21"/>
      <c r="L747" s="102"/>
      <c r="M747" s="21"/>
      <c r="N747" s="52"/>
      <c r="O747" s="52"/>
    </row>
    <row r="748">
      <c r="A748" s="102"/>
      <c r="B748" s="13"/>
      <c r="C748" s="15"/>
      <c r="D748" s="15"/>
      <c r="E748" s="15"/>
      <c r="F748" s="15"/>
      <c r="G748" s="13"/>
      <c r="H748" s="13"/>
      <c r="I748" s="23"/>
      <c r="J748" s="28"/>
      <c r="K748" s="21"/>
      <c r="L748" s="102"/>
      <c r="M748" s="21"/>
      <c r="N748" s="52"/>
      <c r="O748" s="52"/>
    </row>
    <row r="749">
      <c r="A749" s="102"/>
      <c r="B749" s="13"/>
      <c r="C749" s="15"/>
      <c r="D749" s="15"/>
      <c r="E749" s="15"/>
      <c r="F749" s="15"/>
      <c r="G749" s="13"/>
      <c r="H749" s="13"/>
      <c r="I749" s="23"/>
      <c r="J749" s="28"/>
      <c r="K749" s="21"/>
      <c r="L749" s="102"/>
      <c r="M749" s="21"/>
      <c r="N749" s="52"/>
      <c r="O749" s="52"/>
    </row>
    <row r="750">
      <c r="A750" s="102"/>
      <c r="B750" s="13"/>
      <c r="C750" s="15"/>
      <c r="D750" s="15"/>
      <c r="E750" s="15"/>
      <c r="F750" s="15"/>
      <c r="G750" s="13"/>
      <c r="H750" s="13"/>
      <c r="I750" s="23"/>
      <c r="J750" s="28"/>
      <c r="K750" s="21"/>
      <c r="L750" s="102"/>
      <c r="M750" s="21"/>
      <c r="N750" s="52"/>
      <c r="O750" s="52"/>
    </row>
    <row r="751">
      <c r="A751" s="102"/>
      <c r="B751" s="13"/>
      <c r="C751" s="15"/>
      <c r="D751" s="15"/>
      <c r="E751" s="15"/>
      <c r="F751" s="15"/>
      <c r="G751" s="13"/>
      <c r="H751" s="13"/>
      <c r="I751" s="23"/>
      <c r="J751" s="28"/>
      <c r="K751" s="21"/>
      <c r="L751" s="102"/>
      <c r="M751" s="21"/>
      <c r="N751" s="52"/>
      <c r="O751" s="52"/>
    </row>
    <row r="752">
      <c r="A752" s="102"/>
      <c r="B752" s="13"/>
      <c r="C752" s="15"/>
      <c r="D752" s="15"/>
      <c r="E752" s="15"/>
      <c r="F752" s="15"/>
      <c r="G752" s="13"/>
      <c r="H752" s="13"/>
      <c r="I752" s="23"/>
      <c r="J752" s="28"/>
      <c r="K752" s="21"/>
      <c r="L752" s="102"/>
      <c r="M752" s="21"/>
      <c r="N752" s="52"/>
      <c r="O752" s="52"/>
    </row>
    <row r="753">
      <c r="A753" s="102"/>
      <c r="B753" s="13"/>
      <c r="C753" s="15"/>
      <c r="D753" s="15"/>
      <c r="E753" s="15"/>
      <c r="F753" s="15"/>
      <c r="G753" s="13"/>
      <c r="H753" s="13"/>
      <c r="I753" s="23"/>
      <c r="J753" s="28"/>
      <c r="K753" s="21"/>
      <c r="L753" s="102"/>
      <c r="M753" s="21"/>
      <c r="N753" s="52"/>
      <c r="O753" s="52"/>
    </row>
    <row r="754">
      <c r="A754" s="102"/>
      <c r="B754" s="13"/>
      <c r="C754" s="15"/>
      <c r="D754" s="15"/>
      <c r="E754" s="15"/>
      <c r="F754" s="15"/>
      <c r="G754" s="13"/>
      <c r="H754" s="13"/>
      <c r="I754" s="23"/>
      <c r="J754" s="28"/>
      <c r="K754" s="21"/>
      <c r="L754" s="102"/>
      <c r="M754" s="21"/>
      <c r="N754" s="52"/>
      <c r="O754" s="52"/>
    </row>
    <row r="755">
      <c r="A755" s="102"/>
      <c r="B755" s="13"/>
      <c r="C755" s="15"/>
      <c r="D755" s="15"/>
      <c r="E755" s="15"/>
      <c r="F755" s="15"/>
      <c r="G755" s="13"/>
      <c r="H755" s="13"/>
      <c r="I755" s="23"/>
      <c r="J755" s="28"/>
      <c r="K755" s="21"/>
      <c r="L755" s="102"/>
      <c r="M755" s="21"/>
      <c r="N755" s="52"/>
      <c r="O755" s="52"/>
    </row>
    <row r="756">
      <c r="A756" s="102"/>
      <c r="B756" s="13"/>
      <c r="C756" s="15"/>
      <c r="D756" s="15"/>
      <c r="E756" s="15"/>
      <c r="F756" s="15"/>
      <c r="G756" s="13"/>
      <c r="H756" s="13"/>
      <c r="I756" s="23"/>
      <c r="J756" s="28"/>
      <c r="K756" s="21"/>
      <c r="L756" s="102"/>
      <c r="M756" s="21"/>
      <c r="N756" s="52"/>
      <c r="O756" s="52"/>
    </row>
    <row r="757">
      <c r="A757" s="102"/>
      <c r="B757" s="13"/>
      <c r="C757" s="15"/>
      <c r="D757" s="15"/>
      <c r="E757" s="15"/>
      <c r="F757" s="15"/>
      <c r="G757" s="13"/>
      <c r="H757" s="13"/>
      <c r="I757" s="23"/>
      <c r="J757" s="28"/>
      <c r="K757" s="21"/>
      <c r="L757" s="102"/>
      <c r="M757" s="21"/>
      <c r="N757" s="52"/>
      <c r="O757" s="52"/>
    </row>
    <row r="758">
      <c r="A758" s="102"/>
      <c r="B758" s="13"/>
      <c r="C758" s="15"/>
      <c r="D758" s="15"/>
      <c r="E758" s="15"/>
      <c r="F758" s="15"/>
      <c r="G758" s="13"/>
      <c r="H758" s="13"/>
      <c r="I758" s="23"/>
      <c r="J758" s="28"/>
      <c r="K758" s="21"/>
      <c r="L758" s="102"/>
      <c r="M758" s="21"/>
      <c r="N758" s="52"/>
      <c r="O758" s="52"/>
    </row>
    <row r="759">
      <c r="A759" s="102"/>
      <c r="B759" s="13"/>
      <c r="C759" s="15"/>
      <c r="D759" s="15"/>
      <c r="E759" s="15"/>
      <c r="F759" s="15"/>
      <c r="G759" s="13"/>
      <c r="H759" s="13"/>
      <c r="I759" s="23"/>
      <c r="J759" s="28"/>
      <c r="K759" s="21"/>
      <c r="L759" s="102"/>
      <c r="M759" s="21"/>
      <c r="N759" s="52"/>
      <c r="O759" s="52"/>
    </row>
    <row r="760">
      <c r="A760" s="102"/>
      <c r="B760" s="13"/>
      <c r="C760" s="15"/>
      <c r="D760" s="15"/>
      <c r="E760" s="15"/>
      <c r="F760" s="15"/>
      <c r="G760" s="13"/>
      <c r="H760" s="13"/>
      <c r="I760" s="23"/>
      <c r="J760" s="28"/>
      <c r="K760" s="21"/>
      <c r="L760" s="102"/>
      <c r="M760" s="21"/>
      <c r="N760" s="52"/>
      <c r="O760" s="52"/>
    </row>
    <row r="761">
      <c r="A761" s="102"/>
      <c r="B761" s="13"/>
      <c r="C761" s="15"/>
      <c r="D761" s="15"/>
      <c r="E761" s="15"/>
      <c r="F761" s="15"/>
      <c r="G761" s="13"/>
      <c r="H761" s="13"/>
      <c r="I761" s="23"/>
      <c r="J761" s="28"/>
      <c r="K761" s="21"/>
      <c r="L761" s="102"/>
      <c r="M761" s="21"/>
      <c r="N761" s="52"/>
      <c r="O761" s="52"/>
    </row>
    <row r="762">
      <c r="A762" s="102"/>
      <c r="B762" s="13"/>
      <c r="C762" s="15"/>
      <c r="D762" s="15"/>
      <c r="E762" s="15"/>
      <c r="F762" s="15"/>
      <c r="G762" s="13"/>
      <c r="H762" s="13"/>
      <c r="I762" s="23"/>
      <c r="J762" s="28"/>
      <c r="K762" s="21"/>
      <c r="L762" s="102"/>
      <c r="M762" s="21"/>
      <c r="N762" s="52"/>
      <c r="O762" s="52"/>
    </row>
    <row r="763">
      <c r="A763" s="102"/>
      <c r="B763" s="13"/>
      <c r="C763" s="15"/>
      <c r="D763" s="15"/>
      <c r="E763" s="15"/>
      <c r="F763" s="15"/>
      <c r="G763" s="13"/>
      <c r="H763" s="13"/>
      <c r="I763" s="23"/>
      <c r="J763" s="28"/>
      <c r="K763" s="21"/>
      <c r="L763" s="102"/>
      <c r="M763" s="21"/>
      <c r="N763" s="52"/>
      <c r="O763" s="52"/>
    </row>
    <row r="764">
      <c r="A764" s="102"/>
      <c r="B764" s="13"/>
      <c r="C764" s="15"/>
      <c r="D764" s="15"/>
      <c r="E764" s="15"/>
      <c r="F764" s="15"/>
      <c r="G764" s="13"/>
      <c r="H764" s="13"/>
      <c r="I764" s="23"/>
      <c r="J764" s="28"/>
      <c r="K764" s="21"/>
      <c r="L764" s="102"/>
      <c r="M764" s="21"/>
      <c r="N764" s="52"/>
      <c r="O764" s="52"/>
    </row>
    <row r="765">
      <c r="A765" s="102"/>
      <c r="B765" s="13"/>
      <c r="C765" s="15"/>
      <c r="D765" s="15"/>
      <c r="E765" s="15"/>
      <c r="F765" s="15"/>
      <c r="G765" s="13"/>
      <c r="H765" s="13"/>
      <c r="I765" s="23"/>
      <c r="J765" s="28"/>
      <c r="K765" s="21"/>
      <c r="L765" s="102"/>
      <c r="M765" s="21"/>
      <c r="N765" s="52"/>
      <c r="O765" s="52"/>
    </row>
    <row r="766">
      <c r="A766" s="102"/>
      <c r="B766" s="13"/>
      <c r="C766" s="15"/>
      <c r="D766" s="15"/>
      <c r="E766" s="15"/>
      <c r="F766" s="15"/>
      <c r="G766" s="13"/>
      <c r="H766" s="13"/>
      <c r="I766" s="23"/>
      <c r="J766" s="28"/>
      <c r="K766" s="21"/>
      <c r="L766" s="102"/>
      <c r="M766" s="21"/>
      <c r="N766" s="52"/>
      <c r="O766" s="52"/>
    </row>
    <row r="767">
      <c r="A767" s="102"/>
      <c r="B767" s="13"/>
      <c r="C767" s="15"/>
      <c r="D767" s="15"/>
      <c r="E767" s="15"/>
      <c r="F767" s="15"/>
      <c r="G767" s="13"/>
      <c r="H767" s="13"/>
      <c r="I767" s="23"/>
      <c r="J767" s="28"/>
      <c r="K767" s="21"/>
      <c r="L767" s="102"/>
      <c r="M767" s="21"/>
      <c r="N767" s="52"/>
      <c r="O767" s="52"/>
    </row>
    <row r="768">
      <c r="A768" s="102"/>
      <c r="B768" s="13"/>
      <c r="C768" s="15"/>
      <c r="D768" s="15"/>
      <c r="E768" s="15"/>
      <c r="F768" s="15"/>
      <c r="G768" s="13"/>
      <c r="H768" s="13"/>
      <c r="I768" s="23"/>
      <c r="J768" s="28"/>
      <c r="K768" s="21"/>
      <c r="L768" s="102"/>
      <c r="M768" s="21"/>
      <c r="N768" s="52"/>
      <c r="O768" s="52"/>
    </row>
    <row r="769">
      <c r="A769" s="102"/>
      <c r="B769" s="13"/>
      <c r="C769" s="15"/>
      <c r="D769" s="15"/>
      <c r="E769" s="15"/>
      <c r="F769" s="15"/>
      <c r="G769" s="13"/>
      <c r="H769" s="13"/>
      <c r="I769" s="23"/>
      <c r="J769" s="28"/>
      <c r="K769" s="21"/>
      <c r="L769" s="102"/>
      <c r="M769" s="21"/>
      <c r="N769" s="52"/>
      <c r="O769" s="52"/>
    </row>
    <row r="770">
      <c r="A770" s="102"/>
      <c r="B770" s="13"/>
      <c r="C770" s="15"/>
      <c r="D770" s="15"/>
      <c r="E770" s="15"/>
      <c r="F770" s="15"/>
      <c r="G770" s="13"/>
      <c r="H770" s="13"/>
      <c r="I770" s="23"/>
      <c r="J770" s="28"/>
      <c r="K770" s="21"/>
      <c r="L770" s="102"/>
      <c r="M770" s="21"/>
      <c r="N770" s="52"/>
      <c r="O770" s="52"/>
    </row>
    <row r="771">
      <c r="A771" s="102"/>
      <c r="B771" s="13"/>
      <c r="C771" s="15"/>
      <c r="D771" s="15"/>
      <c r="E771" s="15"/>
      <c r="F771" s="15"/>
      <c r="G771" s="13"/>
      <c r="H771" s="13"/>
      <c r="I771" s="23"/>
      <c r="J771" s="28"/>
      <c r="K771" s="21"/>
      <c r="L771" s="102"/>
      <c r="M771" s="21"/>
      <c r="N771" s="52"/>
      <c r="O771" s="52"/>
    </row>
    <row r="772">
      <c r="A772" s="102"/>
      <c r="B772" s="13"/>
      <c r="C772" s="15"/>
      <c r="D772" s="15"/>
      <c r="E772" s="15"/>
      <c r="F772" s="15"/>
      <c r="G772" s="13"/>
      <c r="H772" s="13"/>
      <c r="I772" s="23"/>
      <c r="J772" s="28"/>
      <c r="K772" s="21"/>
      <c r="L772" s="102"/>
      <c r="M772" s="21"/>
      <c r="N772" s="52"/>
      <c r="O772" s="52"/>
    </row>
    <row r="773">
      <c r="A773" s="102"/>
      <c r="B773" s="13"/>
      <c r="C773" s="15"/>
      <c r="D773" s="15"/>
      <c r="E773" s="15"/>
      <c r="F773" s="15"/>
      <c r="G773" s="13"/>
      <c r="H773" s="13"/>
      <c r="I773" s="23"/>
      <c r="J773" s="28"/>
      <c r="K773" s="21"/>
      <c r="L773" s="102"/>
      <c r="M773" s="21"/>
      <c r="N773" s="52"/>
      <c r="O773" s="52"/>
    </row>
    <row r="774">
      <c r="A774" s="102"/>
      <c r="B774" s="13"/>
      <c r="C774" s="15"/>
      <c r="D774" s="15"/>
      <c r="E774" s="15"/>
      <c r="F774" s="15"/>
      <c r="G774" s="13"/>
      <c r="H774" s="13"/>
      <c r="I774" s="23"/>
      <c r="J774" s="28"/>
      <c r="K774" s="21"/>
      <c r="L774" s="102"/>
      <c r="M774" s="21"/>
      <c r="N774" s="52"/>
      <c r="O774" s="52"/>
    </row>
    <row r="775">
      <c r="A775" s="102"/>
      <c r="B775" s="13"/>
      <c r="C775" s="15"/>
      <c r="D775" s="15"/>
      <c r="E775" s="15"/>
      <c r="F775" s="15"/>
      <c r="G775" s="13"/>
      <c r="H775" s="13"/>
      <c r="I775" s="23"/>
      <c r="J775" s="28"/>
      <c r="K775" s="21"/>
      <c r="L775" s="102"/>
      <c r="M775" s="21"/>
      <c r="N775" s="52"/>
      <c r="O775" s="52"/>
    </row>
    <row r="776">
      <c r="A776" s="102"/>
      <c r="B776" s="13"/>
      <c r="C776" s="15"/>
      <c r="D776" s="15"/>
      <c r="E776" s="15"/>
      <c r="F776" s="15"/>
      <c r="G776" s="13"/>
      <c r="H776" s="13"/>
      <c r="I776" s="23"/>
      <c r="J776" s="28"/>
      <c r="K776" s="21"/>
      <c r="L776" s="102"/>
      <c r="M776" s="21"/>
      <c r="N776" s="52"/>
      <c r="O776" s="52"/>
    </row>
    <row r="777">
      <c r="A777" s="102"/>
      <c r="B777" s="13"/>
      <c r="C777" s="15"/>
      <c r="D777" s="15"/>
      <c r="E777" s="15"/>
      <c r="F777" s="15"/>
      <c r="G777" s="13"/>
      <c r="H777" s="13"/>
      <c r="I777" s="23"/>
      <c r="J777" s="28"/>
      <c r="K777" s="21"/>
      <c r="L777" s="102"/>
      <c r="M777" s="21"/>
      <c r="N777" s="52"/>
      <c r="O777" s="52"/>
    </row>
    <row r="778">
      <c r="A778" s="102"/>
      <c r="B778" s="13"/>
      <c r="C778" s="15"/>
      <c r="D778" s="15"/>
      <c r="E778" s="15"/>
      <c r="F778" s="15"/>
      <c r="G778" s="13"/>
      <c r="H778" s="13"/>
      <c r="I778" s="23"/>
      <c r="J778" s="28"/>
      <c r="K778" s="21"/>
      <c r="L778" s="102"/>
      <c r="M778" s="21"/>
      <c r="N778" s="52"/>
      <c r="O778" s="52"/>
    </row>
    <row r="779">
      <c r="A779" s="102"/>
      <c r="B779" s="13"/>
      <c r="C779" s="15"/>
      <c r="D779" s="15"/>
      <c r="E779" s="15"/>
      <c r="F779" s="15"/>
      <c r="G779" s="13"/>
      <c r="H779" s="13"/>
      <c r="I779" s="23"/>
      <c r="J779" s="28"/>
      <c r="K779" s="21"/>
      <c r="L779" s="102"/>
      <c r="M779" s="21"/>
      <c r="N779" s="52"/>
      <c r="O779" s="52"/>
    </row>
    <row r="780">
      <c r="A780" s="102"/>
      <c r="B780" s="13"/>
      <c r="C780" s="15"/>
      <c r="D780" s="15"/>
      <c r="E780" s="15"/>
      <c r="F780" s="15"/>
      <c r="G780" s="13"/>
      <c r="H780" s="13"/>
      <c r="I780" s="23"/>
      <c r="J780" s="28"/>
      <c r="K780" s="21"/>
      <c r="L780" s="102"/>
      <c r="M780" s="21"/>
      <c r="N780" s="52"/>
      <c r="O780" s="52"/>
    </row>
    <row r="781">
      <c r="A781" s="102"/>
      <c r="B781" s="13"/>
      <c r="C781" s="15"/>
      <c r="D781" s="15"/>
      <c r="E781" s="15"/>
      <c r="F781" s="15"/>
      <c r="G781" s="13"/>
      <c r="H781" s="13"/>
      <c r="I781" s="23"/>
      <c r="J781" s="28"/>
      <c r="K781" s="21"/>
      <c r="L781" s="102"/>
      <c r="M781" s="21"/>
      <c r="N781" s="52"/>
      <c r="O781" s="52"/>
    </row>
    <row r="782">
      <c r="A782" s="102"/>
      <c r="B782" s="13"/>
      <c r="C782" s="15"/>
      <c r="D782" s="15"/>
      <c r="E782" s="15"/>
      <c r="F782" s="15"/>
      <c r="G782" s="13"/>
      <c r="H782" s="13"/>
      <c r="I782" s="23"/>
      <c r="J782" s="28"/>
      <c r="K782" s="21"/>
      <c r="L782" s="102"/>
      <c r="M782" s="21"/>
      <c r="N782" s="52"/>
      <c r="O782" s="52"/>
    </row>
    <row r="783">
      <c r="A783" s="102"/>
      <c r="B783" s="13"/>
      <c r="C783" s="15"/>
      <c r="D783" s="15"/>
      <c r="E783" s="15"/>
      <c r="F783" s="15"/>
      <c r="G783" s="13"/>
      <c r="H783" s="13"/>
      <c r="I783" s="23"/>
      <c r="J783" s="28"/>
      <c r="K783" s="21"/>
      <c r="L783" s="102"/>
      <c r="M783" s="21"/>
      <c r="N783" s="52"/>
      <c r="O783" s="52"/>
    </row>
    <row r="784">
      <c r="A784" s="102"/>
      <c r="B784" s="13"/>
      <c r="C784" s="15"/>
      <c r="D784" s="15"/>
      <c r="E784" s="15"/>
      <c r="F784" s="15"/>
      <c r="G784" s="13"/>
      <c r="H784" s="13"/>
      <c r="I784" s="23"/>
      <c r="J784" s="28"/>
      <c r="K784" s="21"/>
      <c r="L784" s="102"/>
      <c r="M784" s="21"/>
      <c r="N784" s="52"/>
      <c r="O784" s="52"/>
    </row>
    <row r="785">
      <c r="A785" s="102"/>
      <c r="B785" s="182"/>
      <c r="C785" s="102"/>
      <c r="D785" s="102"/>
      <c r="E785" s="102"/>
      <c r="F785" s="102"/>
      <c r="G785" s="182"/>
      <c r="H785" s="182"/>
      <c r="I785" s="23"/>
      <c r="J785" s="47"/>
      <c r="K785" s="21"/>
      <c r="L785" s="102"/>
      <c r="M785" s="21"/>
      <c r="N785" s="183"/>
      <c r="O785" s="183"/>
    </row>
    <row r="786">
      <c r="A786" s="102"/>
      <c r="B786" s="182"/>
      <c r="C786" s="102"/>
      <c r="D786" s="102"/>
      <c r="E786" s="102"/>
      <c r="F786" s="102"/>
      <c r="G786" s="182"/>
      <c r="H786" s="182"/>
      <c r="I786" s="23"/>
      <c r="J786" s="47"/>
      <c r="K786" s="21"/>
      <c r="L786" s="102"/>
      <c r="M786" s="21"/>
      <c r="N786" s="183"/>
      <c r="O786" s="183"/>
    </row>
    <row r="787">
      <c r="A787" s="102"/>
      <c r="B787" s="182"/>
      <c r="C787" s="102"/>
      <c r="D787" s="102"/>
      <c r="E787" s="102"/>
      <c r="F787" s="102"/>
      <c r="G787" s="182"/>
      <c r="H787" s="182"/>
      <c r="I787" s="23"/>
      <c r="J787" s="47"/>
      <c r="K787" s="21"/>
      <c r="L787" s="102"/>
      <c r="M787" s="21"/>
      <c r="N787" s="183"/>
      <c r="O787" s="183"/>
    </row>
    <row r="788">
      <c r="A788" s="102"/>
      <c r="B788" s="182"/>
      <c r="C788" s="102"/>
      <c r="D788" s="102"/>
      <c r="E788" s="102"/>
      <c r="F788" s="102"/>
      <c r="G788" s="182"/>
      <c r="H788" s="182"/>
      <c r="I788" s="23"/>
      <c r="J788" s="47"/>
      <c r="K788" s="21"/>
      <c r="L788" s="102"/>
      <c r="M788" s="21"/>
      <c r="N788" s="183"/>
      <c r="O788" s="183"/>
    </row>
    <row r="789">
      <c r="A789" s="102"/>
      <c r="B789" s="182"/>
      <c r="C789" s="102"/>
      <c r="D789" s="102"/>
      <c r="E789" s="102"/>
      <c r="F789" s="102"/>
      <c r="G789" s="182"/>
      <c r="H789" s="182"/>
      <c r="I789" s="23"/>
      <c r="J789" s="47"/>
      <c r="K789" s="21"/>
      <c r="L789" s="102"/>
      <c r="M789" s="21"/>
      <c r="N789" s="183"/>
      <c r="O789" s="183"/>
    </row>
    <row r="790">
      <c r="A790" s="102"/>
      <c r="B790" s="182"/>
      <c r="C790" s="102"/>
      <c r="D790" s="102"/>
      <c r="E790" s="102"/>
      <c r="F790" s="102"/>
      <c r="G790" s="182"/>
      <c r="H790" s="182"/>
      <c r="I790" s="23"/>
      <c r="J790" s="47"/>
      <c r="K790" s="21"/>
      <c r="L790" s="102"/>
      <c r="M790" s="21"/>
      <c r="N790" s="183"/>
      <c r="O790" s="183"/>
    </row>
    <row r="791">
      <c r="A791" s="102"/>
      <c r="B791" s="182"/>
      <c r="C791" s="102"/>
      <c r="D791" s="102"/>
      <c r="E791" s="102"/>
      <c r="F791" s="102"/>
      <c r="G791" s="182"/>
      <c r="H791" s="182"/>
      <c r="I791" s="23"/>
      <c r="J791" s="47"/>
      <c r="K791" s="21"/>
      <c r="L791" s="102"/>
      <c r="M791" s="21"/>
      <c r="N791" s="183"/>
      <c r="O791" s="183"/>
    </row>
    <row r="792">
      <c r="A792" s="102"/>
      <c r="B792" s="182"/>
      <c r="C792" s="102"/>
      <c r="D792" s="102"/>
      <c r="E792" s="102"/>
      <c r="F792" s="102"/>
      <c r="G792" s="182"/>
      <c r="H792" s="182"/>
      <c r="I792" s="23"/>
      <c r="J792" s="47"/>
      <c r="K792" s="21"/>
      <c r="L792" s="102"/>
      <c r="M792" s="21"/>
      <c r="N792" s="183"/>
      <c r="O792" s="183"/>
    </row>
    <row r="793">
      <c r="A793" s="102"/>
      <c r="B793" s="182"/>
      <c r="C793" s="102"/>
      <c r="D793" s="102"/>
      <c r="E793" s="102"/>
      <c r="F793" s="102"/>
      <c r="G793" s="182"/>
      <c r="H793" s="182"/>
      <c r="I793" s="23"/>
      <c r="J793" s="47"/>
      <c r="K793" s="21"/>
      <c r="L793" s="102"/>
      <c r="M793" s="21"/>
      <c r="N793" s="183"/>
      <c r="O793" s="183"/>
    </row>
    <row r="794">
      <c r="A794" s="102"/>
      <c r="B794" s="182"/>
      <c r="C794" s="102"/>
      <c r="D794" s="102"/>
      <c r="E794" s="102"/>
      <c r="F794" s="102"/>
      <c r="G794" s="182"/>
      <c r="H794" s="182"/>
      <c r="I794" s="23"/>
      <c r="J794" s="47"/>
      <c r="K794" s="21"/>
      <c r="L794" s="102"/>
      <c r="M794" s="21"/>
      <c r="N794" s="183"/>
      <c r="O794" s="183"/>
    </row>
    <row r="795">
      <c r="A795" s="102"/>
      <c r="B795" s="182"/>
      <c r="C795" s="102"/>
      <c r="D795" s="102"/>
      <c r="E795" s="102"/>
      <c r="F795" s="102"/>
      <c r="G795" s="182"/>
      <c r="H795" s="182"/>
      <c r="I795" s="23"/>
      <c r="J795" s="47"/>
      <c r="K795" s="21"/>
      <c r="L795" s="102"/>
      <c r="M795" s="21"/>
      <c r="N795" s="183"/>
      <c r="O795" s="183"/>
    </row>
    <row r="796">
      <c r="A796" s="102"/>
      <c r="B796" s="182"/>
      <c r="C796" s="102"/>
      <c r="D796" s="102"/>
      <c r="E796" s="102"/>
      <c r="F796" s="102"/>
      <c r="G796" s="182"/>
      <c r="H796" s="182"/>
      <c r="I796" s="23"/>
      <c r="J796" s="47"/>
      <c r="K796" s="21"/>
      <c r="L796" s="102"/>
      <c r="M796" s="21"/>
      <c r="N796" s="183"/>
      <c r="O796" s="183"/>
    </row>
    <row r="797">
      <c r="A797" s="102"/>
      <c r="B797" s="182"/>
      <c r="C797" s="102"/>
      <c r="D797" s="102"/>
      <c r="E797" s="102"/>
      <c r="F797" s="102"/>
      <c r="G797" s="182"/>
      <c r="H797" s="182"/>
      <c r="I797" s="23"/>
      <c r="J797" s="47"/>
      <c r="K797" s="21"/>
      <c r="L797" s="102"/>
      <c r="M797" s="21"/>
      <c r="N797" s="183"/>
      <c r="O797" s="183"/>
    </row>
    <row r="798">
      <c r="A798" s="102"/>
      <c r="B798" s="182"/>
      <c r="C798" s="102"/>
      <c r="D798" s="102"/>
      <c r="E798" s="102"/>
      <c r="F798" s="102"/>
      <c r="G798" s="182"/>
      <c r="H798" s="182"/>
      <c r="I798" s="23"/>
      <c r="J798" s="47"/>
      <c r="K798" s="21"/>
      <c r="L798" s="102"/>
      <c r="M798" s="21"/>
      <c r="N798" s="183"/>
      <c r="O798" s="183"/>
    </row>
    <row r="799">
      <c r="A799" s="102"/>
      <c r="B799" s="182"/>
      <c r="C799" s="102"/>
      <c r="D799" s="102"/>
      <c r="E799" s="102"/>
      <c r="F799" s="102"/>
      <c r="G799" s="182"/>
      <c r="H799" s="182"/>
      <c r="I799" s="23"/>
      <c r="J799" s="47"/>
      <c r="K799" s="21"/>
      <c r="L799" s="102"/>
      <c r="M799" s="21"/>
      <c r="N799" s="183"/>
      <c r="O799" s="183"/>
    </row>
    <row r="800">
      <c r="A800" s="102"/>
      <c r="B800" s="182"/>
      <c r="C800" s="102"/>
      <c r="D800" s="102"/>
      <c r="E800" s="102"/>
      <c r="F800" s="102"/>
      <c r="G800" s="182"/>
      <c r="H800" s="182"/>
      <c r="I800" s="23"/>
      <c r="J800" s="47"/>
      <c r="K800" s="21"/>
      <c r="L800" s="102"/>
      <c r="M800" s="21"/>
      <c r="N800" s="183"/>
      <c r="O800" s="183"/>
    </row>
    <row r="801">
      <c r="A801" s="102"/>
      <c r="B801" s="182"/>
      <c r="C801" s="102"/>
      <c r="D801" s="102"/>
      <c r="E801" s="102"/>
      <c r="F801" s="102"/>
      <c r="G801" s="182"/>
      <c r="H801" s="182"/>
      <c r="I801" s="23"/>
      <c r="J801" s="47"/>
      <c r="K801" s="21"/>
      <c r="L801" s="102"/>
      <c r="M801" s="21"/>
      <c r="N801" s="183"/>
      <c r="O801" s="183"/>
    </row>
    <row r="802">
      <c r="A802" s="102"/>
      <c r="B802" s="182"/>
      <c r="C802" s="102"/>
      <c r="D802" s="102"/>
      <c r="E802" s="102"/>
      <c r="F802" s="102"/>
      <c r="G802" s="182"/>
      <c r="H802" s="182"/>
      <c r="I802" s="23"/>
      <c r="J802" s="47"/>
      <c r="K802" s="21"/>
      <c r="L802" s="102"/>
      <c r="M802" s="21"/>
      <c r="N802" s="183"/>
      <c r="O802" s="183"/>
    </row>
    <row r="803">
      <c r="A803" s="102"/>
      <c r="B803" s="182"/>
      <c r="C803" s="102"/>
      <c r="D803" s="102"/>
      <c r="E803" s="102"/>
      <c r="F803" s="102"/>
      <c r="G803" s="182"/>
      <c r="H803" s="182"/>
      <c r="I803" s="23"/>
      <c r="J803" s="47"/>
      <c r="K803" s="21"/>
      <c r="L803" s="102"/>
      <c r="M803" s="21"/>
      <c r="N803" s="183"/>
      <c r="O803" s="183"/>
    </row>
    <row r="804">
      <c r="A804" s="102"/>
      <c r="B804" s="182"/>
      <c r="C804" s="102"/>
      <c r="D804" s="102"/>
      <c r="E804" s="102"/>
      <c r="F804" s="102"/>
      <c r="G804" s="182"/>
      <c r="H804" s="182"/>
      <c r="I804" s="23"/>
      <c r="J804" s="47"/>
      <c r="K804" s="21"/>
      <c r="L804" s="102"/>
      <c r="M804" s="21"/>
      <c r="N804" s="183"/>
      <c r="O804" s="183"/>
    </row>
    <row r="805">
      <c r="A805" s="102"/>
      <c r="B805" s="182"/>
      <c r="C805" s="102"/>
      <c r="D805" s="102"/>
      <c r="E805" s="102"/>
      <c r="F805" s="102"/>
      <c r="G805" s="182"/>
      <c r="H805" s="182"/>
      <c r="I805" s="23"/>
      <c r="J805" s="47"/>
      <c r="K805" s="21"/>
      <c r="L805" s="102"/>
      <c r="M805" s="21"/>
      <c r="N805" s="183"/>
      <c r="O805" s="183"/>
    </row>
    <row r="806">
      <c r="A806" s="102"/>
      <c r="B806" s="182"/>
      <c r="C806" s="102"/>
      <c r="D806" s="102"/>
      <c r="E806" s="102"/>
      <c r="F806" s="102"/>
      <c r="G806" s="182"/>
      <c r="H806" s="182"/>
      <c r="I806" s="23"/>
      <c r="J806" s="47"/>
      <c r="K806" s="21"/>
      <c r="L806" s="102"/>
      <c r="M806" s="21"/>
      <c r="N806" s="183"/>
      <c r="O806" s="183"/>
    </row>
    <row r="807">
      <c r="A807" s="102"/>
      <c r="B807" s="182"/>
      <c r="C807" s="102"/>
      <c r="D807" s="102"/>
      <c r="E807" s="102"/>
      <c r="F807" s="102"/>
      <c r="G807" s="182"/>
      <c r="H807" s="182"/>
      <c r="I807" s="23"/>
      <c r="J807" s="47"/>
      <c r="K807" s="21"/>
      <c r="L807" s="102"/>
      <c r="M807" s="21"/>
      <c r="N807" s="183"/>
      <c r="O807" s="183"/>
    </row>
    <row r="808">
      <c r="A808" s="102"/>
      <c r="B808" s="182"/>
      <c r="C808" s="102"/>
      <c r="D808" s="102"/>
      <c r="E808" s="102"/>
      <c r="F808" s="102"/>
      <c r="G808" s="182"/>
      <c r="H808" s="182"/>
      <c r="I808" s="23"/>
      <c r="J808" s="47"/>
      <c r="K808" s="21"/>
      <c r="L808" s="102"/>
      <c r="M808" s="21"/>
      <c r="N808" s="183"/>
      <c r="O808" s="183"/>
    </row>
    <row r="809">
      <c r="A809" s="102"/>
      <c r="B809" s="182"/>
      <c r="C809" s="102"/>
      <c r="D809" s="102"/>
      <c r="E809" s="102"/>
      <c r="F809" s="102"/>
      <c r="G809" s="182"/>
      <c r="H809" s="182"/>
      <c r="I809" s="23"/>
      <c r="J809" s="47"/>
      <c r="K809" s="21"/>
      <c r="L809" s="102"/>
      <c r="M809" s="21"/>
      <c r="N809" s="183"/>
      <c r="O809" s="183"/>
    </row>
    <row r="810">
      <c r="A810" s="102"/>
      <c r="B810" s="182"/>
      <c r="C810" s="102"/>
      <c r="D810" s="102"/>
      <c r="E810" s="102"/>
      <c r="F810" s="102"/>
      <c r="G810" s="182"/>
      <c r="H810" s="182"/>
      <c r="I810" s="23"/>
      <c r="J810" s="47"/>
      <c r="K810" s="21"/>
      <c r="L810" s="102"/>
      <c r="M810" s="21"/>
      <c r="N810" s="183"/>
      <c r="O810" s="183"/>
    </row>
    <row r="811">
      <c r="A811" s="102"/>
      <c r="B811" s="182"/>
      <c r="C811" s="102"/>
      <c r="D811" s="102"/>
      <c r="E811" s="102"/>
      <c r="F811" s="102"/>
      <c r="G811" s="182"/>
      <c r="H811" s="182"/>
      <c r="I811" s="23"/>
      <c r="J811" s="47"/>
      <c r="K811" s="21"/>
      <c r="L811" s="102"/>
      <c r="M811" s="21"/>
      <c r="N811" s="183"/>
      <c r="O811" s="183"/>
    </row>
    <row r="812">
      <c r="A812" s="102"/>
      <c r="B812" s="182"/>
      <c r="C812" s="102"/>
      <c r="D812" s="102"/>
      <c r="E812" s="102"/>
      <c r="F812" s="102"/>
      <c r="G812" s="182"/>
      <c r="H812" s="182"/>
      <c r="I812" s="23"/>
      <c r="J812" s="47"/>
      <c r="K812" s="21"/>
      <c r="L812" s="102"/>
      <c r="M812" s="21"/>
      <c r="N812" s="183"/>
      <c r="O812" s="183"/>
    </row>
    <row r="813">
      <c r="A813" s="102"/>
      <c r="B813" s="182"/>
      <c r="C813" s="102"/>
      <c r="D813" s="102"/>
      <c r="E813" s="102"/>
      <c r="F813" s="102"/>
      <c r="G813" s="182"/>
      <c r="H813" s="182"/>
      <c r="I813" s="23"/>
      <c r="J813" s="47"/>
      <c r="K813" s="21"/>
      <c r="L813" s="102"/>
      <c r="M813" s="21"/>
      <c r="N813" s="183"/>
      <c r="O813" s="183"/>
    </row>
    <row r="814">
      <c r="A814" s="102"/>
      <c r="B814" s="182"/>
      <c r="C814" s="102"/>
      <c r="D814" s="102"/>
      <c r="E814" s="102"/>
      <c r="F814" s="102"/>
      <c r="G814" s="182"/>
      <c r="H814" s="182"/>
      <c r="I814" s="23"/>
      <c r="J814" s="47"/>
      <c r="K814" s="21"/>
      <c r="L814" s="102"/>
      <c r="M814" s="21"/>
      <c r="N814" s="183"/>
      <c r="O814" s="183"/>
    </row>
    <row r="815">
      <c r="A815" s="102"/>
      <c r="B815" s="182"/>
      <c r="C815" s="102"/>
      <c r="D815" s="102"/>
      <c r="E815" s="102"/>
      <c r="F815" s="102"/>
      <c r="G815" s="182"/>
      <c r="H815" s="182"/>
      <c r="I815" s="23"/>
      <c r="J815" s="47"/>
      <c r="K815" s="21"/>
      <c r="L815" s="102"/>
      <c r="M815" s="21"/>
      <c r="N815" s="183"/>
      <c r="O815" s="183"/>
    </row>
    <row r="816">
      <c r="A816" s="102"/>
      <c r="B816" s="182"/>
      <c r="C816" s="102"/>
      <c r="D816" s="102"/>
      <c r="E816" s="102"/>
      <c r="F816" s="102"/>
      <c r="G816" s="182"/>
      <c r="H816" s="182"/>
      <c r="I816" s="23"/>
      <c r="J816" s="47"/>
      <c r="K816" s="21"/>
      <c r="L816" s="102"/>
      <c r="M816" s="21"/>
      <c r="N816" s="183"/>
      <c r="O816" s="183"/>
    </row>
    <row r="817">
      <c r="A817" s="102"/>
      <c r="B817" s="182"/>
      <c r="C817" s="102"/>
      <c r="D817" s="102"/>
      <c r="E817" s="102"/>
      <c r="F817" s="102"/>
      <c r="G817" s="182"/>
      <c r="H817" s="182"/>
      <c r="I817" s="23"/>
      <c r="J817" s="47"/>
      <c r="K817" s="21"/>
      <c r="L817" s="102"/>
      <c r="M817" s="21"/>
      <c r="N817" s="183"/>
      <c r="O817" s="183"/>
    </row>
    <row r="818">
      <c r="A818" s="102"/>
      <c r="B818" s="182"/>
      <c r="C818" s="102"/>
      <c r="D818" s="102"/>
      <c r="E818" s="102"/>
      <c r="F818" s="102"/>
      <c r="G818" s="182"/>
      <c r="H818" s="182"/>
      <c r="I818" s="23"/>
      <c r="J818" s="47"/>
      <c r="K818" s="21"/>
      <c r="L818" s="102"/>
      <c r="M818" s="21"/>
      <c r="N818" s="183"/>
      <c r="O818" s="183"/>
    </row>
    <row r="819">
      <c r="A819" s="102"/>
      <c r="B819" s="182"/>
      <c r="C819" s="102"/>
      <c r="D819" s="102"/>
      <c r="E819" s="102"/>
      <c r="F819" s="102"/>
      <c r="G819" s="182"/>
      <c r="H819" s="182"/>
      <c r="I819" s="23"/>
      <c r="J819" s="47"/>
      <c r="K819" s="21"/>
      <c r="L819" s="102"/>
      <c r="M819" s="21"/>
      <c r="N819" s="183"/>
      <c r="O819" s="183"/>
    </row>
    <row r="820">
      <c r="A820" s="102"/>
      <c r="B820" s="182"/>
      <c r="C820" s="102"/>
      <c r="D820" s="102"/>
      <c r="E820" s="102"/>
      <c r="F820" s="102"/>
      <c r="G820" s="182"/>
      <c r="H820" s="182"/>
      <c r="I820" s="23"/>
      <c r="J820" s="47"/>
      <c r="K820" s="21"/>
      <c r="L820" s="102"/>
      <c r="M820" s="21"/>
      <c r="N820" s="183"/>
      <c r="O820" s="183"/>
    </row>
    <row r="821">
      <c r="A821" s="102"/>
      <c r="B821" s="182"/>
      <c r="C821" s="102"/>
      <c r="D821" s="102"/>
      <c r="E821" s="102"/>
      <c r="F821" s="102"/>
      <c r="G821" s="182"/>
      <c r="H821" s="182"/>
      <c r="I821" s="23"/>
      <c r="J821" s="47"/>
      <c r="K821" s="21"/>
      <c r="L821" s="102"/>
      <c r="M821" s="21"/>
      <c r="N821" s="183"/>
      <c r="O821" s="183"/>
    </row>
    <row r="822">
      <c r="A822" s="102"/>
      <c r="B822" s="182"/>
      <c r="C822" s="102"/>
      <c r="D822" s="102"/>
      <c r="E822" s="102"/>
      <c r="F822" s="102"/>
      <c r="G822" s="182"/>
      <c r="H822" s="182"/>
      <c r="I822" s="23"/>
      <c r="J822" s="47"/>
      <c r="K822" s="21"/>
      <c r="L822" s="102"/>
      <c r="M822" s="21"/>
      <c r="N822" s="183"/>
      <c r="O822" s="183"/>
    </row>
    <row r="823">
      <c r="A823" s="102"/>
      <c r="B823" s="182"/>
      <c r="C823" s="102"/>
      <c r="D823" s="102"/>
      <c r="E823" s="102"/>
      <c r="F823" s="102"/>
      <c r="G823" s="182"/>
      <c r="H823" s="182"/>
      <c r="I823" s="23"/>
      <c r="J823" s="47"/>
      <c r="K823" s="21"/>
      <c r="L823" s="102"/>
      <c r="M823" s="21"/>
      <c r="N823" s="183"/>
      <c r="O823" s="183"/>
    </row>
    <row r="824">
      <c r="A824" s="102"/>
      <c r="B824" s="182"/>
      <c r="C824" s="102"/>
      <c r="D824" s="102"/>
      <c r="E824" s="102"/>
      <c r="F824" s="102"/>
      <c r="G824" s="182"/>
      <c r="H824" s="182"/>
      <c r="I824" s="23"/>
      <c r="J824" s="47"/>
      <c r="K824" s="21"/>
      <c r="L824" s="102"/>
      <c r="M824" s="21"/>
      <c r="N824" s="183"/>
      <c r="O824" s="183"/>
    </row>
    <row r="825">
      <c r="A825" s="102"/>
      <c r="B825" s="182"/>
      <c r="C825" s="102"/>
      <c r="D825" s="102"/>
      <c r="E825" s="102"/>
      <c r="F825" s="102"/>
      <c r="G825" s="182"/>
      <c r="H825" s="182"/>
      <c r="I825" s="23"/>
      <c r="J825" s="47"/>
      <c r="K825" s="21"/>
      <c r="L825" s="102"/>
      <c r="M825" s="21"/>
      <c r="N825" s="183"/>
      <c r="O825" s="183"/>
    </row>
    <row r="826">
      <c r="A826" s="102"/>
      <c r="B826" s="182"/>
      <c r="C826" s="102"/>
      <c r="D826" s="102"/>
      <c r="E826" s="102"/>
      <c r="F826" s="102"/>
      <c r="G826" s="182"/>
      <c r="H826" s="182"/>
      <c r="I826" s="23"/>
      <c r="J826" s="47"/>
      <c r="K826" s="21"/>
      <c r="L826" s="102"/>
      <c r="M826" s="21"/>
      <c r="N826" s="183"/>
      <c r="O826" s="183"/>
    </row>
    <row r="827">
      <c r="A827" s="102"/>
      <c r="B827" s="182"/>
      <c r="C827" s="102"/>
      <c r="D827" s="102"/>
      <c r="E827" s="102"/>
      <c r="F827" s="102"/>
      <c r="G827" s="182"/>
      <c r="H827" s="182"/>
      <c r="I827" s="23"/>
      <c r="J827" s="47"/>
      <c r="K827" s="21"/>
      <c r="L827" s="102"/>
      <c r="M827" s="21"/>
      <c r="N827" s="183"/>
      <c r="O827" s="183"/>
    </row>
    <row r="828">
      <c r="A828" s="102"/>
      <c r="B828" s="182"/>
      <c r="C828" s="102"/>
      <c r="D828" s="102"/>
      <c r="E828" s="102"/>
      <c r="F828" s="102"/>
      <c r="G828" s="182"/>
      <c r="H828" s="182"/>
      <c r="I828" s="23"/>
      <c r="J828" s="47"/>
      <c r="K828" s="21"/>
      <c r="L828" s="102"/>
      <c r="M828" s="21"/>
      <c r="N828" s="183"/>
      <c r="O828" s="183"/>
    </row>
    <row r="829">
      <c r="A829" s="102"/>
      <c r="B829" s="182"/>
      <c r="C829" s="102"/>
      <c r="D829" s="102"/>
      <c r="E829" s="102"/>
      <c r="F829" s="102"/>
      <c r="G829" s="182"/>
      <c r="H829" s="182"/>
      <c r="I829" s="23"/>
      <c r="J829" s="47"/>
      <c r="K829" s="21"/>
      <c r="L829" s="102"/>
      <c r="M829" s="21"/>
      <c r="N829" s="183"/>
      <c r="O829" s="183"/>
    </row>
    <row r="830">
      <c r="A830" s="102"/>
      <c r="B830" s="182"/>
      <c r="C830" s="102"/>
      <c r="D830" s="102"/>
      <c r="E830" s="102"/>
      <c r="F830" s="102"/>
      <c r="G830" s="182"/>
      <c r="H830" s="182"/>
      <c r="I830" s="23"/>
      <c r="J830" s="47"/>
      <c r="K830" s="21"/>
      <c r="L830" s="102"/>
      <c r="M830" s="21"/>
      <c r="N830" s="183"/>
      <c r="O830" s="183"/>
    </row>
    <row r="831">
      <c r="A831" s="102"/>
      <c r="B831" s="182"/>
      <c r="C831" s="102"/>
      <c r="D831" s="102"/>
      <c r="E831" s="102"/>
      <c r="F831" s="102"/>
      <c r="G831" s="182"/>
      <c r="H831" s="182"/>
      <c r="I831" s="23"/>
      <c r="J831" s="47"/>
      <c r="K831" s="21"/>
      <c r="L831" s="102"/>
      <c r="M831" s="21"/>
      <c r="N831" s="183"/>
      <c r="O831" s="183"/>
    </row>
    <row r="832">
      <c r="A832" s="102"/>
      <c r="B832" s="182"/>
      <c r="C832" s="102"/>
      <c r="D832" s="102"/>
      <c r="E832" s="102"/>
      <c r="F832" s="102"/>
      <c r="G832" s="182"/>
      <c r="H832" s="182"/>
      <c r="I832" s="23"/>
      <c r="J832" s="47"/>
      <c r="K832" s="21"/>
      <c r="L832" s="102"/>
      <c r="M832" s="21"/>
      <c r="N832" s="183"/>
      <c r="O832" s="183"/>
    </row>
    <row r="833">
      <c r="A833" s="102"/>
      <c r="B833" s="182"/>
      <c r="C833" s="102"/>
      <c r="D833" s="102"/>
      <c r="E833" s="102"/>
      <c r="F833" s="102"/>
      <c r="G833" s="182"/>
      <c r="H833" s="182"/>
      <c r="I833" s="23"/>
      <c r="J833" s="47"/>
      <c r="K833" s="21"/>
      <c r="L833" s="102"/>
      <c r="M833" s="21"/>
      <c r="N833" s="183"/>
      <c r="O833" s="183"/>
    </row>
    <row r="834">
      <c r="A834" s="102"/>
      <c r="B834" s="182"/>
      <c r="C834" s="102"/>
      <c r="D834" s="102"/>
      <c r="E834" s="102"/>
      <c r="F834" s="102"/>
      <c r="G834" s="182"/>
      <c r="H834" s="182"/>
      <c r="I834" s="23"/>
      <c r="J834" s="47"/>
      <c r="K834" s="21"/>
      <c r="L834" s="102"/>
      <c r="M834" s="21"/>
      <c r="N834" s="183"/>
      <c r="O834" s="183"/>
    </row>
    <row r="835">
      <c r="A835" s="102"/>
      <c r="B835" s="182"/>
      <c r="C835" s="102"/>
      <c r="D835" s="102"/>
      <c r="E835" s="102"/>
      <c r="F835" s="102"/>
      <c r="G835" s="182"/>
      <c r="H835" s="182"/>
      <c r="I835" s="23"/>
      <c r="J835" s="47"/>
      <c r="K835" s="21"/>
      <c r="L835" s="102"/>
      <c r="M835" s="21"/>
      <c r="N835" s="183"/>
      <c r="O835" s="183"/>
    </row>
    <row r="836">
      <c r="A836" s="102"/>
      <c r="B836" s="182"/>
      <c r="C836" s="102"/>
      <c r="D836" s="102"/>
      <c r="E836" s="102"/>
      <c r="F836" s="102"/>
      <c r="G836" s="182"/>
      <c r="H836" s="182"/>
      <c r="I836" s="23"/>
      <c r="J836" s="47"/>
      <c r="K836" s="21"/>
      <c r="L836" s="102"/>
      <c r="M836" s="21"/>
      <c r="N836" s="183"/>
      <c r="O836" s="183"/>
    </row>
    <row r="837">
      <c r="A837" s="102"/>
      <c r="B837" s="182"/>
      <c r="C837" s="102"/>
      <c r="D837" s="102"/>
      <c r="E837" s="102"/>
      <c r="F837" s="102"/>
      <c r="G837" s="182"/>
      <c r="H837" s="182"/>
      <c r="I837" s="23"/>
      <c r="J837" s="47"/>
      <c r="K837" s="21"/>
      <c r="L837" s="102"/>
      <c r="M837" s="21"/>
      <c r="N837" s="183"/>
      <c r="O837" s="183"/>
    </row>
    <row r="838">
      <c r="A838" s="102"/>
      <c r="B838" s="182"/>
      <c r="C838" s="102"/>
      <c r="D838" s="102"/>
      <c r="E838" s="102"/>
      <c r="F838" s="102"/>
      <c r="G838" s="182"/>
      <c r="H838" s="182"/>
      <c r="I838" s="23"/>
      <c r="J838" s="47"/>
      <c r="K838" s="21"/>
      <c r="L838" s="102"/>
      <c r="M838" s="21"/>
      <c r="N838" s="183"/>
      <c r="O838" s="183"/>
    </row>
    <row r="839">
      <c r="A839" s="102"/>
      <c r="B839" s="182"/>
      <c r="C839" s="102"/>
      <c r="D839" s="102"/>
      <c r="E839" s="102"/>
      <c r="F839" s="102"/>
      <c r="G839" s="182"/>
      <c r="H839" s="182"/>
      <c r="I839" s="23"/>
      <c r="J839" s="47"/>
      <c r="K839" s="21"/>
      <c r="L839" s="102"/>
      <c r="M839" s="21"/>
      <c r="N839" s="183"/>
      <c r="O839" s="183"/>
    </row>
    <row r="840">
      <c r="A840" s="102"/>
      <c r="B840" s="182"/>
      <c r="C840" s="102"/>
      <c r="D840" s="102"/>
      <c r="E840" s="102"/>
      <c r="F840" s="102"/>
      <c r="G840" s="182"/>
      <c r="H840" s="182"/>
      <c r="I840" s="23"/>
      <c r="J840" s="47"/>
      <c r="K840" s="21"/>
      <c r="L840" s="102"/>
      <c r="M840" s="21"/>
      <c r="N840" s="183"/>
      <c r="O840" s="183"/>
    </row>
    <row r="841">
      <c r="A841" s="102"/>
      <c r="B841" s="182"/>
      <c r="C841" s="102"/>
      <c r="D841" s="102"/>
      <c r="E841" s="102"/>
      <c r="F841" s="102"/>
      <c r="G841" s="182"/>
      <c r="H841" s="182"/>
      <c r="I841" s="23"/>
      <c r="J841" s="47"/>
      <c r="K841" s="21"/>
      <c r="L841" s="102"/>
      <c r="M841" s="21"/>
      <c r="N841" s="183"/>
      <c r="O841" s="183"/>
    </row>
    <row r="842">
      <c r="A842" s="102"/>
      <c r="B842" s="182"/>
      <c r="C842" s="102"/>
      <c r="D842" s="102"/>
      <c r="E842" s="102"/>
      <c r="F842" s="102"/>
      <c r="G842" s="182"/>
      <c r="H842" s="182"/>
      <c r="I842" s="23"/>
      <c r="J842" s="47"/>
      <c r="K842" s="21"/>
      <c r="L842" s="102"/>
      <c r="M842" s="21"/>
      <c r="N842" s="183"/>
      <c r="O842" s="183"/>
    </row>
    <row r="843">
      <c r="A843" s="102"/>
      <c r="B843" s="182"/>
      <c r="C843" s="102"/>
      <c r="D843" s="102"/>
      <c r="E843" s="102"/>
      <c r="F843" s="102"/>
      <c r="G843" s="182"/>
      <c r="H843" s="182"/>
      <c r="I843" s="23"/>
      <c r="J843" s="47"/>
      <c r="K843" s="21"/>
      <c r="L843" s="102"/>
      <c r="M843" s="21"/>
      <c r="N843" s="183"/>
      <c r="O843" s="183"/>
    </row>
    <row r="844">
      <c r="A844" s="102"/>
      <c r="B844" s="182"/>
      <c r="C844" s="102"/>
      <c r="D844" s="102"/>
      <c r="E844" s="102"/>
      <c r="F844" s="102"/>
      <c r="G844" s="182"/>
      <c r="H844" s="182"/>
      <c r="I844" s="23"/>
      <c r="J844" s="47"/>
      <c r="K844" s="21"/>
      <c r="L844" s="102"/>
      <c r="M844" s="21"/>
      <c r="N844" s="183"/>
      <c r="O844" s="183"/>
    </row>
    <row r="845">
      <c r="A845" s="102"/>
      <c r="B845" s="182"/>
      <c r="C845" s="102"/>
      <c r="D845" s="102"/>
      <c r="E845" s="102"/>
      <c r="F845" s="102"/>
      <c r="G845" s="182"/>
      <c r="H845" s="182"/>
      <c r="I845" s="23"/>
      <c r="J845" s="47"/>
      <c r="K845" s="21"/>
      <c r="L845" s="102"/>
      <c r="M845" s="21"/>
      <c r="N845" s="183"/>
      <c r="O845" s="183"/>
    </row>
    <row r="846">
      <c r="A846" s="102"/>
      <c r="B846" s="182"/>
      <c r="C846" s="102"/>
      <c r="D846" s="102"/>
      <c r="E846" s="102"/>
      <c r="F846" s="102"/>
      <c r="G846" s="182"/>
      <c r="H846" s="182"/>
      <c r="I846" s="23"/>
      <c r="J846" s="47"/>
      <c r="K846" s="21"/>
      <c r="L846" s="102"/>
      <c r="M846" s="21"/>
      <c r="N846" s="183"/>
      <c r="O846" s="183"/>
    </row>
    <row r="847">
      <c r="A847" s="102"/>
      <c r="B847" s="182"/>
      <c r="C847" s="102"/>
      <c r="D847" s="102"/>
      <c r="E847" s="102"/>
      <c r="F847" s="102"/>
      <c r="G847" s="182"/>
      <c r="H847" s="182"/>
      <c r="I847" s="23"/>
      <c r="J847" s="47"/>
      <c r="K847" s="21"/>
      <c r="L847" s="102"/>
      <c r="M847" s="21"/>
      <c r="N847" s="183"/>
      <c r="O847" s="183"/>
    </row>
    <row r="848">
      <c r="A848" s="102"/>
      <c r="B848" s="182"/>
      <c r="C848" s="102"/>
      <c r="D848" s="102"/>
      <c r="E848" s="102"/>
      <c r="F848" s="102"/>
      <c r="G848" s="182"/>
      <c r="H848" s="182"/>
      <c r="I848" s="23"/>
      <c r="J848" s="47"/>
      <c r="K848" s="21"/>
      <c r="L848" s="102"/>
      <c r="M848" s="21"/>
      <c r="N848" s="183"/>
      <c r="O848" s="183"/>
    </row>
    <row r="849">
      <c r="A849" s="102"/>
      <c r="B849" s="182"/>
      <c r="C849" s="102"/>
      <c r="D849" s="102"/>
      <c r="E849" s="102"/>
      <c r="F849" s="102"/>
      <c r="G849" s="182"/>
      <c r="H849" s="182"/>
      <c r="I849" s="23"/>
      <c r="J849" s="47"/>
      <c r="K849" s="21"/>
      <c r="L849" s="102"/>
      <c r="M849" s="21"/>
      <c r="N849" s="183"/>
      <c r="O849" s="183"/>
    </row>
    <row r="850">
      <c r="A850" s="102"/>
      <c r="B850" s="182"/>
      <c r="C850" s="102"/>
      <c r="D850" s="102"/>
      <c r="E850" s="102"/>
      <c r="F850" s="102"/>
      <c r="G850" s="182"/>
      <c r="H850" s="182"/>
      <c r="I850" s="23"/>
      <c r="J850" s="47"/>
      <c r="K850" s="21"/>
      <c r="L850" s="102"/>
      <c r="M850" s="21"/>
      <c r="N850" s="183"/>
      <c r="O850" s="183"/>
    </row>
    <row r="851">
      <c r="A851" s="102"/>
      <c r="B851" s="182"/>
      <c r="C851" s="102"/>
      <c r="D851" s="102"/>
      <c r="E851" s="102"/>
      <c r="F851" s="102"/>
      <c r="G851" s="182"/>
      <c r="H851" s="182"/>
      <c r="I851" s="23"/>
      <c r="J851" s="47"/>
      <c r="K851" s="21"/>
      <c r="L851" s="102"/>
      <c r="M851" s="21"/>
      <c r="N851" s="183"/>
      <c r="O851" s="183"/>
    </row>
    <row r="852">
      <c r="A852" s="102"/>
      <c r="B852" s="182"/>
      <c r="C852" s="102"/>
      <c r="D852" s="102"/>
      <c r="E852" s="102"/>
      <c r="F852" s="102"/>
      <c r="G852" s="182"/>
      <c r="H852" s="182"/>
      <c r="I852" s="23"/>
      <c r="J852" s="47"/>
      <c r="K852" s="21"/>
      <c r="L852" s="102"/>
      <c r="M852" s="21"/>
      <c r="N852" s="183"/>
      <c r="O852" s="183"/>
    </row>
    <row r="853">
      <c r="A853" s="102"/>
      <c r="B853" s="182"/>
      <c r="C853" s="102"/>
      <c r="D853" s="102"/>
      <c r="E853" s="102"/>
      <c r="F853" s="102"/>
      <c r="G853" s="182"/>
      <c r="H853" s="182"/>
      <c r="I853" s="23"/>
      <c r="J853" s="47"/>
      <c r="K853" s="21"/>
      <c r="L853" s="102"/>
      <c r="M853" s="21"/>
      <c r="N853" s="183"/>
      <c r="O853" s="183"/>
    </row>
    <row r="854">
      <c r="A854" s="102"/>
      <c r="B854" s="182"/>
      <c r="C854" s="102"/>
      <c r="D854" s="102"/>
      <c r="E854" s="102"/>
      <c r="F854" s="102"/>
      <c r="G854" s="182"/>
      <c r="H854" s="182"/>
      <c r="I854" s="23"/>
      <c r="J854" s="47"/>
      <c r="K854" s="21"/>
      <c r="L854" s="102"/>
      <c r="M854" s="21"/>
      <c r="N854" s="183"/>
      <c r="O854" s="183"/>
    </row>
    <row r="855">
      <c r="A855" s="102"/>
      <c r="B855" s="182"/>
      <c r="C855" s="102"/>
      <c r="D855" s="102"/>
      <c r="E855" s="102"/>
      <c r="F855" s="102"/>
      <c r="G855" s="182"/>
      <c r="H855" s="182"/>
      <c r="I855" s="23"/>
      <c r="J855" s="47"/>
      <c r="K855" s="21"/>
      <c r="L855" s="102"/>
      <c r="M855" s="21"/>
      <c r="N855" s="183"/>
      <c r="O855" s="183"/>
    </row>
    <row r="856">
      <c r="A856" s="102"/>
      <c r="B856" s="182"/>
      <c r="C856" s="102"/>
      <c r="D856" s="102"/>
      <c r="E856" s="102"/>
      <c r="F856" s="102"/>
      <c r="G856" s="182"/>
      <c r="H856" s="182"/>
      <c r="I856" s="23"/>
      <c r="J856" s="47"/>
      <c r="K856" s="21"/>
      <c r="L856" s="102"/>
      <c r="M856" s="21"/>
      <c r="N856" s="183"/>
      <c r="O856" s="183"/>
    </row>
    <row r="857">
      <c r="A857" s="102"/>
      <c r="B857" s="182"/>
      <c r="C857" s="102"/>
      <c r="D857" s="102"/>
      <c r="E857" s="102"/>
      <c r="F857" s="102"/>
      <c r="G857" s="182"/>
      <c r="H857" s="182"/>
      <c r="I857" s="23"/>
      <c r="J857" s="47"/>
      <c r="K857" s="21"/>
      <c r="L857" s="102"/>
      <c r="M857" s="21"/>
      <c r="N857" s="183"/>
      <c r="O857" s="183"/>
    </row>
    <row r="858">
      <c r="A858" s="102"/>
      <c r="B858" s="182"/>
      <c r="C858" s="102"/>
      <c r="D858" s="102"/>
      <c r="E858" s="102"/>
      <c r="F858" s="102"/>
      <c r="G858" s="182"/>
      <c r="H858" s="182"/>
      <c r="I858" s="23"/>
      <c r="J858" s="47"/>
      <c r="K858" s="21"/>
      <c r="L858" s="102"/>
      <c r="M858" s="21"/>
      <c r="N858" s="183"/>
      <c r="O858" s="183"/>
    </row>
    <row r="859">
      <c r="A859" s="102"/>
      <c r="B859" s="182"/>
      <c r="C859" s="102"/>
      <c r="D859" s="102"/>
      <c r="E859" s="102"/>
      <c r="F859" s="102"/>
      <c r="G859" s="182"/>
      <c r="H859" s="182"/>
      <c r="I859" s="23"/>
      <c r="J859" s="47"/>
      <c r="K859" s="21"/>
      <c r="L859" s="102"/>
      <c r="M859" s="21"/>
      <c r="N859" s="183"/>
      <c r="O859" s="183"/>
    </row>
    <row r="860">
      <c r="A860" s="102"/>
      <c r="B860" s="182"/>
      <c r="C860" s="102"/>
      <c r="D860" s="102"/>
      <c r="E860" s="102"/>
      <c r="F860" s="102"/>
      <c r="G860" s="182"/>
      <c r="H860" s="182"/>
      <c r="I860" s="23"/>
      <c r="J860" s="47"/>
      <c r="K860" s="21"/>
      <c r="L860" s="102"/>
      <c r="M860" s="21"/>
      <c r="N860" s="183"/>
      <c r="O860" s="183"/>
    </row>
    <row r="861">
      <c r="A861" s="102"/>
      <c r="B861" s="182"/>
      <c r="C861" s="102"/>
      <c r="D861" s="102"/>
      <c r="E861" s="102"/>
      <c r="F861" s="102"/>
      <c r="G861" s="182"/>
      <c r="H861" s="182"/>
      <c r="I861" s="23"/>
      <c r="J861" s="47"/>
      <c r="K861" s="21"/>
      <c r="L861" s="102"/>
      <c r="M861" s="21"/>
      <c r="N861" s="183"/>
      <c r="O861" s="183"/>
    </row>
    <row r="862">
      <c r="A862" s="102"/>
      <c r="B862" s="182"/>
      <c r="C862" s="102"/>
      <c r="D862" s="102"/>
      <c r="E862" s="102"/>
      <c r="F862" s="102"/>
      <c r="G862" s="182"/>
      <c r="H862" s="182"/>
      <c r="I862" s="23"/>
      <c r="J862" s="47"/>
      <c r="K862" s="21"/>
      <c r="L862" s="102"/>
      <c r="M862" s="21"/>
      <c r="N862" s="183"/>
      <c r="O862" s="183"/>
    </row>
    <row r="863">
      <c r="A863" s="102"/>
      <c r="B863" s="182"/>
      <c r="C863" s="102"/>
      <c r="D863" s="102"/>
      <c r="E863" s="102"/>
      <c r="F863" s="102"/>
      <c r="G863" s="182"/>
      <c r="H863" s="182"/>
      <c r="I863" s="23"/>
      <c r="J863" s="47"/>
      <c r="K863" s="21"/>
      <c r="L863" s="102"/>
      <c r="M863" s="21"/>
      <c r="N863" s="183"/>
      <c r="O863" s="183"/>
    </row>
    <row r="864">
      <c r="A864" s="102"/>
      <c r="B864" s="182"/>
      <c r="C864" s="102"/>
      <c r="D864" s="102"/>
      <c r="E864" s="102"/>
      <c r="F864" s="102"/>
      <c r="G864" s="182"/>
      <c r="H864" s="182"/>
      <c r="I864" s="23"/>
      <c r="J864" s="47"/>
      <c r="K864" s="21"/>
      <c r="L864" s="102"/>
      <c r="M864" s="21"/>
      <c r="N864" s="183"/>
      <c r="O864" s="183"/>
    </row>
    <row r="865">
      <c r="A865" s="102"/>
      <c r="B865" s="182"/>
      <c r="C865" s="102"/>
      <c r="D865" s="102"/>
      <c r="E865" s="102"/>
      <c r="F865" s="102"/>
      <c r="G865" s="182"/>
      <c r="H865" s="182"/>
      <c r="I865" s="23"/>
      <c r="J865" s="47"/>
      <c r="K865" s="21"/>
      <c r="L865" s="102"/>
      <c r="M865" s="21"/>
      <c r="N865" s="183"/>
      <c r="O865" s="183"/>
    </row>
    <row r="866">
      <c r="A866" s="102"/>
      <c r="B866" s="182"/>
      <c r="C866" s="102"/>
      <c r="D866" s="102"/>
      <c r="E866" s="102"/>
      <c r="F866" s="102"/>
      <c r="G866" s="182"/>
      <c r="H866" s="182"/>
      <c r="I866" s="23"/>
      <c r="J866" s="47"/>
      <c r="K866" s="21"/>
      <c r="L866" s="102"/>
      <c r="M866" s="21"/>
      <c r="N866" s="183"/>
      <c r="O866" s="183"/>
    </row>
    <row r="867">
      <c r="A867" s="102"/>
      <c r="B867" s="182"/>
      <c r="C867" s="102"/>
      <c r="D867" s="102"/>
      <c r="E867" s="102"/>
      <c r="F867" s="102"/>
      <c r="G867" s="182"/>
      <c r="H867" s="182"/>
      <c r="I867" s="23"/>
      <c r="J867" s="47"/>
      <c r="K867" s="21"/>
      <c r="L867" s="102"/>
      <c r="M867" s="21"/>
      <c r="N867" s="183"/>
      <c r="O867" s="183"/>
    </row>
    <row r="868">
      <c r="A868" s="102"/>
      <c r="B868" s="182"/>
      <c r="C868" s="102"/>
      <c r="D868" s="102"/>
      <c r="E868" s="102"/>
      <c r="F868" s="102"/>
      <c r="G868" s="182"/>
      <c r="H868" s="182"/>
      <c r="I868" s="23"/>
      <c r="J868" s="47"/>
      <c r="K868" s="21"/>
      <c r="L868" s="102"/>
      <c r="M868" s="21"/>
      <c r="N868" s="183"/>
      <c r="O868" s="183"/>
    </row>
    <row r="869">
      <c r="A869" s="102"/>
      <c r="B869" s="182"/>
      <c r="C869" s="102"/>
      <c r="D869" s="102"/>
      <c r="E869" s="102"/>
      <c r="F869" s="102"/>
      <c r="G869" s="182"/>
      <c r="H869" s="182"/>
      <c r="I869" s="23"/>
      <c r="J869" s="47"/>
      <c r="K869" s="21"/>
      <c r="L869" s="102"/>
      <c r="M869" s="21"/>
      <c r="N869" s="183"/>
      <c r="O869" s="183"/>
    </row>
    <row r="870">
      <c r="A870" s="102"/>
      <c r="B870" s="182"/>
      <c r="C870" s="102"/>
      <c r="D870" s="102"/>
      <c r="E870" s="102"/>
      <c r="F870" s="102"/>
      <c r="G870" s="182"/>
      <c r="H870" s="182"/>
      <c r="I870" s="23"/>
      <c r="J870" s="47"/>
      <c r="K870" s="21"/>
      <c r="L870" s="102"/>
      <c r="M870" s="21"/>
      <c r="N870" s="183"/>
      <c r="O870" s="183"/>
    </row>
    <row r="871">
      <c r="A871" s="102"/>
      <c r="B871" s="182"/>
      <c r="C871" s="102"/>
      <c r="D871" s="102"/>
      <c r="E871" s="102"/>
      <c r="F871" s="102"/>
      <c r="G871" s="182"/>
      <c r="H871" s="182"/>
      <c r="I871" s="23"/>
      <c r="J871" s="47"/>
      <c r="K871" s="21"/>
      <c r="L871" s="102"/>
      <c r="M871" s="21"/>
      <c r="N871" s="183"/>
      <c r="O871" s="183"/>
    </row>
    <row r="872">
      <c r="A872" s="102"/>
      <c r="B872" s="182"/>
      <c r="C872" s="102"/>
      <c r="D872" s="102"/>
      <c r="E872" s="102"/>
      <c r="F872" s="102"/>
      <c r="G872" s="182"/>
      <c r="H872" s="182"/>
      <c r="I872" s="23"/>
      <c r="J872" s="47"/>
      <c r="K872" s="21"/>
      <c r="L872" s="102"/>
      <c r="M872" s="21"/>
      <c r="N872" s="183"/>
      <c r="O872" s="183"/>
    </row>
    <row r="873">
      <c r="A873" s="102"/>
      <c r="B873" s="182"/>
      <c r="C873" s="102"/>
      <c r="D873" s="102"/>
      <c r="E873" s="102"/>
      <c r="F873" s="102"/>
      <c r="G873" s="182"/>
      <c r="H873" s="182"/>
      <c r="I873" s="23"/>
      <c r="J873" s="47"/>
      <c r="K873" s="21"/>
      <c r="L873" s="102"/>
      <c r="M873" s="21"/>
      <c r="N873" s="183"/>
      <c r="O873" s="183"/>
    </row>
    <row r="874">
      <c r="A874" s="102"/>
      <c r="B874" s="182"/>
      <c r="C874" s="102"/>
      <c r="D874" s="102"/>
      <c r="E874" s="102"/>
      <c r="F874" s="102"/>
      <c r="G874" s="182"/>
      <c r="H874" s="182"/>
      <c r="I874" s="23"/>
      <c r="J874" s="47"/>
      <c r="K874" s="21"/>
      <c r="L874" s="102"/>
      <c r="M874" s="21"/>
      <c r="N874" s="183"/>
      <c r="O874" s="183"/>
    </row>
    <row r="875">
      <c r="A875" s="102"/>
      <c r="B875" s="182"/>
      <c r="C875" s="102"/>
      <c r="D875" s="102"/>
      <c r="E875" s="102"/>
      <c r="F875" s="102"/>
      <c r="G875" s="182"/>
      <c r="H875" s="182"/>
      <c r="I875" s="23"/>
      <c r="J875" s="47"/>
      <c r="K875" s="21"/>
      <c r="L875" s="102"/>
      <c r="M875" s="21"/>
      <c r="N875" s="183"/>
      <c r="O875" s="183"/>
    </row>
    <row r="876">
      <c r="A876" s="102"/>
      <c r="B876" s="182"/>
      <c r="C876" s="102"/>
      <c r="D876" s="102"/>
      <c r="E876" s="102"/>
      <c r="F876" s="102"/>
      <c r="G876" s="182"/>
      <c r="H876" s="182"/>
      <c r="I876" s="23"/>
      <c r="J876" s="47"/>
      <c r="K876" s="21"/>
      <c r="L876" s="102"/>
      <c r="M876" s="21"/>
      <c r="N876" s="183"/>
      <c r="O876" s="183"/>
    </row>
    <row r="877">
      <c r="A877" s="102"/>
      <c r="B877" s="182"/>
      <c r="C877" s="102"/>
      <c r="D877" s="102"/>
      <c r="E877" s="102"/>
      <c r="F877" s="102"/>
      <c r="G877" s="182"/>
      <c r="H877" s="182"/>
      <c r="I877" s="23"/>
      <c r="J877" s="47"/>
      <c r="K877" s="21"/>
      <c r="L877" s="102"/>
      <c r="M877" s="21"/>
      <c r="N877" s="183"/>
      <c r="O877" s="183"/>
    </row>
    <row r="878">
      <c r="A878" s="102"/>
      <c r="B878" s="182"/>
      <c r="C878" s="102"/>
      <c r="D878" s="102"/>
      <c r="E878" s="102"/>
      <c r="F878" s="102"/>
      <c r="G878" s="182"/>
      <c r="H878" s="182"/>
      <c r="I878" s="23"/>
      <c r="J878" s="47"/>
      <c r="K878" s="21"/>
      <c r="L878" s="102"/>
      <c r="M878" s="21"/>
      <c r="N878" s="183"/>
      <c r="O878" s="183"/>
    </row>
    <row r="879">
      <c r="A879" s="102"/>
      <c r="B879" s="182"/>
      <c r="C879" s="102"/>
      <c r="D879" s="102"/>
      <c r="E879" s="102"/>
      <c r="F879" s="102"/>
      <c r="G879" s="182"/>
      <c r="H879" s="182"/>
      <c r="I879" s="23"/>
      <c r="J879" s="47"/>
      <c r="K879" s="21"/>
      <c r="L879" s="102"/>
      <c r="M879" s="21"/>
      <c r="N879" s="183"/>
      <c r="O879" s="183"/>
    </row>
    <row r="880">
      <c r="A880" s="102"/>
      <c r="B880" s="182"/>
      <c r="C880" s="102"/>
      <c r="D880" s="102"/>
      <c r="E880" s="102"/>
      <c r="F880" s="102"/>
      <c r="G880" s="182"/>
      <c r="H880" s="182"/>
      <c r="I880" s="23"/>
      <c r="J880" s="47"/>
      <c r="K880" s="21"/>
      <c r="L880" s="102"/>
      <c r="M880" s="21"/>
      <c r="N880" s="183"/>
      <c r="O880" s="183"/>
    </row>
    <row r="881">
      <c r="A881" s="102"/>
      <c r="B881" s="182"/>
      <c r="C881" s="102"/>
      <c r="D881" s="102"/>
      <c r="E881" s="102"/>
      <c r="F881" s="102"/>
      <c r="G881" s="182"/>
      <c r="H881" s="182"/>
      <c r="I881" s="23"/>
      <c r="J881" s="47"/>
      <c r="K881" s="21"/>
      <c r="L881" s="102"/>
      <c r="M881" s="21"/>
      <c r="N881" s="183"/>
      <c r="O881" s="183"/>
    </row>
    <row r="882">
      <c r="A882" s="102"/>
      <c r="B882" s="182"/>
      <c r="C882" s="102"/>
      <c r="D882" s="102"/>
      <c r="E882" s="102"/>
      <c r="F882" s="102"/>
      <c r="G882" s="182"/>
      <c r="H882" s="182"/>
      <c r="I882" s="23"/>
      <c r="J882" s="47"/>
      <c r="K882" s="21"/>
      <c r="L882" s="102"/>
      <c r="M882" s="21"/>
      <c r="N882" s="183"/>
      <c r="O882" s="183"/>
    </row>
    <row r="883">
      <c r="A883" s="102"/>
      <c r="B883" s="182"/>
      <c r="C883" s="102"/>
      <c r="D883" s="102"/>
      <c r="E883" s="102"/>
      <c r="F883" s="102"/>
      <c r="G883" s="182"/>
      <c r="H883" s="182"/>
      <c r="I883" s="23"/>
      <c r="J883" s="47"/>
      <c r="K883" s="21"/>
      <c r="L883" s="102"/>
      <c r="M883" s="21"/>
      <c r="N883" s="183"/>
      <c r="O883" s="183"/>
    </row>
    <row r="884">
      <c r="A884" s="102"/>
      <c r="B884" s="182"/>
      <c r="C884" s="102"/>
      <c r="D884" s="102"/>
      <c r="E884" s="102"/>
      <c r="F884" s="102"/>
      <c r="G884" s="182"/>
      <c r="H884" s="182"/>
      <c r="I884" s="23"/>
      <c r="J884" s="47"/>
      <c r="K884" s="21"/>
      <c r="L884" s="102"/>
      <c r="M884" s="21"/>
      <c r="N884" s="183"/>
      <c r="O884" s="183"/>
    </row>
    <row r="885">
      <c r="A885" s="102"/>
      <c r="B885" s="182"/>
      <c r="C885" s="102"/>
      <c r="D885" s="102"/>
      <c r="E885" s="102"/>
      <c r="F885" s="102"/>
      <c r="G885" s="182"/>
      <c r="H885" s="182"/>
      <c r="I885" s="23"/>
      <c r="J885" s="47"/>
      <c r="K885" s="21"/>
      <c r="L885" s="102"/>
      <c r="M885" s="21"/>
      <c r="N885" s="183"/>
      <c r="O885" s="183"/>
    </row>
    <row r="886">
      <c r="A886" s="102"/>
      <c r="B886" s="182"/>
      <c r="C886" s="102"/>
      <c r="D886" s="102"/>
      <c r="E886" s="102"/>
      <c r="F886" s="102"/>
      <c r="G886" s="182"/>
      <c r="H886" s="182"/>
      <c r="I886" s="23"/>
      <c r="J886" s="47"/>
      <c r="K886" s="21"/>
      <c r="L886" s="102"/>
      <c r="M886" s="21"/>
      <c r="N886" s="183"/>
      <c r="O886" s="183"/>
    </row>
    <row r="887">
      <c r="A887" s="102"/>
      <c r="B887" s="182"/>
      <c r="C887" s="102"/>
      <c r="D887" s="102"/>
      <c r="E887" s="102"/>
      <c r="F887" s="102"/>
      <c r="G887" s="182"/>
      <c r="H887" s="182"/>
      <c r="I887" s="23"/>
      <c r="J887" s="47"/>
      <c r="K887" s="21"/>
      <c r="L887" s="102"/>
      <c r="M887" s="21"/>
      <c r="N887" s="183"/>
      <c r="O887" s="183"/>
    </row>
    <row r="888">
      <c r="A888" s="102"/>
      <c r="B888" s="182"/>
      <c r="C888" s="102"/>
      <c r="D888" s="102"/>
      <c r="E888" s="102"/>
      <c r="F888" s="102"/>
      <c r="G888" s="182"/>
      <c r="H888" s="182"/>
      <c r="I888" s="23"/>
      <c r="J888" s="47"/>
      <c r="K888" s="21"/>
      <c r="L888" s="102"/>
      <c r="M888" s="21"/>
      <c r="N888" s="183"/>
      <c r="O888" s="183"/>
    </row>
    <row r="889">
      <c r="A889" s="102"/>
      <c r="B889" s="182"/>
      <c r="C889" s="102"/>
      <c r="D889" s="102"/>
      <c r="E889" s="102"/>
      <c r="F889" s="102"/>
      <c r="G889" s="182"/>
      <c r="H889" s="182"/>
      <c r="I889" s="23"/>
      <c r="J889" s="47"/>
      <c r="K889" s="21"/>
      <c r="L889" s="102"/>
      <c r="M889" s="21"/>
      <c r="N889" s="183"/>
      <c r="O889" s="183"/>
    </row>
    <row r="890">
      <c r="A890" s="102"/>
      <c r="B890" s="182"/>
      <c r="C890" s="102"/>
      <c r="D890" s="102"/>
      <c r="E890" s="102"/>
      <c r="F890" s="102"/>
      <c r="G890" s="182"/>
      <c r="H890" s="182"/>
      <c r="I890" s="23"/>
      <c r="J890" s="47"/>
      <c r="K890" s="21"/>
      <c r="L890" s="102"/>
      <c r="M890" s="21"/>
      <c r="N890" s="183"/>
      <c r="O890" s="183"/>
    </row>
    <row r="891">
      <c r="A891" s="102"/>
      <c r="B891" s="182"/>
      <c r="C891" s="102"/>
      <c r="D891" s="102"/>
      <c r="E891" s="102"/>
      <c r="F891" s="102"/>
      <c r="G891" s="182"/>
      <c r="H891" s="182"/>
      <c r="I891" s="23"/>
      <c r="J891" s="47"/>
      <c r="K891" s="21"/>
      <c r="L891" s="102"/>
      <c r="M891" s="21"/>
      <c r="N891" s="183"/>
      <c r="O891" s="183"/>
    </row>
    <row r="892">
      <c r="A892" s="102"/>
      <c r="B892" s="182"/>
      <c r="C892" s="102"/>
      <c r="D892" s="102"/>
      <c r="E892" s="102"/>
      <c r="F892" s="102"/>
      <c r="G892" s="182"/>
      <c r="H892" s="182"/>
      <c r="I892" s="23"/>
      <c r="J892" s="47"/>
      <c r="K892" s="21"/>
      <c r="L892" s="102"/>
      <c r="M892" s="21"/>
      <c r="N892" s="183"/>
      <c r="O892" s="183"/>
    </row>
    <row r="893">
      <c r="A893" s="102"/>
      <c r="B893" s="182"/>
      <c r="C893" s="102"/>
      <c r="D893" s="102"/>
      <c r="E893" s="102"/>
      <c r="F893" s="102"/>
      <c r="G893" s="182"/>
      <c r="H893" s="182"/>
      <c r="I893" s="23"/>
      <c r="J893" s="47"/>
      <c r="K893" s="21"/>
      <c r="L893" s="102"/>
      <c r="M893" s="21"/>
      <c r="N893" s="183"/>
      <c r="O893" s="183"/>
    </row>
    <row r="894">
      <c r="A894" s="102"/>
      <c r="B894" s="182"/>
      <c r="C894" s="102"/>
      <c r="D894" s="102"/>
      <c r="E894" s="102"/>
      <c r="F894" s="102"/>
      <c r="G894" s="182"/>
      <c r="H894" s="182"/>
      <c r="I894" s="23"/>
      <c r="J894" s="47"/>
      <c r="K894" s="21"/>
      <c r="L894" s="102"/>
      <c r="M894" s="21"/>
      <c r="N894" s="183"/>
      <c r="O894" s="183"/>
    </row>
    <row r="895">
      <c r="A895" s="102"/>
      <c r="B895" s="182"/>
      <c r="C895" s="102"/>
      <c r="D895" s="102"/>
      <c r="E895" s="102"/>
      <c r="F895" s="102"/>
      <c r="G895" s="182"/>
      <c r="H895" s="182"/>
      <c r="I895" s="23"/>
      <c r="J895" s="47"/>
      <c r="K895" s="21"/>
      <c r="L895" s="102"/>
      <c r="M895" s="21"/>
      <c r="N895" s="183"/>
      <c r="O895" s="183"/>
    </row>
    <row r="896">
      <c r="A896" s="102"/>
      <c r="B896" s="182"/>
      <c r="C896" s="102"/>
      <c r="D896" s="102"/>
      <c r="E896" s="102"/>
      <c r="F896" s="102"/>
      <c r="G896" s="182"/>
      <c r="H896" s="182"/>
      <c r="I896" s="23"/>
      <c r="J896" s="47"/>
      <c r="K896" s="21"/>
      <c r="L896" s="102"/>
      <c r="M896" s="21"/>
      <c r="N896" s="183"/>
      <c r="O896" s="183"/>
    </row>
    <row r="897">
      <c r="A897" s="102"/>
      <c r="B897" s="182"/>
      <c r="C897" s="102"/>
      <c r="D897" s="102"/>
      <c r="E897" s="102"/>
      <c r="F897" s="102"/>
      <c r="G897" s="182"/>
      <c r="H897" s="182"/>
      <c r="I897" s="23"/>
      <c r="J897" s="47"/>
      <c r="K897" s="21"/>
      <c r="L897" s="102"/>
      <c r="M897" s="21"/>
      <c r="N897" s="183"/>
      <c r="O897" s="183"/>
    </row>
    <row r="898">
      <c r="A898" s="102"/>
      <c r="B898" s="182"/>
      <c r="C898" s="102"/>
      <c r="D898" s="102"/>
      <c r="E898" s="102"/>
      <c r="F898" s="102"/>
      <c r="G898" s="182"/>
      <c r="H898" s="182"/>
      <c r="I898" s="23"/>
      <c r="J898" s="47"/>
      <c r="K898" s="21"/>
      <c r="L898" s="102"/>
      <c r="M898" s="21"/>
      <c r="N898" s="183"/>
      <c r="O898" s="183"/>
    </row>
    <row r="899">
      <c r="A899" s="102"/>
      <c r="B899" s="182"/>
      <c r="C899" s="102"/>
      <c r="D899" s="102"/>
      <c r="E899" s="102"/>
      <c r="F899" s="102"/>
      <c r="G899" s="182"/>
      <c r="H899" s="182"/>
      <c r="I899" s="23"/>
      <c r="J899" s="47"/>
      <c r="K899" s="21"/>
      <c r="L899" s="102"/>
      <c r="M899" s="21"/>
      <c r="N899" s="183"/>
      <c r="O899" s="183"/>
    </row>
    <row r="900">
      <c r="A900" s="102"/>
      <c r="B900" s="182"/>
      <c r="C900" s="102"/>
      <c r="D900" s="102"/>
      <c r="E900" s="102"/>
      <c r="F900" s="102"/>
      <c r="G900" s="182"/>
      <c r="H900" s="182"/>
      <c r="I900" s="23"/>
      <c r="J900" s="47"/>
      <c r="K900" s="21"/>
      <c r="L900" s="102"/>
      <c r="M900" s="21"/>
      <c r="N900" s="183"/>
      <c r="O900" s="183"/>
    </row>
    <row r="901">
      <c r="A901" s="102"/>
      <c r="B901" s="182"/>
      <c r="C901" s="102"/>
      <c r="D901" s="102"/>
      <c r="E901" s="102"/>
      <c r="F901" s="102"/>
      <c r="G901" s="182"/>
      <c r="H901" s="182"/>
      <c r="I901" s="23"/>
      <c r="J901" s="47"/>
      <c r="K901" s="21"/>
      <c r="L901" s="102"/>
      <c r="M901" s="21"/>
      <c r="N901" s="183"/>
      <c r="O901" s="183"/>
    </row>
    <row r="902">
      <c r="A902" s="102"/>
      <c r="B902" s="182"/>
      <c r="C902" s="102"/>
      <c r="D902" s="102"/>
      <c r="E902" s="102"/>
      <c r="F902" s="102"/>
      <c r="G902" s="182"/>
      <c r="H902" s="182"/>
      <c r="I902" s="23"/>
      <c r="J902" s="47"/>
      <c r="K902" s="21"/>
      <c r="L902" s="102"/>
      <c r="M902" s="21"/>
      <c r="N902" s="183"/>
      <c r="O902" s="183"/>
    </row>
    <row r="903">
      <c r="A903" s="102"/>
      <c r="B903" s="182"/>
      <c r="C903" s="102"/>
      <c r="D903" s="102"/>
      <c r="E903" s="102"/>
      <c r="F903" s="102"/>
      <c r="G903" s="182"/>
      <c r="H903" s="182"/>
      <c r="I903" s="23"/>
      <c r="J903" s="47"/>
      <c r="K903" s="21"/>
      <c r="L903" s="102"/>
      <c r="M903" s="21"/>
      <c r="N903" s="183"/>
      <c r="O903" s="183"/>
    </row>
    <row r="904">
      <c r="A904" s="102"/>
      <c r="B904" s="182"/>
      <c r="C904" s="102"/>
      <c r="D904" s="102"/>
      <c r="E904" s="102"/>
      <c r="F904" s="102"/>
      <c r="G904" s="182"/>
      <c r="H904" s="182"/>
      <c r="I904" s="23"/>
      <c r="J904" s="47"/>
      <c r="K904" s="21"/>
      <c r="L904" s="102"/>
      <c r="M904" s="21"/>
      <c r="N904" s="183"/>
      <c r="O904" s="183"/>
    </row>
    <row r="905">
      <c r="A905" s="102"/>
      <c r="B905" s="182"/>
      <c r="C905" s="102"/>
      <c r="D905" s="102"/>
      <c r="E905" s="102"/>
      <c r="F905" s="102"/>
      <c r="G905" s="182"/>
      <c r="H905" s="182"/>
      <c r="I905" s="23"/>
      <c r="J905" s="47"/>
      <c r="K905" s="21"/>
      <c r="L905" s="102"/>
      <c r="M905" s="21"/>
      <c r="N905" s="183"/>
      <c r="O905" s="183"/>
    </row>
    <row r="906">
      <c r="A906" s="102"/>
      <c r="B906" s="182"/>
      <c r="C906" s="102"/>
      <c r="D906" s="102"/>
      <c r="E906" s="102"/>
      <c r="F906" s="102"/>
      <c r="G906" s="182"/>
      <c r="H906" s="182"/>
      <c r="I906" s="23"/>
      <c r="J906" s="47"/>
      <c r="K906" s="21"/>
      <c r="L906" s="102"/>
      <c r="M906" s="21"/>
      <c r="N906" s="183"/>
      <c r="O906" s="183"/>
    </row>
    <row r="907">
      <c r="A907" s="102"/>
      <c r="B907" s="182"/>
      <c r="C907" s="102"/>
      <c r="D907" s="102"/>
      <c r="E907" s="102"/>
      <c r="F907" s="102"/>
      <c r="G907" s="182"/>
      <c r="H907" s="182"/>
      <c r="I907" s="23"/>
      <c r="J907" s="47"/>
      <c r="K907" s="21"/>
      <c r="L907" s="102"/>
      <c r="M907" s="21"/>
      <c r="N907" s="183"/>
      <c r="O907" s="183"/>
    </row>
    <row r="908">
      <c r="A908" s="102"/>
      <c r="B908" s="182"/>
      <c r="C908" s="102"/>
      <c r="D908" s="102"/>
      <c r="E908" s="102"/>
      <c r="F908" s="102"/>
      <c r="G908" s="182"/>
      <c r="H908" s="182"/>
      <c r="I908" s="23"/>
      <c r="J908" s="47"/>
      <c r="K908" s="21"/>
      <c r="L908" s="102"/>
      <c r="M908" s="21"/>
      <c r="N908" s="183"/>
      <c r="O908" s="183"/>
    </row>
    <row r="909">
      <c r="A909" s="102"/>
      <c r="B909" s="182"/>
      <c r="C909" s="102"/>
      <c r="D909" s="102"/>
      <c r="E909" s="102"/>
      <c r="F909" s="102"/>
      <c r="G909" s="182"/>
      <c r="H909" s="182"/>
      <c r="I909" s="23"/>
      <c r="J909" s="47"/>
      <c r="K909" s="21"/>
      <c r="L909" s="102"/>
      <c r="M909" s="21"/>
      <c r="N909" s="183"/>
      <c r="O909" s="183"/>
    </row>
    <row r="910">
      <c r="A910" s="102"/>
      <c r="B910" s="182"/>
      <c r="C910" s="102"/>
      <c r="D910" s="102"/>
      <c r="E910" s="102"/>
      <c r="F910" s="102"/>
      <c r="G910" s="182"/>
      <c r="H910" s="182"/>
      <c r="I910" s="23"/>
      <c r="J910" s="47"/>
      <c r="K910" s="21"/>
      <c r="L910" s="102"/>
      <c r="M910" s="21"/>
      <c r="N910" s="183"/>
      <c r="O910" s="183"/>
    </row>
    <row r="911">
      <c r="A911" s="102"/>
      <c r="B911" s="182"/>
      <c r="C911" s="102"/>
      <c r="D911" s="102"/>
      <c r="E911" s="102"/>
      <c r="F911" s="102"/>
      <c r="G911" s="182"/>
      <c r="H911" s="182"/>
      <c r="I911" s="23"/>
      <c r="J911" s="47"/>
      <c r="K911" s="21"/>
      <c r="L911" s="102"/>
      <c r="M911" s="21"/>
      <c r="N911" s="183"/>
      <c r="O911" s="183"/>
    </row>
    <row r="912">
      <c r="A912" s="102"/>
      <c r="B912" s="182"/>
      <c r="C912" s="102"/>
      <c r="D912" s="102"/>
      <c r="E912" s="102"/>
      <c r="F912" s="102"/>
      <c r="G912" s="182"/>
      <c r="H912" s="182"/>
      <c r="I912" s="23"/>
      <c r="J912" s="47"/>
      <c r="K912" s="21"/>
      <c r="L912" s="102"/>
      <c r="M912" s="21"/>
      <c r="N912" s="183"/>
      <c r="O912" s="183"/>
    </row>
    <row r="913">
      <c r="A913" s="102"/>
      <c r="B913" s="182"/>
      <c r="C913" s="102"/>
      <c r="D913" s="102"/>
      <c r="E913" s="102"/>
      <c r="F913" s="102"/>
      <c r="G913" s="182"/>
      <c r="H913" s="182"/>
      <c r="I913" s="23"/>
      <c r="J913" s="47"/>
      <c r="K913" s="21"/>
      <c r="L913" s="102"/>
      <c r="M913" s="21"/>
      <c r="N913" s="183"/>
      <c r="O913" s="183"/>
    </row>
    <row r="914">
      <c r="A914" s="102"/>
      <c r="B914" s="182"/>
      <c r="C914" s="102"/>
      <c r="D914" s="102"/>
      <c r="E914" s="102"/>
      <c r="F914" s="102"/>
      <c r="G914" s="182"/>
      <c r="H914" s="182"/>
      <c r="I914" s="23"/>
      <c r="J914" s="47"/>
      <c r="K914" s="21"/>
      <c r="L914" s="102"/>
      <c r="M914" s="21"/>
      <c r="N914" s="183"/>
      <c r="O914" s="183"/>
    </row>
    <row r="915">
      <c r="A915" s="102"/>
      <c r="B915" s="182"/>
      <c r="C915" s="102"/>
      <c r="D915" s="102"/>
      <c r="E915" s="102"/>
      <c r="F915" s="102"/>
      <c r="G915" s="182"/>
      <c r="H915" s="182"/>
      <c r="I915" s="23"/>
      <c r="J915" s="47"/>
      <c r="K915" s="21"/>
      <c r="L915" s="102"/>
      <c r="M915" s="21"/>
      <c r="N915" s="183"/>
      <c r="O915" s="183"/>
    </row>
    <row r="916">
      <c r="A916" s="102"/>
      <c r="B916" s="182"/>
      <c r="C916" s="102"/>
      <c r="D916" s="102"/>
      <c r="E916" s="102"/>
      <c r="F916" s="102"/>
      <c r="G916" s="182"/>
      <c r="H916" s="182"/>
      <c r="I916" s="23"/>
      <c r="J916" s="47"/>
      <c r="K916" s="21"/>
      <c r="L916" s="102"/>
      <c r="M916" s="21"/>
      <c r="N916" s="183"/>
      <c r="O916" s="183"/>
    </row>
    <row r="917">
      <c r="A917" s="102"/>
      <c r="B917" s="182"/>
      <c r="C917" s="102"/>
      <c r="D917" s="102"/>
      <c r="E917" s="102"/>
      <c r="F917" s="102"/>
      <c r="G917" s="182"/>
      <c r="H917" s="182"/>
      <c r="I917" s="23"/>
      <c r="J917" s="47"/>
      <c r="K917" s="21"/>
      <c r="L917" s="102"/>
      <c r="M917" s="21"/>
      <c r="N917" s="183"/>
      <c r="O917" s="183"/>
    </row>
    <row r="918">
      <c r="A918" s="102"/>
      <c r="B918" s="182"/>
      <c r="C918" s="102"/>
      <c r="D918" s="102"/>
      <c r="E918" s="102"/>
      <c r="F918" s="102"/>
      <c r="G918" s="182"/>
      <c r="H918" s="182"/>
      <c r="I918" s="23"/>
      <c r="J918" s="47"/>
      <c r="K918" s="21"/>
      <c r="L918" s="102"/>
      <c r="M918" s="21"/>
      <c r="N918" s="183"/>
      <c r="O918" s="183"/>
    </row>
    <row r="919">
      <c r="A919" s="102"/>
      <c r="B919" s="182"/>
      <c r="C919" s="102"/>
      <c r="D919" s="102"/>
      <c r="E919" s="102"/>
      <c r="F919" s="102"/>
      <c r="G919" s="182"/>
      <c r="H919" s="182"/>
      <c r="I919" s="23"/>
      <c r="J919" s="47"/>
      <c r="K919" s="21"/>
      <c r="L919" s="102"/>
      <c r="M919" s="21"/>
      <c r="N919" s="183"/>
      <c r="O919" s="183"/>
    </row>
    <row r="920">
      <c r="A920" s="102"/>
      <c r="B920" s="182"/>
      <c r="C920" s="102"/>
      <c r="D920" s="102"/>
      <c r="E920" s="102"/>
      <c r="F920" s="102"/>
      <c r="G920" s="182"/>
      <c r="H920" s="182"/>
      <c r="I920" s="23"/>
      <c r="J920" s="47"/>
      <c r="K920" s="21"/>
      <c r="L920" s="102"/>
      <c r="M920" s="21"/>
      <c r="N920" s="183"/>
      <c r="O920" s="183"/>
    </row>
    <row r="921">
      <c r="A921" s="102"/>
      <c r="B921" s="182"/>
      <c r="C921" s="102"/>
      <c r="D921" s="102"/>
      <c r="E921" s="102"/>
      <c r="F921" s="102"/>
      <c r="G921" s="182"/>
      <c r="H921" s="182"/>
      <c r="I921" s="23"/>
      <c r="J921" s="47"/>
      <c r="K921" s="21"/>
      <c r="L921" s="102"/>
      <c r="M921" s="21"/>
      <c r="N921" s="183"/>
      <c r="O921" s="183"/>
    </row>
    <row r="922">
      <c r="A922" s="102"/>
      <c r="B922" s="182"/>
      <c r="C922" s="102"/>
      <c r="D922" s="102"/>
      <c r="E922" s="102"/>
      <c r="F922" s="102"/>
      <c r="G922" s="182"/>
      <c r="H922" s="182"/>
      <c r="I922" s="23"/>
      <c r="J922" s="47"/>
      <c r="K922" s="21"/>
      <c r="L922" s="102"/>
      <c r="M922" s="21"/>
      <c r="N922" s="183"/>
      <c r="O922" s="183"/>
    </row>
    <row r="923">
      <c r="A923" s="102"/>
      <c r="B923" s="182"/>
      <c r="C923" s="102"/>
      <c r="D923" s="102"/>
      <c r="E923" s="102"/>
      <c r="F923" s="102"/>
      <c r="G923" s="182"/>
      <c r="H923" s="182"/>
      <c r="I923" s="23"/>
      <c r="J923" s="47"/>
      <c r="K923" s="21"/>
      <c r="L923" s="102"/>
      <c r="M923" s="21"/>
      <c r="N923" s="183"/>
      <c r="O923" s="183"/>
    </row>
    <row r="924">
      <c r="A924" s="102"/>
      <c r="B924" s="182"/>
      <c r="C924" s="102"/>
      <c r="D924" s="102"/>
      <c r="E924" s="102"/>
      <c r="F924" s="102"/>
      <c r="G924" s="182"/>
      <c r="H924" s="182"/>
      <c r="I924" s="23"/>
      <c r="J924" s="47"/>
      <c r="K924" s="21"/>
      <c r="L924" s="102"/>
      <c r="M924" s="21"/>
      <c r="N924" s="183"/>
      <c r="O924" s="183"/>
    </row>
    <row r="925">
      <c r="A925" s="102"/>
      <c r="B925" s="182"/>
      <c r="C925" s="102"/>
      <c r="D925" s="102"/>
      <c r="E925" s="102"/>
      <c r="F925" s="102"/>
      <c r="G925" s="182"/>
      <c r="H925" s="182"/>
      <c r="I925" s="23"/>
      <c r="J925" s="47"/>
      <c r="K925" s="21"/>
      <c r="L925" s="102"/>
      <c r="M925" s="21"/>
      <c r="N925" s="183"/>
      <c r="O925" s="183"/>
    </row>
    <row r="926">
      <c r="A926" s="102"/>
      <c r="B926" s="182"/>
      <c r="C926" s="102"/>
      <c r="D926" s="102"/>
      <c r="E926" s="102"/>
      <c r="F926" s="102"/>
      <c r="G926" s="182"/>
      <c r="H926" s="182"/>
      <c r="I926" s="23"/>
      <c r="J926" s="47"/>
      <c r="K926" s="21"/>
      <c r="L926" s="102"/>
      <c r="M926" s="21"/>
      <c r="N926" s="183"/>
      <c r="O926" s="183"/>
    </row>
    <row r="927">
      <c r="A927" s="102"/>
      <c r="B927" s="182"/>
      <c r="C927" s="102"/>
      <c r="D927" s="102"/>
      <c r="E927" s="102"/>
      <c r="F927" s="102"/>
      <c r="G927" s="182"/>
      <c r="H927" s="182"/>
      <c r="I927" s="23"/>
      <c r="J927" s="47"/>
      <c r="K927" s="21"/>
      <c r="L927" s="102"/>
      <c r="M927" s="21"/>
      <c r="N927" s="183"/>
      <c r="O927" s="183"/>
    </row>
    <row r="928">
      <c r="A928" s="102"/>
      <c r="B928" s="182"/>
      <c r="C928" s="102"/>
      <c r="D928" s="102"/>
      <c r="E928" s="102"/>
      <c r="F928" s="102"/>
      <c r="G928" s="182"/>
      <c r="H928" s="182"/>
      <c r="I928" s="23"/>
      <c r="J928" s="47"/>
      <c r="K928" s="21"/>
      <c r="L928" s="102"/>
      <c r="M928" s="21"/>
      <c r="N928" s="183"/>
      <c r="O928" s="183"/>
    </row>
    <row r="929">
      <c r="A929" s="102"/>
      <c r="B929" s="182"/>
      <c r="C929" s="102"/>
      <c r="D929" s="102"/>
      <c r="E929" s="102"/>
      <c r="F929" s="102"/>
      <c r="G929" s="182"/>
      <c r="H929" s="182"/>
      <c r="I929" s="23"/>
      <c r="J929" s="47"/>
      <c r="K929" s="21"/>
      <c r="L929" s="102"/>
      <c r="M929" s="21"/>
      <c r="N929" s="183"/>
      <c r="O929" s="183"/>
    </row>
    <row r="930">
      <c r="A930" s="102"/>
      <c r="B930" s="182"/>
      <c r="C930" s="102"/>
      <c r="D930" s="102"/>
      <c r="E930" s="102"/>
      <c r="F930" s="102"/>
      <c r="G930" s="182"/>
      <c r="H930" s="182"/>
      <c r="I930" s="23"/>
      <c r="J930" s="47"/>
      <c r="K930" s="21"/>
      <c r="L930" s="102"/>
      <c r="M930" s="21"/>
      <c r="N930" s="183"/>
      <c r="O930" s="183"/>
    </row>
    <row r="931">
      <c r="A931" s="102"/>
      <c r="B931" s="182"/>
      <c r="C931" s="102"/>
      <c r="D931" s="102"/>
      <c r="E931" s="102"/>
      <c r="F931" s="102"/>
      <c r="G931" s="182"/>
      <c r="H931" s="182"/>
      <c r="I931" s="23"/>
      <c r="J931" s="47"/>
      <c r="K931" s="21"/>
      <c r="L931" s="102"/>
      <c r="M931" s="21"/>
      <c r="N931" s="183"/>
      <c r="O931" s="183"/>
    </row>
    <row r="932">
      <c r="A932" s="102"/>
      <c r="B932" s="182"/>
      <c r="C932" s="102"/>
      <c r="D932" s="102"/>
      <c r="E932" s="102"/>
      <c r="F932" s="102"/>
      <c r="G932" s="182"/>
      <c r="H932" s="182"/>
      <c r="I932" s="23"/>
      <c r="J932" s="47"/>
      <c r="K932" s="21"/>
      <c r="L932" s="102"/>
      <c r="M932" s="21"/>
      <c r="N932" s="183"/>
      <c r="O932" s="183"/>
    </row>
    <row r="933">
      <c r="A933" s="102"/>
      <c r="B933" s="182"/>
      <c r="C933" s="102"/>
      <c r="D933" s="102"/>
      <c r="E933" s="102"/>
      <c r="F933" s="102"/>
      <c r="G933" s="182"/>
      <c r="H933" s="182"/>
      <c r="I933" s="23"/>
      <c r="J933" s="47"/>
      <c r="K933" s="21"/>
      <c r="L933" s="102"/>
      <c r="M933" s="21"/>
      <c r="N933" s="183"/>
      <c r="O933" s="183"/>
    </row>
    <row r="934">
      <c r="A934" s="102"/>
      <c r="B934" s="182"/>
      <c r="C934" s="102"/>
      <c r="D934" s="102"/>
      <c r="E934" s="102"/>
      <c r="F934" s="102"/>
      <c r="G934" s="182"/>
      <c r="H934" s="182"/>
      <c r="I934" s="23"/>
      <c r="J934" s="47"/>
      <c r="K934" s="21"/>
      <c r="L934" s="102"/>
      <c r="M934" s="21"/>
      <c r="N934" s="183"/>
      <c r="O934" s="183"/>
    </row>
    <row r="935">
      <c r="A935" s="102"/>
      <c r="B935" s="182"/>
      <c r="C935" s="102"/>
      <c r="D935" s="102"/>
      <c r="E935" s="102"/>
      <c r="F935" s="102"/>
      <c r="G935" s="182"/>
      <c r="H935" s="182"/>
      <c r="I935" s="23"/>
      <c r="J935" s="47"/>
      <c r="K935" s="21"/>
      <c r="L935" s="102"/>
      <c r="M935" s="21"/>
      <c r="N935" s="183"/>
      <c r="O935" s="183"/>
    </row>
    <row r="936">
      <c r="A936" s="102"/>
      <c r="B936" s="182"/>
      <c r="C936" s="102"/>
      <c r="D936" s="102"/>
      <c r="E936" s="102"/>
      <c r="F936" s="102"/>
      <c r="G936" s="182"/>
      <c r="H936" s="182"/>
      <c r="I936" s="23"/>
      <c r="J936" s="47"/>
      <c r="K936" s="21"/>
      <c r="L936" s="102"/>
      <c r="M936" s="21"/>
      <c r="N936" s="183"/>
      <c r="O936" s="183"/>
    </row>
    <row r="937">
      <c r="A937" s="102"/>
      <c r="B937" s="182"/>
      <c r="C937" s="102"/>
      <c r="D937" s="102"/>
      <c r="E937" s="102"/>
      <c r="F937" s="102"/>
      <c r="G937" s="182"/>
      <c r="H937" s="182"/>
      <c r="I937" s="23"/>
      <c r="J937" s="47"/>
      <c r="K937" s="21"/>
      <c r="L937" s="102"/>
      <c r="M937" s="21"/>
      <c r="N937" s="183"/>
      <c r="O937" s="183"/>
    </row>
    <row r="938">
      <c r="A938" s="102"/>
      <c r="B938" s="182"/>
      <c r="C938" s="102"/>
      <c r="D938" s="102"/>
      <c r="E938" s="102"/>
      <c r="F938" s="102"/>
      <c r="G938" s="182"/>
      <c r="H938" s="182"/>
      <c r="I938" s="23"/>
      <c r="J938" s="47"/>
      <c r="K938" s="21"/>
      <c r="L938" s="102"/>
      <c r="M938" s="21"/>
      <c r="N938" s="183"/>
      <c r="O938" s="183"/>
    </row>
    <row r="939">
      <c r="A939" s="102"/>
      <c r="B939" s="182"/>
      <c r="C939" s="102"/>
      <c r="D939" s="102"/>
      <c r="E939" s="102"/>
      <c r="F939" s="102"/>
      <c r="G939" s="182"/>
      <c r="H939" s="182"/>
      <c r="I939" s="23"/>
      <c r="J939" s="47"/>
      <c r="K939" s="21"/>
      <c r="L939" s="102"/>
      <c r="M939" s="21"/>
      <c r="N939" s="183"/>
      <c r="O939" s="183"/>
    </row>
    <row r="940">
      <c r="A940" s="102"/>
      <c r="B940" s="182"/>
      <c r="C940" s="102"/>
      <c r="D940" s="102"/>
      <c r="E940" s="102"/>
      <c r="F940" s="102"/>
      <c r="G940" s="182"/>
      <c r="H940" s="182"/>
      <c r="I940" s="23"/>
      <c r="J940" s="47"/>
      <c r="K940" s="21"/>
      <c r="L940" s="102"/>
      <c r="M940" s="21"/>
      <c r="N940" s="183"/>
      <c r="O940" s="183"/>
    </row>
    <row r="941">
      <c r="A941" s="102"/>
      <c r="B941" s="182"/>
      <c r="C941" s="102"/>
      <c r="D941" s="102"/>
      <c r="E941" s="102"/>
      <c r="F941" s="102"/>
      <c r="G941" s="182"/>
      <c r="H941" s="182"/>
      <c r="I941" s="23"/>
      <c r="J941" s="47"/>
      <c r="K941" s="21"/>
      <c r="L941" s="102"/>
      <c r="M941" s="21"/>
      <c r="N941" s="183"/>
      <c r="O941" s="183"/>
    </row>
    <row r="942">
      <c r="A942" s="102"/>
      <c r="B942" s="182"/>
      <c r="C942" s="102"/>
      <c r="D942" s="102"/>
      <c r="E942" s="102"/>
      <c r="F942" s="102"/>
      <c r="G942" s="182"/>
      <c r="H942" s="182"/>
      <c r="I942" s="23"/>
      <c r="J942" s="47"/>
      <c r="K942" s="21"/>
      <c r="L942" s="102"/>
      <c r="M942" s="21"/>
      <c r="N942" s="183"/>
      <c r="O942" s="183"/>
    </row>
    <row r="943">
      <c r="A943" s="102"/>
      <c r="B943" s="182"/>
      <c r="C943" s="102"/>
      <c r="D943" s="102"/>
      <c r="E943" s="102"/>
      <c r="F943" s="102"/>
      <c r="G943" s="182"/>
      <c r="H943" s="182"/>
      <c r="I943" s="23"/>
      <c r="J943" s="47"/>
      <c r="K943" s="21"/>
      <c r="L943" s="102"/>
      <c r="M943" s="21"/>
      <c r="N943" s="183"/>
      <c r="O943" s="183"/>
    </row>
    <row r="944">
      <c r="A944" s="102"/>
      <c r="B944" s="182"/>
      <c r="C944" s="102"/>
      <c r="D944" s="102"/>
      <c r="E944" s="102"/>
      <c r="F944" s="102"/>
      <c r="G944" s="182"/>
      <c r="H944" s="182"/>
      <c r="I944" s="23"/>
      <c r="J944" s="47"/>
      <c r="K944" s="21"/>
      <c r="L944" s="102"/>
      <c r="M944" s="21"/>
      <c r="N944" s="183"/>
      <c r="O944" s="183"/>
    </row>
    <row r="945">
      <c r="A945" s="102"/>
      <c r="B945" s="182"/>
      <c r="C945" s="102"/>
      <c r="D945" s="102"/>
      <c r="E945" s="102"/>
      <c r="F945" s="102"/>
      <c r="G945" s="182"/>
      <c r="H945" s="182"/>
      <c r="I945" s="23"/>
      <c r="J945" s="47"/>
      <c r="K945" s="21"/>
      <c r="L945" s="102"/>
      <c r="M945" s="21"/>
      <c r="N945" s="183"/>
      <c r="O945" s="183"/>
    </row>
    <row r="946">
      <c r="A946" s="102"/>
      <c r="B946" s="182"/>
      <c r="C946" s="102"/>
      <c r="D946" s="102"/>
      <c r="E946" s="102"/>
      <c r="F946" s="102"/>
      <c r="G946" s="182"/>
      <c r="H946" s="182"/>
      <c r="I946" s="23"/>
      <c r="J946" s="47"/>
      <c r="K946" s="21"/>
      <c r="L946" s="102"/>
      <c r="M946" s="21"/>
      <c r="N946" s="183"/>
      <c r="O946" s="183"/>
    </row>
    <row r="947">
      <c r="A947" s="102"/>
      <c r="B947" s="182"/>
      <c r="C947" s="102"/>
      <c r="D947" s="102"/>
      <c r="E947" s="102"/>
      <c r="F947" s="102"/>
      <c r="G947" s="182"/>
      <c r="H947" s="182"/>
      <c r="I947" s="23"/>
      <c r="J947" s="47"/>
      <c r="K947" s="21"/>
      <c r="L947" s="102"/>
      <c r="M947" s="21"/>
      <c r="N947" s="183"/>
      <c r="O947" s="183"/>
    </row>
    <row r="948">
      <c r="A948" s="102"/>
      <c r="B948" s="182"/>
      <c r="C948" s="102"/>
      <c r="D948" s="102"/>
      <c r="E948" s="102"/>
      <c r="F948" s="102"/>
      <c r="G948" s="182"/>
      <c r="H948" s="182"/>
      <c r="I948" s="23"/>
      <c r="J948" s="47"/>
      <c r="K948" s="21"/>
      <c r="L948" s="102"/>
      <c r="M948" s="21"/>
      <c r="N948" s="183"/>
      <c r="O948" s="183"/>
    </row>
    <row r="949">
      <c r="A949" s="102"/>
      <c r="B949" s="182"/>
      <c r="C949" s="102"/>
      <c r="D949" s="102"/>
      <c r="E949" s="102"/>
      <c r="F949" s="102"/>
      <c r="G949" s="182"/>
      <c r="H949" s="182"/>
      <c r="I949" s="23"/>
      <c r="J949" s="47"/>
      <c r="K949" s="21"/>
      <c r="L949" s="102"/>
      <c r="M949" s="21"/>
      <c r="N949" s="183"/>
      <c r="O949" s="183"/>
    </row>
    <row r="950">
      <c r="A950" s="102"/>
      <c r="B950" s="182"/>
      <c r="C950" s="102"/>
      <c r="D950" s="102"/>
      <c r="E950" s="102"/>
      <c r="F950" s="102"/>
      <c r="G950" s="182"/>
      <c r="H950" s="182"/>
      <c r="I950" s="23"/>
      <c r="J950" s="47"/>
      <c r="K950" s="21"/>
      <c r="L950" s="102"/>
      <c r="M950" s="21"/>
      <c r="N950" s="183"/>
      <c r="O950" s="183"/>
    </row>
    <row r="951">
      <c r="A951" s="102"/>
      <c r="B951" s="182"/>
      <c r="C951" s="102"/>
      <c r="D951" s="102"/>
      <c r="E951" s="102"/>
      <c r="F951" s="102"/>
      <c r="G951" s="182"/>
      <c r="H951" s="182"/>
      <c r="I951" s="23"/>
      <c r="J951" s="47"/>
      <c r="K951" s="21"/>
      <c r="L951" s="102"/>
      <c r="M951" s="21"/>
      <c r="N951" s="183"/>
      <c r="O951" s="183"/>
    </row>
    <row r="952">
      <c r="A952" s="102"/>
      <c r="B952" s="182"/>
      <c r="C952" s="102"/>
      <c r="D952" s="102"/>
      <c r="E952" s="102"/>
      <c r="F952" s="102"/>
      <c r="G952" s="182"/>
      <c r="H952" s="182"/>
      <c r="I952" s="23"/>
      <c r="J952" s="47"/>
      <c r="K952" s="21"/>
      <c r="L952" s="102"/>
      <c r="M952" s="21"/>
      <c r="N952" s="183"/>
      <c r="O952" s="183"/>
    </row>
    <row r="953">
      <c r="A953" s="102"/>
      <c r="B953" s="182"/>
      <c r="C953" s="102"/>
      <c r="D953" s="102"/>
      <c r="E953" s="102"/>
      <c r="F953" s="102"/>
      <c r="G953" s="182"/>
      <c r="H953" s="182"/>
      <c r="I953" s="23"/>
      <c r="J953" s="47"/>
      <c r="K953" s="21"/>
      <c r="L953" s="102"/>
      <c r="M953" s="21"/>
      <c r="N953" s="183"/>
      <c r="O953" s="183"/>
    </row>
    <row r="954">
      <c r="A954" s="102"/>
      <c r="B954" s="182"/>
      <c r="C954" s="102"/>
      <c r="D954" s="102"/>
      <c r="E954" s="102"/>
      <c r="F954" s="102"/>
      <c r="G954" s="182"/>
      <c r="H954" s="182"/>
      <c r="I954" s="23"/>
      <c r="J954" s="47"/>
      <c r="K954" s="21"/>
      <c r="L954" s="102"/>
      <c r="M954" s="21"/>
      <c r="N954" s="183"/>
      <c r="O954" s="183"/>
    </row>
    <row r="955">
      <c r="A955" s="102"/>
      <c r="B955" s="182"/>
      <c r="C955" s="102"/>
      <c r="D955" s="102"/>
      <c r="E955" s="102"/>
      <c r="F955" s="102"/>
      <c r="G955" s="182"/>
      <c r="H955" s="182"/>
      <c r="I955" s="23"/>
      <c r="J955" s="47"/>
      <c r="K955" s="21"/>
      <c r="L955" s="102"/>
      <c r="M955" s="21"/>
      <c r="N955" s="183"/>
      <c r="O955" s="183"/>
    </row>
    <row r="956">
      <c r="A956" s="102"/>
      <c r="B956" s="182"/>
      <c r="C956" s="102"/>
      <c r="D956" s="102"/>
      <c r="E956" s="102"/>
      <c r="F956" s="102"/>
      <c r="G956" s="182"/>
      <c r="H956" s="182"/>
      <c r="I956" s="23"/>
      <c r="J956" s="47"/>
      <c r="K956" s="21"/>
      <c r="L956" s="102"/>
      <c r="M956" s="21"/>
      <c r="N956" s="183"/>
      <c r="O956" s="183"/>
    </row>
    <row r="957">
      <c r="A957" s="102"/>
      <c r="B957" s="182"/>
      <c r="C957" s="102"/>
      <c r="D957" s="102"/>
      <c r="E957" s="102"/>
      <c r="F957" s="102"/>
      <c r="G957" s="182"/>
      <c r="H957" s="182"/>
      <c r="I957" s="23"/>
      <c r="J957" s="47"/>
      <c r="K957" s="21"/>
      <c r="L957" s="102"/>
      <c r="M957" s="21"/>
      <c r="N957" s="183"/>
      <c r="O957" s="183"/>
    </row>
    <row r="958">
      <c r="A958" s="102"/>
      <c r="B958" s="182"/>
      <c r="C958" s="102"/>
      <c r="D958" s="102"/>
      <c r="E958" s="102"/>
      <c r="F958" s="102"/>
      <c r="G958" s="182"/>
      <c r="H958" s="182"/>
      <c r="I958" s="23"/>
      <c r="J958" s="47"/>
      <c r="K958" s="21"/>
      <c r="L958" s="102"/>
      <c r="M958" s="21"/>
      <c r="N958" s="183"/>
      <c r="O958" s="183"/>
    </row>
    <row r="959">
      <c r="A959" s="102"/>
      <c r="B959" s="182"/>
      <c r="C959" s="102"/>
      <c r="D959" s="102"/>
      <c r="E959" s="102"/>
      <c r="F959" s="102"/>
      <c r="G959" s="182"/>
      <c r="H959" s="182"/>
      <c r="I959" s="23"/>
      <c r="J959" s="47"/>
      <c r="K959" s="21"/>
      <c r="L959" s="102"/>
      <c r="M959" s="21"/>
      <c r="N959" s="183"/>
      <c r="O959" s="183"/>
    </row>
    <row r="960">
      <c r="A960" s="102"/>
      <c r="B960" s="182"/>
      <c r="C960" s="102"/>
      <c r="D960" s="102"/>
      <c r="E960" s="102"/>
      <c r="F960" s="102"/>
      <c r="G960" s="182"/>
      <c r="H960" s="182"/>
      <c r="I960" s="23"/>
      <c r="J960" s="47"/>
      <c r="K960" s="21"/>
      <c r="L960" s="102"/>
      <c r="M960" s="21"/>
      <c r="N960" s="183"/>
      <c r="O960" s="183"/>
    </row>
    <row r="961">
      <c r="A961" s="102"/>
      <c r="B961" s="182"/>
      <c r="C961" s="102"/>
      <c r="D961" s="102"/>
      <c r="E961" s="102"/>
      <c r="F961" s="102"/>
      <c r="G961" s="182"/>
      <c r="H961" s="182"/>
      <c r="I961" s="23"/>
      <c r="J961" s="47"/>
      <c r="K961" s="21"/>
      <c r="L961" s="102"/>
      <c r="M961" s="21"/>
      <c r="N961" s="183"/>
      <c r="O961" s="183"/>
    </row>
    <row r="962">
      <c r="A962" s="102"/>
      <c r="B962" s="182"/>
      <c r="C962" s="102"/>
      <c r="D962" s="102"/>
      <c r="E962" s="102"/>
      <c r="F962" s="102"/>
      <c r="G962" s="182"/>
      <c r="H962" s="182"/>
      <c r="I962" s="23"/>
      <c r="J962" s="47"/>
      <c r="K962" s="21"/>
      <c r="L962" s="102"/>
      <c r="M962" s="21"/>
      <c r="N962" s="183"/>
      <c r="O962" s="183"/>
    </row>
    <row r="963">
      <c r="A963" s="102"/>
      <c r="B963" s="182"/>
      <c r="C963" s="102"/>
      <c r="D963" s="102"/>
      <c r="E963" s="102"/>
      <c r="F963" s="102"/>
      <c r="G963" s="182"/>
      <c r="H963" s="182"/>
      <c r="I963" s="23"/>
      <c r="J963" s="47"/>
      <c r="K963" s="21"/>
      <c r="L963" s="102"/>
      <c r="M963" s="21"/>
      <c r="N963" s="183"/>
      <c r="O963" s="183"/>
    </row>
    <row r="964">
      <c r="A964" s="102"/>
      <c r="B964" s="182"/>
      <c r="C964" s="102"/>
      <c r="D964" s="102"/>
      <c r="E964" s="102"/>
      <c r="F964" s="102"/>
      <c r="G964" s="182"/>
      <c r="H964" s="182"/>
      <c r="I964" s="23"/>
      <c r="J964" s="47"/>
      <c r="K964" s="21"/>
      <c r="L964" s="102"/>
      <c r="M964" s="21"/>
      <c r="N964" s="183"/>
      <c r="O964" s="183"/>
    </row>
    <row r="965">
      <c r="A965" s="102"/>
      <c r="B965" s="182"/>
      <c r="C965" s="102"/>
      <c r="D965" s="102"/>
      <c r="E965" s="102"/>
      <c r="F965" s="102"/>
      <c r="G965" s="182"/>
      <c r="H965" s="182"/>
      <c r="I965" s="23"/>
      <c r="J965" s="47"/>
      <c r="K965" s="21"/>
      <c r="L965" s="102"/>
      <c r="M965" s="21"/>
      <c r="N965" s="183"/>
      <c r="O965" s="183"/>
    </row>
    <row r="966">
      <c r="A966" s="102"/>
      <c r="B966" s="182"/>
      <c r="C966" s="102"/>
      <c r="D966" s="102"/>
      <c r="E966" s="102"/>
      <c r="F966" s="102"/>
      <c r="G966" s="182"/>
      <c r="H966" s="182"/>
      <c r="I966" s="23"/>
      <c r="J966" s="47"/>
      <c r="K966" s="21"/>
      <c r="L966" s="102"/>
      <c r="M966" s="21"/>
      <c r="N966" s="183"/>
      <c r="O966" s="183"/>
    </row>
    <row r="967">
      <c r="A967" s="102"/>
      <c r="B967" s="182"/>
      <c r="C967" s="102"/>
      <c r="D967" s="102"/>
      <c r="E967" s="102"/>
      <c r="F967" s="102"/>
      <c r="G967" s="182"/>
      <c r="H967" s="182"/>
      <c r="I967" s="23"/>
      <c r="J967" s="47"/>
      <c r="K967" s="21"/>
      <c r="L967" s="102"/>
      <c r="M967" s="21"/>
      <c r="N967" s="183"/>
      <c r="O967" s="183"/>
    </row>
    <row r="968">
      <c r="A968" s="102"/>
      <c r="B968" s="182"/>
      <c r="C968" s="102"/>
      <c r="D968" s="102"/>
      <c r="E968" s="102"/>
      <c r="F968" s="102"/>
      <c r="G968" s="182"/>
      <c r="H968" s="182"/>
      <c r="I968" s="23"/>
      <c r="J968" s="47"/>
      <c r="K968" s="21"/>
      <c r="L968" s="102"/>
      <c r="M968" s="21"/>
      <c r="N968" s="183"/>
      <c r="O968" s="183"/>
    </row>
    <row r="969">
      <c r="A969" s="102"/>
      <c r="B969" s="182"/>
      <c r="C969" s="102"/>
      <c r="D969" s="102"/>
      <c r="E969" s="102"/>
      <c r="F969" s="102"/>
      <c r="G969" s="182"/>
      <c r="H969" s="182"/>
      <c r="I969" s="23"/>
      <c r="J969" s="47"/>
      <c r="K969" s="21"/>
      <c r="L969" s="102"/>
      <c r="M969" s="21"/>
      <c r="N969" s="183"/>
      <c r="O969" s="183"/>
    </row>
    <row r="970">
      <c r="A970" s="102"/>
      <c r="B970" s="182"/>
      <c r="C970" s="102"/>
      <c r="D970" s="102"/>
      <c r="E970" s="102"/>
      <c r="F970" s="102"/>
      <c r="G970" s="182"/>
      <c r="H970" s="182"/>
      <c r="I970" s="23"/>
      <c r="J970" s="47"/>
      <c r="K970" s="21"/>
      <c r="L970" s="102"/>
      <c r="M970" s="21"/>
      <c r="N970" s="183"/>
      <c r="O970" s="183"/>
    </row>
    <row r="971">
      <c r="A971" s="102"/>
      <c r="B971" s="182"/>
      <c r="C971" s="102"/>
      <c r="D971" s="102"/>
      <c r="E971" s="102"/>
      <c r="F971" s="102"/>
      <c r="G971" s="182"/>
      <c r="H971" s="182"/>
      <c r="I971" s="23"/>
      <c r="J971" s="47"/>
      <c r="K971" s="21"/>
      <c r="L971" s="102"/>
      <c r="M971" s="21"/>
      <c r="N971" s="183"/>
      <c r="O971" s="183"/>
    </row>
    <row r="972">
      <c r="A972" s="102"/>
      <c r="B972" s="182"/>
      <c r="C972" s="102"/>
      <c r="D972" s="102"/>
      <c r="E972" s="102"/>
      <c r="F972" s="102"/>
      <c r="G972" s="182"/>
      <c r="H972" s="182"/>
      <c r="I972" s="23"/>
      <c r="J972" s="47"/>
      <c r="K972" s="21"/>
      <c r="L972" s="102"/>
      <c r="M972" s="21"/>
      <c r="N972" s="183"/>
      <c r="O972" s="183"/>
    </row>
    <row r="973">
      <c r="A973" s="102"/>
      <c r="B973" s="182"/>
      <c r="C973" s="102"/>
      <c r="D973" s="102"/>
      <c r="E973" s="102"/>
      <c r="F973" s="102"/>
      <c r="G973" s="182"/>
      <c r="H973" s="182"/>
      <c r="I973" s="23"/>
      <c r="J973" s="47"/>
      <c r="K973" s="21"/>
      <c r="L973" s="102"/>
      <c r="M973" s="21"/>
      <c r="N973" s="183"/>
      <c r="O973" s="183"/>
    </row>
    <row r="974">
      <c r="A974" s="102"/>
      <c r="B974" s="182"/>
      <c r="C974" s="102"/>
      <c r="D974" s="102"/>
      <c r="E974" s="102"/>
      <c r="F974" s="102"/>
      <c r="G974" s="182"/>
      <c r="H974" s="182"/>
      <c r="I974" s="23"/>
      <c r="J974" s="47"/>
      <c r="K974" s="21"/>
      <c r="L974" s="102"/>
      <c r="M974" s="21"/>
      <c r="N974" s="183"/>
      <c r="O974" s="183"/>
    </row>
    <row r="975">
      <c r="A975" s="102"/>
      <c r="B975" s="182"/>
      <c r="C975" s="102"/>
      <c r="D975" s="102"/>
      <c r="E975" s="102"/>
      <c r="F975" s="102"/>
      <c r="G975" s="182"/>
      <c r="H975" s="182"/>
      <c r="I975" s="23"/>
      <c r="J975" s="47"/>
      <c r="K975" s="21"/>
      <c r="L975" s="102"/>
      <c r="M975" s="21"/>
      <c r="N975" s="183"/>
      <c r="O975" s="183"/>
    </row>
    <row r="976">
      <c r="A976" s="102"/>
      <c r="B976" s="182"/>
      <c r="C976" s="102"/>
      <c r="D976" s="102"/>
      <c r="E976" s="102"/>
      <c r="F976" s="102"/>
      <c r="G976" s="182"/>
      <c r="H976" s="182"/>
      <c r="I976" s="23"/>
      <c r="J976" s="47"/>
      <c r="K976" s="21"/>
      <c r="L976" s="102"/>
      <c r="M976" s="21"/>
      <c r="N976" s="183"/>
      <c r="O976" s="183"/>
    </row>
    <row r="977">
      <c r="A977" s="102"/>
      <c r="B977" s="182"/>
      <c r="C977" s="102"/>
      <c r="D977" s="102"/>
      <c r="E977" s="102"/>
      <c r="F977" s="102"/>
      <c r="G977" s="182"/>
      <c r="H977" s="182"/>
      <c r="I977" s="23"/>
      <c r="J977" s="47"/>
      <c r="K977" s="21"/>
      <c r="L977" s="102"/>
      <c r="M977" s="21"/>
      <c r="N977" s="183"/>
      <c r="O977" s="183"/>
    </row>
    <row r="978">
      <c r="A978" s="102"/>
      <c r="B978" s="182"/>
      <c r="C978" s="102"/>
      <c r="D978" s="102"/>
      <c r="E978" s="102"/>
      <c r="F978" s="102"/>
      <c r="G978" s="182"/>
      <c r="H978" s="182"/>
      <c r="I978" s="23"/>
      <c r="J978" s="47"/>
      <c r="K978" s="21"/>
      <c r="L978" s="102"/>
      <c r="M978" s="21"/>
      <c r="N978" s="183"/>
      <c r="O978" s="183"/>
    </row>
    <row r="979">
      <c r="A979" s="102"/>
      <c r="B979" s="182"/>
      <c r="C979" s="102"/>
      <c r="D979" s="102"/>
      <c r="E979" s="102"/>
      <c r="F979" s="102"/>
      <c r="G979" s="182"/>
      <c r="H979" s="182"/>
      <c r="I979" s="23"/>
      <c r="J979" s="47"/>
      <c r="K979" s="21"/>
      <c r="L979" s="102"/>
      <c r="M979" s="21"/>
      <c r="N979" s="183"/>
      <c r="O979" s="183"/>
    </row>
    <row r="980">
      <c r="A980" s="102"/>
      <c r="B980" s="182"/>
      <c r="C980" s="102"/>
      <c r="D980" s="102"/>
      <c r="E980" s="102"/>
      <c r="F980" s="102"/>
      <c r="G980" s="182"/>
      <c r="H980" s="182"/>
      <c r="I980" s="23"/>
      <c r="J980" s="47"/>
      <c r="K980" s="21"/>
      <c r="L980" s="102"/>
      <c r="M980" s="21"/>
      <c r="N980" s="183"/>
      <c r="O980" s="183"/>
    </row>
    <row r="981">
      <c r="A981" s="102"/>
      <c r="B981" s="182"/>
      <c r="C981" s="102"/>
      <c r="D981" s="102"/>
      <c r="E981" s="102"/>
      <c r="F981" s="102"/>
      <c r="G981" s="182"/>
      <c r="H981" s="182"/>
      <c r="I981" s="23"/>
      <c r="J981" s="47"/>
      <c r="K981" s="21"/>
      <c r="L981" s="102"/>
      <c r="M981" s="21"/>
      <c r="N981" s="183"/>
      <c r="O981" s="183"/>
    </row>
    <row r="982">
      <c r="A982" s="102"/>
      <c r="B982" s="182"/>
      <c r="C982" s="102"/>
      <c r="D982" s="102"/>
      <c r="E982" s="102"/>
      <c r="F982" s="102"/>
      <c r="G982" s="182"/>
      <c r="H982" s="182"/>
      <c r="I982" s="23"/>
      <c r="J982" s="47"/>
      <c r="K982" s="21"/>
      <c r="L982" s="102"/>
      <c r="M982" s="21"/>
      <c r="N982" s="183"/>
      <c r="O982" s="183"/>
    </row>
    <row r="983">
      <c r="A983" s="102"/>
      <c r="B983" s="182"/>
      <c r="C983" s="102"/>
      <c r="D983" s="102"/>
      <c r="E983" s="102"/>
      <c r="F983" s="102"/>
      <c r="G983" s="182"/>
      <c r="H983" s="182"/>
      <c r="I983" s="23"/>
      <c r="J983" s="47"/>
      <c r="K983" s="21"/>
      <c r="L983" s="102"/>
      <c r="M983" s="21"/>
      <c r="N983" s="183"/>
      <c r="O983" s="183"/>
    </row>
    <row r="984">
      <c r="A984" s="102"/>
      <c r="B984" s="182"/>
      <c r="C984" s="102"/>
      <c r="D984" s="102"/>
      <c r="E984" s="102"/>
      <c r="F984" s="102"/>
      <c r="G984" s="182"/>
      <c r="H984" s="182"/>
      <c r="I984" s="23"/>
      <c r="J984" s="47"/>
      <c r="K984" s="21"/>
      <c r="L984" s="102"/>
      <c r="M984" s="21"/>
      <c r="N984" s="183"/>
      <c r="O984" s="183"/>
    </row>
    <row r="985">
      <c r="A985" s="102"/>
      <c r="B985" s="182"/>
      <c r="C985" s="102"/>
      <c r="D985" s="102"/>
      <c r="E985" s="102"/>
      <c r="F985" s="102"/>
      <c r="G985" s="182"/>
      <c r="H985" s="182"/>
      <c r="I985" s="23"/>
      <c r="J985" s="47"/>
      <c r="K985" s="21"/>
      <c r="L985" s="102"/>
      <c r="M985" s="21"/>
      <c r="N985" s="183"/>
      <c r="O985" s="183"/>
    </row>
    <row r="986">
      <c r="A986" s="102"/>
      <c r="B986" s="182"/>
      <c r="C986" s="102"/>
      <c r="D986" s="102"/>
      <c r="E986" s="102"/>
      <c r="F986" s="102"/>
      <c r="G986" s="182"/>
      <c r="H986" s="182"/>
      <c r="I986" s="23"/>
      <c r="J986" s="47"/>
      <c r="K986" s="21"/>
      <c r="L986" s="102"/>
      <c r="M986" s="21"/>
      <c r="N986" s="183"/>
      <c r="O986" s="183"/>
    </row>
    <row r="987">
      <c r="A987" s="102"/>
      <c r="B987" s="182"/>
      <c r="C987" s="102"/>
      <c r="D987" s="102"/>
      <c r="E987" s="102"/>
      <c r="F987" s="102"/>
      <c r="G987" s="182"/>
      <c r="H987" s="182"/>
      <c r="I987" s="23"/>
      <c r="J987" s="47"/>
      <c r="K987" s="21"/>
      <c r="L987" s="102"/>
      <c r="M987" s="21"/>
      <c r="N987" s="183"/>
      <c r="O987" s="183"/>
    </row>
    <row r="988">
      <c r="A988" s="102"/>
      <c r="B988" s="182"/>
      <c r="C988" s="102"/>
      <c r="D988" s="102"/>
      <c r="E988" s="102"/>
      <c r="F988" s="102"/>
      <c r="G988" s="182"/>
      <c r="H988" s="182"/>
      <c r="I988" s="23"/>
      <c r="J988" s="47"/>
      <c r="K988" s="21"/>
      <c r="L988" s="102"/>
      <c r="M988" s="21"/>
      <c r="N988" s="183"/>
      <c r="O988" s="183"/>
    </row>
    <row r="989">
      <c r="A989" s="102"/>
      <c r="B989" s="182"/>
      <c r="C989" s="102"/>
      <c r="D989" s="102"/>
      <c r="E989" s="102"/>
      <c r="F989" s="102"/>
      <c r="G989" s="182"/>
      <c r="H989" s="182"/>
      <c r="I989" s="23"/>
      <c r="J989" s="47"/>
      <c r="K989" s="21"/>
      <c r="L989" s="102"/>
      <c r="M989" s="21"/>
      <c r="N989" s="183"/>
      <c r="O989" s="183"/>
    </row>
    <row r="990">
      <c r="A990" s="102"/>
      <c r="B990" s="182"/>
      <c r="C990" s="102"/>
      <c r="D990" s="102"/>
      <c r="E990" s="102"/>
      <c r="F990" s="102"/>
      <c r="G990" s="182"/>
      <c r="H990" s="182"/>
      <c r="I990" s="23"/>
      <c r="J990" s="47"/>
      <c r="K990" s="21"/>
      <c r="L990" s="102"/>
      <c r="M990" s="21"/>
      <c r="N990" s="183"/>
      <c r="O990" s="183"/>
    </row>
    <row r="991">
      <c r="A991" s="102"/>
      <c r="B991" s="182"/>
      <c r="C991" s="102"/>
      <c r="D991" s="102"/>
      <c r="E991" s="102"/>
      <c r="F991" s="102"/>
      <c r="G991" s="182"/>
      <c r="H991" s="182"/>
      <c r="I991" s="23"/>
      <c r="J991" s="47"/>
      <c r="K991" s="21"/>
      <c r="L991" s="102"/>
      <c r="M991" s="21"/>
      <c r="N991" s="183"/>
      <c r="O991" s="183"/>
    </row>
    <row r="992">
      <c r="A992" s="102"/>
      <c r="B992" s="182"/>
      <c r="C992" s="102"/>
      <c r="D992" s="102"/>
      <c r="E992" s="102"/>
      <c r="F992" s="102"/>
      <c r="G992" s="182"/>
      <c r="H992" s="182"/>
      <c r="I992" s="23"/>
      <c r="J992" s="47"/>
      <c r="K992" s="21"/>
      <c r="L992" s="102"/>
      <c r="M992" s="21"/>
      <c r="N992" s="183"/>
      <c r="O992" s="183"/>
    </row>
    <row r="993">
      <c r="A993" s="102"/>
      <c r="B993" s="182"/>
      <c r="C993" s="102"/>
      <c r="D993" s="102"/>
      <c r="E993" s="102"/>
      <c r="F993" s="102"/>
      <c r="G993" s="182"/>
      <c r="H993" s="182"/>
      <c r="I993" s="23"/>
      <c r="J993" s="47"/>
      <c r="K993" s="21"/>
      <c r="L993" s="102"/>
      <c r="M993" s="21"/>
      <c r="N993" s="183"/>
      <c r="O993" s="183"/>
    </row>
    <row r="994">
      <c r="A994" s="102"/>
      <c r="B994" s="182"/>
      <c r="C994" s="102"/>
      <c r="D994" s="102"/>
      <c r="E994" s="102"/>
      <c r="F994" s="102"/>
      <c r="G994" s="182"/>
      <c r="H994" s="182"/>
      <c r="I994" s="23"/>
      <c r="J994" s="47"/>
      <c r="K994" s="21"/>
      <c r="L994" s="102"/>
      <c r="M994" s="21"/>
      <c r="N994" s="183"/>
      <c r="O994" s="183"/>
    </row>
    <row r="995">
      <c r="A995" s="102"/>
      <c r="B995" s="182"/>
      <c r="C995" s="102"/>
      <c r="D995" s="102"/>
      <c r="E995" s="102"/>
      <c r="F995" s="102"/>
      <c r="G995" s="182"/>
      <c r="H995" s="182"/>
      <c r="I995" s="23"/>
      <c r="J995" s="47"/>
      <c r="K995" s="21"/>
      <c r="L995" s="102"/>
      <c r="M995" s="21"/>
      <c r="N995" s="183"/>
      <c r="O995" s="183"/>
    </row>
    <row r="996">
      <c r="A996" s="102"/>
      <c r="B996" s="182"/>
      <c r="C996" s="102"/>
      <c r="D996" s="102"/>
      <c r="E996" s="102"/>
      <c r="F996" s="102"/>
      <c r="G996" s="182"/>
      <c r="H996" s="182"/>
      <c r="I996" s="23"/>
      <c r="J996" s="47"/>
      <c r="K996" s="21"/>
      <c r="L996" s="102"/>
      <c r="M996" s="21"/>
      <c r="N996" s="183"/>
      <c r="O996" s="183"/>
    </row>
    <row r="997">
      <c r="A997" s="102"/>
      <c r="B997" s="182"/>
      <c r="C997" s="102"/>
      <c r="D997" s="102"/>
      <c r="E997" s="102"/>
      <c r="F997" s="102"/>
      <c r="G997" s="182"/>
      <c r="H997" s="182"/>
      <c r="I997" s="23"/>
      <c r="J997" s="47"/>
      <c r="K997" s="21"/>
      <c r="L997" s="102"/>
      <c r="M997" s="21"/>
      <c r="N997" s="183"/>
      <c r="O997" s="183"/>
    </row>
    <row r="998">
      <c r="A998" s="102"/>
      <c r="B998" s="182"/>
      <c r="C998" s="102"/>
      <c r="D998" s="102"/>
      <c r="E998" s="102"/>
      <c r="F998" s="102"/>
      <c r="G998" s="182"/>
      <c r="H998" s="182"/>
      <c r="I998" s="23"/>
      <c r="J998" s="47"/>
      <c r="K998" s="21"/>
      <c r="L998" s="102"/>
      <c r="M998" s="21"/>
      <c r="N998" s="183"/>
      <c r="O998" s="183"/>
    </row>
    <row r="999">
      <c r="A999" s="102"/>
      <c r="B999" s="182"/>
      <c r="C999" s="102"/>
      <c r="D999" s="102"/>
      <c r="E999" s="102"/>
      <c r="F999" s="102"/>
      <c r="G999" s="182"/>
      <c r="H999" s="182"/>
      <c r="I999" s="23"/>
      <c r="J999" s="47"/>
      <c r="K999" s="21"/>
      <c r="L999" s="102"/>
      <c r="M999" s="21"/>
      <c r="N999" s="183"/>
      <c r="O999" s="183"/>
    </row>
    <row r="1000">
      <c r="A1000" s="102"/>
      <c r="B1000" s="182"/>
      <c r="C1000" s="102"/>
      <c r="D1000" s="102"/>
      <c r="E1000" s="102"/>
      <c r="F1000" s="102"/>
      <c r="G1000" s="182"/>
      <c r="H1000" s="182"/>
      <c r="I1000" s="23"/>
      <c r="J1000" s="47"/>
      <c r="K1000" s="21"/>
      <c r="L1000" s="102"/>
      <c r="M1000" s="21"/>
      <c r="N1000" s="183"/>
      <c r="O1000" s="183"/>
    </row>
    <row r="1001">
      <c r="A1001" s="102"/>
      <c r="B1001" s="182"/>
      <c r="C1001" s="102"/>
      <c r="D1001" s="102"/>
      <c r="E1001" s="102"/>
      <c r="F1001" s="102"/>
      <c r="G1001" s="182"/>
      <c r="H1001" s="182"/>
      <c r="I1001" s="23"/>
      <c r="J1001" s="47"/>
      <c r="K1001" s="21"/>
      <c r="L1001" s="102"/>
      <c r="M1001" s="21"/>
      <c r="N1001" s="183"/>
      <c r="O1001" s="183"/>
    </row>
    <row r="1002">
      <c r="A1002" s="102"/>
      <c r="B1002" s="182"/>
      <c r="C1002" s="102"/>
      <c r="D1002" s="102"/>
      <c r="E1002" s="102"/>
      <c r="F1002" s="102"/>
      <c r="G1002" s="182"/>
      <c r="H1002" s="182"/>
      <c r="I1002" s="23"/>
      <c r="J1002" s="47"/>
      <c r="K1002" s="21"/>
      <c r="L1002" s="102"/>
      <c r="M1002" s="21"/>
      <c r="N1002" s="183"/>
      <c r="O1002" s="183"/>
    </row>
    <row r="1003">
      <c r="A1003" s="102"/>
      <c r="B1003" s="182"/>
      <c r="C1003" s="102"/>
      <c r="D1003" s="102"/>
      <c r="E1003" s="102"/>
      <c r="F1003" s="102"/>
      <c r="G1003" s="182"/>
      <c r="H1003" s="182"/>
      <c r="I1003" s="23"/>
      <c r="J1003" s="47"/>
      <c r="K1003" s="21"/>
      <c r="L1003" s="102"/>
      <c r="M1003" s="21"/>
      <c r="N1003" s="183"/>
      <c r="O1003" s="183"/>
    </row>
    <row r="1004">
      <c r="A1004" s="102"/>
      <c r="B1004" s="182"/>
      <c r="C1004" s="102"/>
      <c r="D1004" s="102"/>
      <c r="E1004" s="102"/>
      <c r="F1004" s="102"/>
      <c r="G1004" s="182"/>
      <c r="H1004" s="182"/>
      <c r="I1004" s="23"/>
      <c r="J1004" s="47"/>
      <c r="K1004" s="21"/>
      <c r="L1004" s="102"/>
      <c r="M1004" s="21"/>
      <c r="N1004" s="183"/>
      <c r="O1004" s="183"/>
    </row>
    <row r="1005">
      <c r="A1005" s="102"/>
      <c r="B1005" s="182"/>
      <c r="C1005" s="102"/>
      <c r="D1005" s="102"/>
      <c r="E1005" s="102"/>
      <c r="F1005" s="102"/>
      <c r="G1005" s="182"/>
      <c r="H1005" s="182"/>
      <c r="I1005" s="23"/>
      <c r="J1005" s="47"/>
      <c r="K1005" s="21"/>
      <c r="L1005" s="102"/>
      <c r="M1005" s="21"/>
      <c r="N1005" s="183"/>
      <c r="O1005" s="183"/>
    </row>
    <row r="1006">
      <c r="A1006" s="102"/>
      <c r="B1006" s="182"/>
      <c r="C1006" s="102"/>
      <c r="D1006" s="102"/>
      <c r="E1006" s="102"/>
      <c r="F1006" s="102"/>
      <c r="G1006" s="182"/>
      <c r="H1006" s="182"/>
      <c r="I1006" s="23"/>
      <c r="J1006" s="47"/>
      <c r="K1006" s="21"/>
      <c r="L1006" s="102"/>
      <c r="M1006" s="21"/>
      <c r="N1006" s="183"/>
      <c r="O1006" s="183"/>
    </row>
    <row r="1007">
      <c r="A1007" s="102"/>
      <c r="B1007" s="182"/>
      <c r="C1007" s="102"/>
      <c r="D1007" s="102"/>
      <c r="E1007" s="102"/>
      <c r="F1007" s="102"/>
      <c r="G1007" s="182"/>
      <c r="H1007" s="182"/>
      <c r="I1007" s="23"/>
      <c r="J1007" s="47"/>
      <c r="K1007" s="21"/>
      <c r="L1007" s="102"/>
      <c r="M1007" s="21"/>
      <c r="N1007" s="183"/>
      <c r="O1007" s="183"/>
    </row>
    <row r="1008">
      <c r="A1008" s="102"/>
      <c r="B1008" s="182"/>
      <c r="C1008" s="102"/>
      <c r="D1008" s="102"/>
      <c r="E1008" s="102"/>
      <c r="F1008" s="102"/>
      <c r="G1008" s="182"/>
      <c r="H1008" s="182"/>
      <c r="I1008" s="23"/>
      <c r="J1008" s="47"/>
      <c r="K1008" s="21"/>
      <c r="L1008" s="102"/>
      <c r="M1008" s="21"/>
      <c r="N1008" s="183"/>
      <c r="O1008" s="183"/>
    </row>
    <row r="1009">
      <c r="A1009" s="102"/>
      <c r="B1009" s="182"/>
      <c r="C1009" s="102"/>
      <c r="D1009" s="102"/>
      <c r="E1009" s="102"/>
      <c r="F1009" s="102"/>
      <c r="G1009" s="182"/>
      <c r="H1009" s="182"/>
      <c r="I1009" s="23"/>
      <c r="J1009" s="47"/>
      <c r="K1009" s="21"/>
      <c r="L1009" s="102"/>
      <c r="M1009" s="21"/>
      <c r="N1009" s="183"/>
      <c r="O1009" s="183"/>
    </row>
    <row r="1010">
      <c r="A1010" s="102"/>
      <c r="B1010" s="182"/>
      <c r="C1010" s="102"/>
      <c r="D1010" s="102"/>
      <c r="E1010" s="102"/>
      <c r="F1010" s="102"/>
      <c r="G1010" s="182"/>
      <c r="H1010" s="182"/>
      <c r="I1010" s="23"/>
      <c r="J1010" s="47"/>
      <c r="K1010" s="21"/>
      <c r="L1010" s="102"/>
      <c r="M1010" s="21"/>
      <c r="N1010" s="183"/>
      <c r="O1010" s="183"/>
    </row>
    <row r="1011">
      <c r="A1011" s="102"/>
      <c r="B1011" s="182"/>
      <c r="C1011" s="102"/>
      <c r="D1011" s="102"/>
      <c r="E1011" s="102"/>
      <c r="F1011" s="102"/>
      <c r="G1011" s="182"/>
      <c r="H1011" s="182"/>
      <c r="I1011" s="23"/>
      <c r="J1011" s="47"/>
      <c r="K1011" s="21"/>
      <c r="L1011" s="102"/>
      <c r="M1011" s="21"/>
      <c r="N1011" s="183"/>
      <c r="O1011" s="183"/>
    </row>
    <row r="1012">
      <c r="A1012" s="102"/>
      <c r="B1012" s="182"/>
      <c r="C1012" s="102"/>
      <c r="D1012" s="102"/>
      <c r="E1012" s="102"/>
      <c r="F1012" s="102"/>
      <c r="G1012" s="182"/>
      <c r="H1012" s="182"/>
      <c r="I1012" s="23"/>
      <c r="J1012" s="47"/>
      <c r="K1012" s="21"/>
      <c r="L1012" s="102"/>
      <c r="M1012" s="21"/>
      <c r="N1012" s="183"/>
      <c r="O1012" s="183"/>
    </row>
    <row r="1013">
      <c r="A1013" s="102"/>
      <c r="B1013" s="182"/>
      <c r="C1013" s="102"/>
      <c r="D1013" s="102"/>
      <c r="E1013" s="102"/>
      <c r="F1013" s="102"/>
      <c r="G1013" s="182"/>
      <c r="H1013" s="182"/>
      <c r="I1013" s="23"/>
      <c r="J1013" s="47"/>
      <c r="K1013" s="21"/>
      <c r="L1013" s="102"/>
      <c r="M1013" s="21"/>
      <c r="N1013" s="183"/>
      <c r="O1013" s="183"/>
    </row>
    <row r="1014">
      <c r="A1014" s="102"/>
      <c r="B1014" s="182"/>
      <c r="C1014" s="102"/>
      <c r="D1014" s="102"/>
      <c r="E1014" s="102"/>
      <c r="F1014" s="102"/>
      <c r="G1014" s="182"/>
      <c r="H1014" s="182"/>
      <c r="I1014" s="23"/>
      <c r="J1014" s="47"/>
      <c r="K1014" s="21"/>
      <c r="L1014" s="102"/>
      <c r="M1014" s="21"/>
      <c r="N1014" s="183"/>
      <c r="O1014" s="183"/>
    </row>
    <row r="1015">
      <c r="A1015" s="102"/>
      <c r="B1015" s="182"/>
      <c r="C1015" s="102"/>
      <c r="D1015" s="102"/>
      <c r="E1015" s="102"/>
      <c r="F1015" s="102"/>
      <c r="G1015" s="182"/>
      <c r="H1015" s="182"/>
      <c r="I1015" s="23"/>
      <c r="J1015" s="47"/>
      <c r="K1015" s="21"/>
      <c r="L1015" s="102"/>
      <c r="M1015" s="21"/>
      <c r="N1015" s="183"/>
      <c r="O1015" s="183"/>
    </row>
    <row r="1016">
      <c r="A1016" s="102"/>
      <c r="B1016" s="182"/>
      <c r="C1016" s="102"/>
      <c r="D1016" s="102"/>
      <c r="E1016" s="102"/>
      <c r="F1016" s="102"/>
      <c r="G1016" s="182"/>
      <c r="H1016" s="182"/>
      <c r="I1016" s="23"/>
      <c r="J1016" s="47"/>
      <c r="K1016" s="21"/>
      <c r="L1016" s="102"/>
      <c r="M1016" s="21"/>
      <c r="N1016" s="183"/>
      <c r="O1016" s="183"/>
    </row>
    <row r="1017">
      <c r="A1017" s="102"/>
      <c r="B1017" s="182"/>
      <c r="C1017" s="102"/>
      <c r="D1017" s="102"/>
      <c r="E1017" s="102"/>
      <c r="F1017" s="102"/>
      <c r="G1017" s="182"/>
      <c r="H1017" s="182"/>
      <c r="I1017" s="23"/>
      <c r="J1017" s="47"/>
      <c r="K1017" s="21"/>
      <c r="L1017" s="102"/>
      <c r="M1017" s="21"/>
      <c r="N1017" s="183"/>
      <c r="O1017" s="183"/>
    </row>
    <row r="1018">
      <c r="A1018" s="102"/>
      <c r="B1018" s="182"/>
      <c r="C1018" s="102"/>
      <c r="D1018" s="102"/>
      <c r="E1018" s="102"/>
      <c r="F1018" s="102"/>
      <c r="G1018" s="182"/>
      <c r="H1018" s="182"/>
      <c r="I1018" s="23"/>
      <c r="J1018" s="47"/>
      <c r="K1018" s="21"/>
      <c r="L1018" s="102"/>
      <c r="M1018" s="21"/>
      <c r="N1018" s="183"/>
      <c r="O1018" s="183"/>
    </row>
    <row r="1019">
      <c r="A1019" s="102"/>
      <c r="B1019" s="182"/>
      <c r="C1019" s="102"/>
      <c r="D1019" s="102"/>
      <c r="E1019" s="102"/>
      <c r="F1019" s="102"/>
      <c r="G1019" s="182"/>
      <c r="H1019" s="182"/>
      <c r="I1019" s="23"/>
      <c r="J1019" s="47"/>
      <c r="K1019" s="21"/>
      <c r="L1019" s="102"/>
      <c r="M1019" s="21"/>
      <c r="N1019" s="183"/>
      <c r="O1019" s="183"/>
    </row>
    <row r="1020">
      <c r="A1020" s="102"/>
      <c r="B1020" s="182"/>
      <c r="C1020" s="102"/>
      <c r="D1020" s="102"/>
      <c r="E1020" s="102"/>
      <c r="F1020" s="102"/>
      <c r="G1020" s="182"/>
      <c r="H1020" s="182"/>
      <c r="I1020" s="23"/>
      <c r="J1020" s="47"/>
      <c r="K1020" s="21"/>
      <c r="L1020" s="102"/>
      <c r="M1020" s="21"/>
      <c r="N1020" s="183"/>
      <c r="O1020" s="183"/>
    </row>
    <row r="1021">
      <c r="A1021" s="102"/>
      <c r="B1021" s="182"/>
      <c r="C1021" s="102"/>
      <c r="D1021" s="102"/>
      <c r="E1021" s="102"/>
      <c r="F1021" s="102"/>
      <c r="G1021" s="182"/>
      <c r="H1021" s="182"/>
      <c r="I1021" s="23"/>
      <c r="J1021" s="47"/>
      <c r="K1021" s="21"/>
      <c r="L1021" s="102"/>
      <c r="M1021" s="21"/>
      <c r="N1021" s="183"/>
      <c r="O1021" s="183"/>
    </row>
    <row r="1022">
      <c r="A1022" s="102"/>
      <c r="B1022" s="182"/>
      <c r="C1022" s="102"/>
      <c r="D1022" s="102"/>
      <c r="E1022" s="102"/>
      <c r="F1022" s="102"/>
      <c r="G1022" s="182"/>
      <c r="H1022" s="182"/>
      <c r="I1022" s="23"/>
      <c r="J1022" s="47"/>
      <c r="K1022" s="21"/>
      <c r="L1022" s="102"/>
      <c r="M1022" s="21"/>
      <c r="N1022" s="183"/>
      <c r="O1022" s="183"/>
    </row>
    <row r="1023">
      <c r="A1023" s="102"/>
      <c r="B1023" s="182"/>
      <c r="C1023" s="102"/>
      <c r="D1023" s="102"/>
      <c r="E1023" s="102"/>
      <c r="F1023" s="102"/>
      <c r="G1023" s="182"/>
      <c r="H1023" s="182"/>
      <c r="I1023" s="23"/>
      <c r="J1023" s="47"/>
      <c r="K1023" s="21"/>
      <c r="L1023" s="102"/>
      <c r="M1023" s="21"/>
      <c r="N1023" s="183"/>
      <c r="O1023" s="183"/>
    </row>
    <row r="1024">
      <c r="A1024" s="102"/>
      <c r="B1024" s="182"/>
      <c r="C1024" s="102"/>
      <c r="D1024" s="102"/>
      <c r="E1024" s="102"/>
      <c r="F1024" s="102"/>
      <c r="G1024" s="182"/>
      <c r="H1024" s="182"/>
      <c r="I1024" s="23"/>
      <c r="J1024" s="47"/>
      <c r="K1024" s="21"/>
      <c r="L1024" s="102"/>
      <c r="M1024" s="21"/>
      <c r="N1024" s="183"/>
      <c r="O1024" s="183"/>
    </row>
    <row r="1025">
      <c r="A1025" s="102"/>
      <c r="B1025" s="182"/>
      <c r="C1025" s="102"/>
      <c r="D1025" s="102"/>
      <c r="E1025" s="102"/>
      <c r="F1025" s="102"/>
      <c r="G1025" s="182"/>
      <c r="H1025" s="182"/>
      <c r="I1025" s="23"/>
      <c r="J1025" s="47"/>
      <c r="K1025" s="21"/>
      <c r="L1025" s="102"/>
      <c r="M1025" s="21"/>
      <c r="N1025" s="183"/>
      <c r="O1025" s="183"/>
    </row>
    <row r="1026">
      <c r="A1026" s="102"/>
      <c r="B1026" s="182"/>
      <c r="C1026" s="102"/>
      <c r="D1026" s="102"/>
      <c r="E1026" s="102"/>
      <c r="F1026" s="102"/>
      <c r="G1026" s="182"/>
      <c r="H1026" s="182"/>
      <c r="I1026" s="23"/>
      <c r="J1026" s="47"/>
      <c r="K1026" s="21"/>
      <c r="L1026" s="102"/>
      <c r="M1026" s="21"/>
      <c r="N1026" s="183"/>
      <c r="O1026" s="183"/>
    </row>
    <row r="1027">
      <c r="A1027" s="102"/>
      <c r="B1027" s="182"/>
      <c r="C1027" s="102"/>
      <c r="D1027" s="102"/>
      <c r="E1027" s="102"/>
      <c r="F1027" s="102"/>
      <c r="G1027" s="182"/>
      <c r="H1027" s="182"/>
      <c r="I1027" s="23"/>
      <c r="J1027" s="47"/>
      <c r="K1027" s="21"/>
      <c r="L1027" s="102"/>
      <c r="M1027" s="21"/>
      <c r="N1027" s="183"/>
      <c r="O1027" s="183"/>
    </row>
    <row r="1028">
      <c r="A1028" s="102"/>
      <c r="B1028" s="182"/>
      <c r="C1028" s="102"/>
      <c r="D1028" s="102"/>
      <c r="E1028" s="102"/>
      <c r="F1028" s="102"/>
      <c r="G1028" s="182"/>
      <c r="H1028" s="182"/>
      <c r="I1028" s="23"/>
      <c r="J1028" s="47"/>
      <c r="K1028" s="21"/>
      <c r="L1028" s="102"/>
      <c r="M1028" s="21"/>
      <c r="N1028" s="183"/>
      <c r="O1028" s="183"/>
    </row>
    <row r="1029">
      <c r="A1029" s="102"/>
      <c r="B1029" s="182"/>
      <c r="C1029" s="102"/>
      <c r="D1029" s="102"/>
      <c r="E1029" s="102"/>
      <c r="F1029" s="102"/>
      <c r="G1029" s="182"/>
      <c r="H1029" s="182"/>
      <c r="I1029" s="23"/>
      <c r="J1029" s="47"/>
      <c r="K1029" s="21"/>
      <c r="L1029" s="102"/>
      <c r="M1029" s="21"/>
      <c r="N1029" s="183"/>
      <c r="O1029" s="183"/>
    </row>
    <row r="1030">
      <c r="A1030" s="102"/>
      <c r="B1030" s="182"/>
      <c r="C1030" s="102"/>
      <c r="D1030" s="102"/>
      <c r="E1030" s="102"/>
      <c r="F1030" s="102"/>
      <c r="G1030" s="182"/>
      <c r="H1030" s="182"/>
      <c r="I1030" s="23"/>
      <c r="J1030" s="47"/>
      <c r="K1030" s="21"/>
      <c r="L1030" s="102"/>
      <c r="M1030" s="21"/>
      <c r="N1030" s="183"/>
      <c r="O1030" s="183"/>
    </row>
    <row r="1031">
      <c r="A1031" s="102"/>
      <c r="B1031" s="182"/>
      <c r="C1031" s="102"/>
      <c r="D1031" s="102"/>
      <c r="E1031" s="102"/>
      <c r="F1031" s="102"/>
      <c r="G1031" s="182"/>
      <c r="H1031" s="182"/>
      <c r="I1031" s="23"/>
      <c r="J1031" s="47"/>
      <c r="K1031" s="21"/>
      <c r="L1031" s="102"/>
      <c r="M1031" s="21"/>
      <c r="N1031" s="183"/>
      <c r="O1031" s="183"/>
    </row>
    <row r="1032">
      <c r="A1032" s="102"/>
      <c r="B1032" s="182"/>
      <c r="C1032" s="102"/>
      <c r="D1032" s="102"/>
      <c r="E1032" s="102"/>
      <c r="F1032" s="102"/>
      <c r="G1032" s="182"/>
      <c r="H1032" s="182"/>
      <c r="I1032" s="23"/>
      <c r="J1032" s="47"/>
      <c r="K1032" s="21"/>
      <c r="L1032" s="102"/>
      <c r="M1032" s="21"/>
      <c r="N1032" s="183"/>
      <c r="O1032" s="183"/>
    </row>
    <row r="1033">
      <c r="A1033" s="102"/>
      <c r="B1033" s="182"/>
      <c r="C1033" s="102"/>
      <c r="D1033" s="102"/>
      <c r="E1033" s="102"/>
      <c r="F1033" s="102"/>
      <c r="G1033" s="182"/>
      <c r="H1033" s="182"/>
      <c r="I1033" s="23"/>
      <c r="J1033" s="47"/>
      <c r="K1033" s="21"/>
      <c r="L1033" s="102"/>
      <c r="M1033" s="21"/>
      <c r="N1033" s="183"/>
      <c r="O1033" s="183"/>
    </row>
    <row r="1034">
      <c r="A1034" s="102"/>
      <c r="B1034" s="182"/>
      <c r="C1034" s="102"/>
      <c r="D1034" s="102"/>
      <c r="E1034" s="102"/>
      <c r="F1034" s="102"/>
      <c r="G1034" s="182"/>
      <c r="H1034" s="182"/>
      <c r="I1034" s="23"/>
      <c r="J1034" s="47"/>
      <c r="K1034" s="21"/>
      <c r="L1034" s="102"/>
      <c r="M1034" s="21"/>
      <c r="N1034" s="183"/>
      <c r="O1034" s="183"/>
    </row>
    <row r="1035">
      <c r="A1035" s="102"/>
      <c r="B1035" s="182"/>
      <c r="C1035" s="102"/>
      <c r="D1035" s="102"/>
      <c r="E1035" s="102"/>
      <c r="F1035" s="102"/>
      <c r="G1035" s="182"/>
      <c r="H1035" s="182"/>
      <c r="I1035" s="23"/>
      <c r="J1035" s="47"/>
      <c r="K1035" s="21"/>
      <c r="L1035" s="102"/>
      <c r="M1035" s="21"/>
      <c r="N1035" s="183"/>
      <c r="O1035" s="183"/>
    </row>
    <row r="1036">
      <c r="A1036" s="102"/>
      <c r="B1036" s="182"/>
      <c r="C1036" s="102"/>
      <c r="D1036" s="102"/>
      <c r="E1036" s="102"/>
      <c r="F1036" s="102"/>
      <c r="G1036" s="182"/>
      <c r="H1036" s="182"/>
      <c r="I1036" s="23"/>
      <c r="J1036" s="47"/>
      <c r="K1036" s="21"/>
      <c r="L1036" s="102"/>
      <c r="M1036" s="21"/>
      <c r="N1036" s="183"/>
      <c r="O1036" s="183"/>
    </row>
    <row r="1037">
      <c r="A1037" s="102"/>
      <c r="B1037" s="182"/>
      <c r="C1037" s="102"/>
      <c r="D1037" s="102"/>
      <c r="E1037" s="102"/>
      <c r="F1037" s="102"/>
      <c r="G1037" s="182"/>
      <c r="H1037" s="182"/>
      <c r="I1037" s="23"/>
      <c r="J1037" s="47"/>
      <c r="K1037" s="21"/>
      <c r="L1037" s="102"/>
      <c r="M1037" s="21"/>
      <c r="N1037" s="183"/>
      <c r="O1037" s="183"/>
    </row>
    <row r="1038">
      <c r="A1038" s="102"/>
      <c r="B1038" s="182"/>
      <c r="C1038" s="102"/>
      <c r="D1038" s="102"/>
      <c r="E1038" s="102"/>
      <c r="F1038" s="102"/>
      <c r="G1038" s="182"/>
      <c r="H1038" s="182"/>
      <c r="I1038" s="23"/>
      <c r="J1038" s="47"/>
      <c r="K1038" s="21"/>
      <c r="L1038" s="102"/>
      <c r="M1038" s="21"/>
      <c r="N1038" s="183"/>
      <c r="O1038" s="183"/>
    </row>
    <row r="1039">
      <c r="A1039" s="102"/>
      <c r="B1039" s="182"/>
      <c r="C1039" s="102"/>
      <c r="D1039" s="102"/>
      <c r="E1039" s="102"/>
      <c r="F1039" s="102"/>
      <c r="G1039" s="182"/>
      <c r="H1039" s="182"/>
      <c r="I1039" s="23"/>
      <c r="J1039" s="47"/>
      <c r="K1039" s="21"/>
      <c r="L1039" s="102"/>
      <c r="M1039" s="21"/>
      <c r="N1039" s="183"/>
      <c r="O1039" s="183"/>
    </row>
    <row r="1040">
      <c r="A1040" s="102"/>
      <c r="B1040" s="182"/>
      <c r="C1040" s="102"/>
      <c r="D1040" s="102"/>
      <c r="E1040" s="102"/>
      <c r="F1040" s="102"/>
      <c r="G1040" s="182"/>
      <c r="H1040" s="182"/>
      <c r="I1040" s="23"/>
      <c r="J1040" s="47"/>
      <c r="K1040" s="21"/>
      <c r="L1040" s="102"/>
      <c r="M1040" s="21"/>
      <c r="N1040" s="183"/>
      <c r="O1040" s="183"/>
    </row>
    <row r="1041">
      <c r="A1041" s="102"/>
      <c r="B1041" s="182"/>
      <c r="C1041" s="102"/>
      <c r="D1041" s="102"/>
      <c r="E1041" s="102"/>
      <c r="F1041" s="102"/>
      <c r="G1041" s="182"/>
      <c r="H1041" s="182"/>
      <c r="I1041" s="23"/>
      <c r="J1041" s="47"/>
      <c r="K1041" s="21"/>
      <c r="L1041" s="102"/>
      <c r="M1041" s="21"/>
      <c r="N1041" s="183"/>
      <c r="O1041" s="183"/>
    </row>
    <row r="1042">
      <c r="A1042" s="102"/>
      <c r="B1042" s="182"/>
      <c r="C1042" s="102"/>
      <c r="D1042" s="102"/>
      <c r="E1042" s="102"/>
      <c r="F1042" s="102"/>
      <c r="G1042" s="182"/>
      <c r="H1042" s="182"/>
      <c r="I1042" s="23"/>
      <c r="J1042" s="47"/>
      <c r="K1042" s="21"/>
      <c r="L1042" s="102"/>
      <c r="M1042" s="21"/>
      <c r="N1042" s="183"/>
      <c r="O1042" s="183"/>
    </row>
    <row r="1043">
      <c r="A1043" s="102"/>
      <c r="B1043" s="182"/>
      <c r="C1043" s="102"/>
      <c r="D1043" s="102"/>
      <c r="E1043" s="102"/>
      <c r="F1043" s="102"/>
      <c r="G1043" s="182"/>
      <c r="H1043" s="182"/>
      <c r="I1043" s="23"/>
      <c r="J1043" s="47"/>
      <c r="K1043" s="21"/>
      <c r="L1043" s="102"/>
      <c r="M1043" s="21"/>
      <c r="N1043" s="183"/>
      <c r="O1043" s="183"/>
    </row>
    <row r="1044">
      <c r="A1044" s="102"/>
      <c r="B1044" s="182"/>
      <c r="C1044" s="102"/>
      <c r="D1044" s="102"/>
      <c r="E1044" s="102"/>
      <c r="F1044" s="102"/>
      <c r="G1044" s="182"/>
      <c r="H1044" s="182"/>
      <c r="I1044" s="23"/>
      <c r="J1044" s="47"/>
      <c r="K1044" s="21"/>
      <c r="L1044" s="102"/>
      <c r="M1044" s="21"/>
      <c r="N1044" s="183"/>
      <c r="O1044" s="183"/>
    </row>
    <row r="1045">
      <c r="A1045" s="102"/>
      <c r="B1045" s="182"/>
      <c r="C1045" s="102"/>
      <c r="D1045" s="102"/>
      <c r="E1045" s="102"/>
      <c r="F1045" s="102"/>
      <c r="G1045" s="182"/>
      <c r="H1045" s="182"/>
      <c r="I1045" s="23"/>
      <c r="J1045" s="47"/>
      <c r="K1045" s="21"/>
      <c r="L1045" s="102"/>
      <c r="M1045" s="21"/>
      <c r="N1045" s="183"/>
      <c r="O1045" s="183"/>
    </row>
    <row r="1046">
      <c r="A1046" s="102"/>
      <c r="B1046" s="182"/>
      <c r="C1046" s="102"/>
      <c r="D1046" s="102"/>
      <c r="E1046" s="102"/>
      <c r="F1046" s="102"/>
      <c r="G1046" s="182"/>
      <c r="H1046" s="182"/>
      <c r="I1046" s="23"/>
      <c r="J1046" s="47"/>
      <c r="K1046" s="21"/>
      <c r="L1046" s="102"/>
      <c r="M1046" s="21"/>
      <c r="N1046" s="183"/>
      <c r="O1046" s="183"/>
    </row>
    <row r="1047">
      <c r="A1047" s="102"/>
      <c r="B1047" s="182"/>
      <c r="C1047" s="102"/>
      <c r="D1047" s="102"/>
      <c r="E1047" s="102"/>
      <c r="F1047" s="102"/>
      <c r="G1047" s="182"/>
      <c r="H1047" s="182"/>
      <c r="I1047" s="23"/>
      <c r="J1047" s="47"/>
      <c r="K1047" s="21"/>
      <c r="L1047" s="102"/>
      <c r="M1047" s="21"/>
      <c r="N1047" s="183"/>
      <c r="O1047" s="183"/>
    </row>
    <row r="1048">
      <c r="A1048" s="102"/>
      <c r="B1048" s="182"/>
      <c r="C1048" s="102"/>
      <c r="D1048" s="102"/>
      <c r="E1048" s="102"/>
      <c r="F1048" s="102"/>
      <c r="G1048" s="182"/>
      <c r="H1048" s="182"/>
      <c r="I1048" s="23"/>
      <c r="J1048" s="47"/>
      <c r="K1048" s="21"/>
      <c r="L1048" s="102"/>
      <c r="M1048" s="21"/>
      <c r="N1048" s="183"/>
      <c r="O1048" s="183"/>
    </row>
    <row r="1049">
      <c r="A1049" s="102"/>
      <c r="B1049" s="182"/>
      <c r="C1049" s="102"/>
      <c r="D1049" s="102"/>
      <c r="E1049" s="102"/>
      <c r="F1049" s="102"/>
      <c r="G1049" s="182"/>
      <c r="H1049" s="182"/>
      <c r="I1049" s="23"/>
      <c r="J1049" s="47"/>
      <c r="K1049" s="21"/>
      <c r="L1049" s="102"/>
      <c r="M1049" s="21"/>
      <c r="N1049" s="183"/>
      <c r="O1049" s="183"/>
    </row>
    <row r="1050">
      <c r="A1050" s="102"/>
      <c r="B1050" s="182"/>
      <c r="C1050" s="102"/>
      <c r="D1050" s="102"/>
      <c r="E1050" s="102"/>
      <c r="F1050" s="102"/>
      <c r="G1050" s="182"/>
      <c r="H1050" s="182"/>
      <c r="I1050" s="23"/>
      <c r="J1050" s="47"/>
      <c r="K1050" s="21"/>
      <c r="L1050" s="102"/>
      <c r="M1050" s="21"/>
      <c r="N1050" s="183"/>
      <c r="O1050" s="183"/>
    </row>
    <row r="1051">
      <c r="A1051" s="102"/>
      <c r="B1051" s="182"/>
      <c r="C1051" s="102"/>
      <c r="D1051" s="102"/>
      <c r="E1051" s="102"/>
      <c r="F1051" s="102"/>
      <c r="G1051" s="182"/>
      <c r="H1051" s="182"/>
      <c r="I1051" s="23"/>
      <c r="J1051" s="47"/>
      <c r="K1051" s="21"/>
      <c r="L1051" s="102"/>
      <c r="M1051" s="21"/>
      <c r="N1051" s="183"/>
      <c r="O1051" s="183"/>
    </row>
    <row r="1052">
      <c r="A1052" s="102"/>
      <c r="B1052" s="182"/>
      <c r="C1052" s="102"/>
      <c r="D1052" s="102"/>
      <c r="E1052" s="102"/>
      <c r="F1052" s="102"/>
      <c r="G1052" s="182"/>
      <c r="H1052" s="182"/>
      <c r="I1052" s="23"/>
      <c r="J1052" s="47"/>
      <c r="K1052" s="21"/>
      <c r="L1052" s="102"/>
      <c r="M1052" s="21"/>
      <c r="N1052" s="183"/>
      <c r="O1052" s="183"/>
    </row>
    <row r="1053">
      <c r="A1053" s="102"/>
      <c r="B1053" s="182"/>
      <c r="C1053" s="102"/>
      <c r="D1053" s="102"/>
      <c r="E1053" s="102"/>
      <c r="F1053" s="102"/>
      <c r="G1053" s="182"/>
      <c r="H1053" s="182"/>
      <c r="I1053" s="23"/>
      <c r="J1053" s="47"/>
      <c r="K1053" s="21"/>
      <c r="L1053" s="102"/>
      <c r="M1053" s="21"/>
      <c r="N1053" s="183"/>
      <c r="O1053" s="183"/>
    </row>
    <row r="1054">
      <c r="A1054" s="102"/>
      <c r="B1054" s="182"/>
      <c r="C1054" s="102"/>
      <c r="D1054" s="102"/>
      <c r="E1054" s="102"/>
      <c r="F1054" s="102"/>
      <c r="G1054" s="182"/>
      <c r="H1054" s="182"/>
      <c r="I1054" s="23"/>
      <c r="J1054" s="47"/>
      <c r="K1054" s="21"/>
      <c r="L1054" s="102"/>
      <c r="M1054" s="21"/>
      <c r="N1054" s="183"/>
      <c r="O1054" s="183"/>
    </row>
    <row r="1055">
      <c r="A1055" s="102"/>
      <c r="B1055" s="182"/>
      <c r="C1055" s="102"/>
      <c r="D1055" s="102"/>
      <c r="E1055" s="102"/>
      <c r="F1055" s="102"/>
      <c r="G1055" s="182"/>
      <c r="H1055" s="182"/>
      <c r="I1055" s="23"/>
      <c r="J1055" s="47"/>
      <c r="K1055" s="21"/>
      <c r="L1055" s="102"/>
      <c r="M1055" s="21"/>
      <c r="N1055" s="183"/>
      <c r="O1055" s="183"/>
    </row>
    <row r="1056">
      <c r="A1056" s="102"/>
      <c r="B1056" s="182"/>
      <c r="C1056" s="102"/>
      <c r="D1056" s="102"/>
      <c r="E1056" s="102"/>
      <c r="F1056" s="102"/>
      <c r="G1056" s="182"/>
      <c r="H1056" s="182"/>
      <c r="I1056" s="23"/>
      <c r="J1056" s="47"/>
      <c r="K1056" s="21"/>
      <c r="L1056" s="102"/>
      <c r="M1056" s="21"/>
      <c r="N1056" s="183"/>
      <c r="O1056" s="183"/>
    </row>
    <row r="1057">
      <c r="A1057" s="102"/>
      <c r="B1057" s="182"/>
      <c r="C1057" s="102"/>
      <c r="D1057" s="102"/>
      <c r="E1057" s="102"/>
      <c r="F1057" s="102"/>
      <c r="G1057" s="182"/>
      <c r="H1057" s="182"/>
      <c r="I1057" s="23"/>
      <c r="J1057" s="47"/>
      <c r="K1057" s="21"/>
      <c r="L1057" s="102"/>
      <c r="M1057" s="21"/>
      <c r="N1057" s="183"/>
      <c r="O1057" s="183"/>
    </row>
    <row r="1058">
      <c r="A1058" s="102"/>
      <c r="B1058" s="182"/>
      <c r="C1058" s="102"/>
      <c r="D1058" s="102"/>
      <c r="E1058" s="102"/>
      <c r="F1058" s="102"/>
      <c r="G1058" s="182"/>
      <c r="H1058" s="182"/>
      <c r="I1058" s="23"/>
      <c r="J1058" s="47"/>
      <c r="K1058" s="21"/>
      <c r="L1058" s="102"/>
      <c r="M1058" s="21"/>
      <c r="N1058" s="183"/>
      <c r="O1058" s="183"/>
    </row>
    <row r="1059">
      <c r="A1059" s="102"/>
      <c r="B1059" s="182"/>
      <c r="C1059" s="102"/>
      <c r="D1059" s="102"/>
      <c r="E1059" s="102"/>
      <c r="F1059" s="102"/>
      <c r="G1059" s="182"/>
      <c r="H1059" s="182"/>
      <c r="I1059" s="23"/>
      <c r="J1059" s="47"/>
      <c r="K1059" s="21"/>
      <c r="L1059" s="102"/>
      <c r="M1059" s="21"/>
      <c r="N1059" s="183"/>
      <c r="O1059" s="183"/>
    </row>
    <row r="1060">
      <c r="A1060" s="102"/>
      <c r="B1060" s="182"/>
      <c r="C1060" s="102"/>
      <c r="D1060" s="102"/>
      <c r="E1060" s="102"/>
      <c r="F1060" s="102"/>
      <c r="G1060" s="182"/>
      <c r="H1060" s="182"/>
      <c r="I1060" s="23"/>
      <c r="J1060" s="47"/>
      <c r="K1060" s="21"/>
      <c r="L1060" s="102"/>
      <c r="M1060" s="21"/>
      <c r="N1060" s="183"/>
      <c r="O1060" s="183"/>
    </row>
    <row r="1061">
      <c r="A1061" s="102"/>
      <c r="B1061" s="182"/>
      <c r="C1061" s="102"/>
      <c r="D1061" s="102"/>
      <c r="E1061" s="102"/>
      <c r="F1061" s="102"/>
      <c r="G1061" s="182"/>
      <c r="H1061" s="182"/>
      <c r="I1061" s="23"/>
      <c r="J1061" s="47"/>
      <c r="K1061" s="21"/>
      <c r="L1061" s="102"/>
      <c r="M1061" s="21"/>
      <c r="N1061" s="183"/>
      <c r="O1061" s="183"/>
    </row>
    <row r="1062">
      <c r="A1062" s="102"/>
      <c r="B1062" s="182"/>
      <c r="C1062" s="102"/>
      <c r="D1062" s="102"/>
      <c r="E1062" s="102"/>
      <c r="F1062" s="102"/>
      <c r="G1062" s="182"/>
      <c r="H1062" s="182"/>
      <c r="I1062" s="23"/>
      <c r="J1062" s="47"/>
      <c r="K1062" s="21"/>
      <c r="L1062" s="102"/>
      <c r="M1062" s="21"/>
      <c r="N1062" s="183"/>
      <c r="O1062" s="183"/>
    </row>
    <row r="1063">
      <c r="A1063" s="102"/>
      <c r="B1063" s="182"/>
      <c r="C1063" s="102"/>
      <c r="D1063" s="102"/>
      <c r="E1063" s="102"/>
      <c r="F1063" s="102"/>
      <c r="G1063" s="182"/>
      <c r="H1063" s="182"/>
      <c r="I1063" s="23"/>
      <c r="J1063" s="47"/>
      <c r="K1063" s="21"/>
      <c r="L1063" s="102"/>
      <c r="M1063" s="21"/>
      <c r="N1063" s="183"/>
      <c r="O1063" s="183"/>
    </row>
    <row r="1064">
      <c r="A1064" s="102"/>
      <c r="B1064" s="182"/>
      <c r="C1064" s="102"/>
      <c r="D1064" s="102"/>
      <c r="E1064" s="102"/>
      <c r="F1064" s="102"/>
      <c r="G1064" s="182"/>
      <c r="H1064" s="182"/>
      <c r="I1064" s="23"/>
      <c r="J1064" s="47"/>
      <c r="K1064" s="21"/>
      <c r="L1064" s="102"/>
      <c r="M1064" s="21"/>
      <c r="N1064" s="183"/>
      <c r="O1064" s="183"/>
    </row>
    <row r="1065">
      <c r="A1065" s="102"/>
      <c r="B1065" s="182"/>
      <c r="C1065" s="102"/>
      <c r="D1065" s="102"/>
      <c r="E1065" s="102"/>
      <c r="F1065" s="102"/>
      <c r="G1065" s="182"/>
      <c r="H1065" s="182"/>
      <c r="I1065" s="23"/>
      <c r="J1065" s="47"/>
      <c r="K1065" s="21"/>
      <c r="L1065" s="102"/>
      <c r="M1065" s="21"/>
      <c r="N1065" s="183"/>
      <c r="O1065" s="183"/>
    </row>
    <row r="1066">
      <c r="A1066" s="102"/>
      <c r="B1066" s="182"/>
      <c r="C1066" s="102"/>
      <c r="D1066" s="102"/>
      <c r="E1066" s="102"/>
      <c r="F1066" s="102"/>
      <c r="G1066" s="182"/>
      <c r="H1066" s="182"/>
      <c r="I1066" s="23"/>
      <c r="J1066" s="47"/>
      <c r="K1066" s="21"/>
      <c r="L1066" s="102"/>
      <c r="M1066" s="21"/>
      <c r="N1066" s="183"/>
      <c r="O1066" s="183"/>
    </row>
    <row r="1067">
      <c r="A1067" s="102"/>
      <c r="B1067" s="182"/>
      <c r="C1067" s="102"/>
      <c r="D1067" s="102"/>
      <c r="E1067" s="102"/>
      <c r="F1067" s="102"/>
      <c r="G1067" s="182"/>
      <c r="H1067" s="182"/>
      <c r="I1067" s="23"/>
      <c r="J1067" s="47"/>
      <c r="K1067" s="21"/>
      <c r="L1067" s="102"/>
      <c r="M1067" s="21"/>
      <c r="N1067" s="183"/>
      <c r="O1067" s="183"/>
    </row>
    <row r="1068">
      <c r="A1068" s="102"/>
      <c r="B1068" s="182"/>
      <c r="C1068" s="102"/>
      <c r="D1068" s="102"/>
      <c r="E1068" s="102"/>
      <c r="F1068" s="102"/>
      <c r="G1068" s="182"/>
      <c r="H1068" s="182"/>
      <c r="I1068" s="23"/>
      <c r="J1068" s="47"/>
      <c r="K1068" s="21"/>
      <c r="L1068" s="102"/>
      <c r="M1068" s="21"/>
      <c r="N1068" s="183"/>
      <c r="O1068" s="183"/>
    </row>
    <row r="1069">
      <c r="A1069" s="102"/>
      <c r="B1069" s="182"/>
      <c r="C1069" s="102"/>
      <c r="D1069" s="102"/>
      <c r="E1069" s="102"/>
      <c r="F1069" s="102"/>
      <c r="G1069" s="182"/>
      <c r="H1069" s="182"/>
      <c r="I1069" s="23"/>
      <c r="J1069" s="47"/>
      <c r="K1069" s="21"/>
      <c r="L1069" s="102"/>
      <c r="M1069" s="21"/>
      <c r="N1069" s="183"/>
      <c r="O1069" s="183"/>
    </row>
    <row r="1070">
      <c r="A1070" s="183"/>
      <c r="B1070" s="184"/>
      <c r="C1070" s="183"/>
      <c r="D1070" s="183"/>
      <c r="E1070" s="183"/>
      <c r="F1070" s="183"/>
      <c r="G1070" s="184"/>
      <c r="H1070" s="184"/>
      <c r="I1070" s="185"/>
      <c r="J1070" s="186"/>
      <c r="K1070" s="21"/>
      <c r="L1070" s="183"/>
      <c r="M1070" s="96"/>
      <c r="N1070" s="183"/>
      <c r="O1070" s="183"/>
    </row>
    <row r="1071">
      <c r="A1071" s="183"/>
      <c r="B1071" s="184"/>
      <c r="C1071" s="183"/>
      <c r="D1071" s="183"/>
      <c r="E1071" s="183"/>
      <c r="F1071" s="183"/>
      <c r="G1071" s="184"/>
      <c r="H1071" s="184"/>
      <c r="I1071" s="185"/>
      <c r="J1071" s="186"/>
      <c r="K1071" s="21"/>
      <c r="L1071" s="183"/>
      <c r="M1071" s="96"/>
      <c r="N1071" s="183"/>
      <c r="O1071" s="183"/>
    </row>
    <row r="1072">
      <c r="A1072" s="183"/>
      <c r="B1072" s="184"/>
      <c r="C1072" s="183"/>
      <c r="D1072" s="183"/>
      <c r="E1072" s="183"/>
      <c r="F1072" s="183"/>
      <c r="G1072" s="184"/>
      <c r="H1072" s="184"/>
      <c r="I1072" s="185"/>
      <c r="J1072" s="186"/>
      <c r="K1072" s="21"/>
      <c r="L1072" s="183"/>
      <c r="M1072" s="96"/>
      <c r="N1072" s="183"/>
      <c r="O1072" s="183"/>
    </row>
    <row r="1073">
      <c r="A1073" s="183"/>
      <c r="B1073" s="184"/>
      <c r="C1073" s="183"/>
      <c r="D1073" s="183"/>
      <c r="E1073" s="183"/>
      <c r="F1073" s="183"/>
      <c r="G1073" s="184"/>
      <c r="H1073" s="184"/>
      <c r="I1073" s="185"/>
      <c r="J1073" s="186"/>
      <c r="K1073" s="21"/>
      <c r="L1073" s="183"/>
      <c r="M1073" s="96"/>
      <c r="N1073" s="183"/>
      <c r="O1073" s="183"/>
    </row>
    <row r="1074">
      <c r="A1074" s="183"/>
      <c r="B1074" s="184"/>
      <c r="C1074" s="183"/>
      <c r="D1074" s="183"/>
      <c r="E1074" s="183"/>
      <c r="F1074" s="183"/>
      <c r="G1074" s="184"/>
      <c r="H1074" s="184"/>
      <c r="I1074" s="185"/>
      <c r="J1074" s="186"/>
      <c r="K1074" s="21"/>
      <c r="L1074" s="183"/>
      <c r="M1074" s="96"/>
      <c r="N1074" s="183"/>
      <c r="O1074" s="183"/>
    </row>
    <row r="1075">
      <c r="A1075" s="183"/>
      <c r="B1075" s="184"/>
      <c r="C1075" s="183"/>
      <c r="D1075" s="183"/>
      <c r="E1075" s="183"/>
      <c r="F1075" s="183"/>
      <c r="G1075" s="184"/>
      <c r="H1075" s="184"/>
      <c r="I1075" s="185"/>
      <c r="J1075" s="186"/>
      <c r="K1075" s="21"/>
      <c r="L1075" s="183"/>
      <c r="M1075" s="96"/>
      <c r="N1075" s="183"/>
      <c r="O1075" s="183"/>
    </row>
    <row r="1076">
      <c r="A1076" s="183"/>
      <c r="B1076" s="184"/>
      <c r="C1076" s="183"/>
      <c r="D1076" s="183"/>
      <c r="E1076" s="183"/>
      <c r="F1076" s="183"/>
      <c r="G1076" s="184"/>
      <c r="H1076" s="184"/>
      <c r="I1076" s="185"/>
      <c r="J1076" s="186"/>
      <c r="K1076" s="21"/>
      <c r="L1076" s="183"/>
      <c r="M1076" s="96"/>
      <c r="N1076" s="183"/>
      <c r="O1076" s="183"/>
    </row>
    <row r="1077">
      <c r="A1077" s="183"/>
      <c r="B1077" s="184"/>
      <c r="C1077" s="183"/>
      <c r="D1077" s="183"/>
      <c r="E1077" s="183"/>
      <c r="F1077" s="183"/>
      <c r="G1077" s="184"/>
      <c r="H1077" s="184"/>
      <c r="I1077" s="185"/>
      <c r="J1077" s="186"/>
      <c r="K1077" s="21"/>
      <c r="L1077" s="183"/>
      <c r="M1077" s="96"/>
      <c r="N1077" s="183"/>
      <c r="O1077" s="183"/>
    </row>
  </sheetData>
  <autoFilter ref="$A$1:$O$1077">
    <sortState ref="A1:O1077">
      <sortCondition ref="B1:B1077"/>
      <sortCondition ref="C1:C1077"/>
    </sortState>
  </autoFilter>
  <customSheetViews>
    <customSheetView guid="{83E62C58-6A05-4224-80B2-328E67688E3A}" filter="1" showAutoFilter="1">
      <autoFilter ref="$A$1:$O$1077">
        <sortState ref="A1:O1077">
          <sortCondition ref="C1:C1077"/>
          <sortCondition ref="B1:B1077"/>
        </sortState>
      </autoFilter>
    </customSheetView>
    <customSheetView guid="{BB33330B-4A76-4C90-A275-E9D224B27FBA}" filter="1" showAutoFilter="1">
      <autoFilter ref="$A$1:$L$1077">
        <sortState ref="A1:L1077">
          <sortCondition ref="C1:C1077"/>
        </sortState>
      </autoFilter>
    </customSheetView>
  </customSheetViews>
  <dataValidations>
    <dataValidation type="list" allowBlank="1" showErrorMessage="1" sqref="J2:J1077">
      <formula1>"Cumplido,Pendiente,En ejecución"</formula1>
    </dataValidation>
    <dataValidation type="list" allowBlank="1" showErrorMessage="1" sqref="F2:F1077">
      <formula1>Desplegables!$F$2:$F$6</formula1>
    </dataValidation>
    <dataValidation type="list" allowBlank="1" showErrorMessage="1" sqref="C8:C9 C11:C45 C49:C1077">
      <formula1>Desplegables!$I$2:$I$450</formula1>
    </dataValidation>
    <dataValidation type="list" allowBlank="1" showErrorMessage="1" sqref="B2:B1077">
      <formula1>Desplegables!$H$2:$H$28</formula1>
    </dataValidation>
    <dataValidation type="list" allowBlank="1" showErrorMessage="1" sqref="C2:C7 C10 C46:C48">
      <formula1>Desplegables!$I$2:$I$433</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43.38"/>
    <col customWidth="1" min="3" max="3" width="23.63"/>
    <col customWidth="1" hidden="1" min="4" max="4" width="23.63"/>
    <col customWidth="1" min="5" max="5" width="23.63"/>
    <col customWidth="1" min="6" max="6" width="28.0"/>
    <col customWidth="1" min="7" max="7" width="22.88"/>
    <col customWidth="1" min="8" max="8" width="30.38"/>
  </cols>
  <sheetData>
    <row r="1">
      <c r="A1" s="10" t="s">
        <v>28</v>
      </c>
      <c r="B1" s="10" t="s">
        <v>29</v>
      </c>
      <c r="C1" s="11" t="s">
        <v>30</v>
      </c>
      <c r="D1" s="11" t="s">
        <v>33</v>
      </c>
      <c r="E1" s="11" t="s">
        <v>34</v>
      </c>
      <c r="F1" s="11" t="s">
        <v>35</v>
      </c>
      <c r="G1" s="11" t="s">
        <v>36</v>
      </c>
      <c r="H1" s="10" t="s">
        <v>28</v>
      </c>
      <c r="I1" s="10" t="s">
        <v>29</v>
      </c>
    </row>
    <row r="2">
      <c r="A2" s="18" t="s">
        <v>39</v>
      </c>
      <c r="B2" s="20" t="s">
        <v>46</v>
      </c>
      <c r="C2" s="18" t="s">
        <v>39</v>
      </c>
      <c r="D2" s="22"/>
      <c r="E2" s="22" t="s">
        <v>47</v>
      </c>
      <c r="F2" s="22" t="s">
        <v>48</v>
      </c>
      <c r="G2" s="25" t="s">
        <v>50</v>
      </c>
      <c r="H2" s="25" t="s">
        <v>32</v>
      </c>
      <c r="I2" s="26" t="s">
        <v>51</v>
      </c>
    </row>
    <row r="3">
      <c r="A3" s="18" t="s">
        <v>52</v>
      </c>
      <c r="B3" s="20" t="s">
        <v>53</v>
      </c>
      <c r="C3" s="18" t="s">
        <v>39</v>
      </c>
      <c r="D3" s="22"/>
      <c r="E3" s="22" t="s">
        <v>55</v>
      </c>
      <c r="F3" s="22" t="s">
        <v>44</v>
      </c>
      <c r="G3" s="25" t="s">
        <v>57</v>
      </c>
      <c r="H3" s="25" t="s">
        <v>58</v>
      </c>
      <c r="I3" s="26" t="s">
        <v>59</v>
      </c>
    </row>
    <row r="4">
      <c r="A4" s="30" t="s">
        <v>61</v>
      </c>
      <c r="B4" s="20" t="s">
        <v>62</v>
      </c>
      <c r="C4" s="18" t="s">
        <v>39</v>
      </c>
      <c r="D4" s="22"/>
      <c r="E4" s="22" t="s">
        <v>63</v>
      </c>
      <c r="G4" s="25" t="s">
        <v>64</v>
      </c>
      <c r="H4" s="33" t="s">
        <v>65</v>
      </c>
      <c r="I4" s="26" t="s">
        <v>67</v>
      </c>
    </row>
    <row r="5">
      <c r="A5" s="18" t="s">
        <v>31</v>
      </c>
      <c r="B5" s="20" t="s">
        <v>39</v>
      </c>
      <c r="C5" s="18" t="s">
        <v>39</v>
      </c>
      <c r="D5" s="22"/>
      <c r="E5" s="22" t="s">
        <v>68</v>
      </c>
      <c r="G5" s="22" t="s">
        <v>70</v>
      </c>
      <c r="H5" s="25" t="s">
        <v>39</v>
      </c>
      <c r="I5" s="26" t="s">
        <v>71</v>
      </c>
    </row>
    <row r="6">
      <c r="A6" s="18" t="s">
        <v>72</v>
      </c>
      <c r="B6" s="20" t="s">
        <v>73</v>
      </c>
      <c r="C6" s="18" t="s">
        <v>39</v>
      </c>
      <c r="D6" s="22"/>
      <c r="E6" s="22" t="s">
        <v>75</v>
      </c>
      <c r="G6" s="33" t="s">
        <v>76</v>
      </c>
      <c r="H6" s="25" t="s">
        <v>31</v>
      </c>
      <c r="I6" s="26" t="s">
        <v>77</v>
      </c>
    </row>
    <row r="7">
      <c r="A7" s="18" t="s">
        <v>78</v>
      </c>
      <c r="B7" s="20" t="s">
        <v>79</v>
      </c>
      <c r="C7" s="18" t="s">
        <v>39</v>
      </c>
      <c r="D7" s="22"/>
      <c r="E7" s="22" t="s">
        <v>80</v>
      </c>
      <c r="G7" s="33" t="s">
        <v>81</v>
      </c>
      <c r="H7" s="33" t="s">
        <v>82</v>
      </c>
      <c r="I7" s="26" t="s">
        <v>83</v>
      </c>
    </row>
    <row r="8">
      <c r="A8" s="30" t="s">
        <v>84</v>
      </c>
      <c r="B8" s="20" t="s">
        <v>85</v>
      </c>
      <c r="C8" s="18" t="s">
        <v>39</v>
      </c>
      <c r="D8" s="22"/>
      <c r="E8" s="22" t="s">
        <v>49</v>
      </c>
      <c r="G8" s="25" t="s">
        <v>86</v>
      </c>
      <c r="H8" s="33" t="s">
        <v>61</v>
      </c>
      <c r="I8" s="26" t="s">
        <v>87</v>
      </c>
    </row>
    <row r="9">
      <c r="A9" s="18" t="s">
        <v>90</v>
      </c>
      <c r="B9" s="20" t="s">
        <v>91</v>
      </c>
      <c r="C9" s="18" t="s">
        <v>39</v>
      </c>
      <c r="G9" s="33" t="s">
        <v>93</v>
      </c>
      <c r="H9" s="25" t="s">
        <v>94</v>
      </c>
      <c r="I9" s="26" t="s">
        <v>95</v>
      </c>
    </row>
    <row r="10">
      <c r="A10" s="18" t="s">
        <v>96</v>
      </c>
      <c r="B10" s="20" t="s">
        <v>97</v>
      </c>
      <c r="C10" s="18" t="s">
        <v>39</v>
      </c>
      <c r="G10" s="25" t="s">
        <v>98</v>
      </c>
      <c r="H10" s="25" t="s">
        <v>99</v>
      </c>
      <c r="I10" s="26" t="s">
        <v>100</v>
      </c>
    </row>
    <row r="11">
      <c r="A11" s="18" t="s">
        <v>101</v>
      </c>
      <c r="B11" s="20" t="s">
        <v>102</v>
      </c>
      <c r="C11" s="18" t="s">
        <v>39</v>
      </c>
      <c r="G11" s="22" t="s">
        <v>104</v>
      </c>
      <c r="H11" s="25" t="s">
        <v>101</v>
      </c>
      <c r="I11" s="26" t="s">
        <v>106</v>
      </c>
    </row>
    <row r="12">
      <c r="A12" s="18" t="s">
        <v>107</v>
      </c>
      <c r="B12" s="20" t="s">
        <v>108</v>
      </c>
      <c r="C12" s="18" t="s">
        <v>39</v>
      </c>
      <c r="G12" s="22" t="s">
        <v>109</v>
      </c>
      <c r="H12" s="25" t="s">
        <v>90</v>
      </c>
      <c r="I12" s="26" t="s">
        <v>110</v>
      </c>
    </row>
    <row r="13">
      <c r="A13" s="18" t="s">
        <v>112</v>
      </c>
      <c r="B13" s="20" t="s">
        <v>113</v>
      </c>
      <c r="C13" s="18" t="s">
        <v>39</v>
      </c>
      <c r="G13" s="22" t="s">
        <v>114</v>
      </c>
      <c r="H13" s="33" t="s">
        <v>115</v>
      </c>
      <c r="I13" s="26" t="s">
        <v>116</v>
      </c>
    </row>
    <row r="14">
      <c r="A14" s="30" t="s">
        <v>117</v>
      </c>
      <c r="B14" s="20" t="s">
        <v>118</v>
      </c>
      <c r="C14" s="18" t="s">
        <v>39</v>
      </c>
      <c r="G14" s="22" t="s">
        <v>119</v>
      </c>
      <c r="H14" s="25" t="s">
        <v>120</v>
      </c>
      <c r="I14" s="26" t="s">
        <v>46</v>
      </c>
    </row>
    <row r="15">
      <c r="A15" s="30" t="s">
        <v>122</v>
      </c>
      <c r="B15" s="20" t="s">
        <v>123</v>
      </c>
      <c r="C15" s="18" t="s">
        <v>39</v>
      </c>
      <c r="H15" s="41" t="s">
        <v>125</v>
      </c>
      <c r="I15" s="26" t="s">
        <v>126</v>
      </c>
    </row>
    <row r="16">
      <c r="A16" s="18"/>
      <c r="B16" s="20" t="s">
        <v>129</v>
      </c>
      <c r="C16" s="18" t="s">
        <v>39</v>
      </c>
      <c r="H16" s="33" t="s">
        <v>117</v>
      </c>
      <c r="I16" s="26" t="s">
        <v>131</v>
      </c>
    </row>
    <row r="17">
      <c r="A17" s="18"/>
      <c r="B17" s="20" t="s">
        <v>132</v>
      </c>
      <c r="C17" s="18" t="s">
        <v>39</v>
      </c>
      <c r="H17" s="25" t="s">
        <v>84</v>
      </c>
      <c r="I17" s="26" t="s">
        <v>133</v>
      </c>
    </row>
    <row r="18">
      <c r="A18" s="18"/>
      <c r="B18" s="20" t="s">
        <v>134</v>
      </c>
      <c r="C18" s="18" t="s">
        <v>39</v>
      </c>
      <c r="H18" s="33" t="s">
        <v>136</v>
      </c>
      <c r="I18" s="26" t="s">
        <v>137</v>
      </c>
    </row>
    <row r="19">
      <c r="A19" s="18"/>
      <c r="B19" s="20" t="s">
        <v>139</v>
      </c>
      <c r="C19" s="18" t="s">
        <v>140</v>
      </c>
      <c r="H19" s="25" t="s">
        <v>52</v>
      </c>
      <c r="I19" s="26" t="s">
        <v>142</v>
      </c>
    </row>
    <row r="20">
      <c r="A20" s="18"/>
      <c r="B20" s="20" t="s">
        <v>146</v>
      </c>
      <c r="C20" s="18" t="s">
        <v>140</v>
      </c>
      <c r="H20" s="25" t="s">
        <v>107</v>
      </c>
      <c r="I20" s="26" t="s">
        <v>148</v>
      </c>
    </row>
    <row r="21">
      <c r="A21" s="18"/>
      <c r="B21" s="20" t="s">
        <v>149</v>
      </c>
      <c r="C21" s="18" t="s">
        <v>140</v>
      </c>
      <c r="H21" s="25" t="s">
        <v>150</v>
      </c>
      <c r="I21" s="26" t="s">
        <v>152</v>
      </c>
    </row>
    <row r="22">
      <c r="A22" s="18"/>
      <c r="B22" s="20" t="s">
        <v>153</v>
      </c>
      <c r="C22" s="18" t="s">
        <v>140</v>
      </c>
      <c r="H22" s="33" t="s">
        <v>154</v>
      </c>
      <c r="I22" s="26" t="s">
        <v>156</v>
      </c>
    </row>
    <row r="23">
      <c r="A23" s="18"/>
      <c r="B23" s="20" t="s">
        <v>157</v>
      </c>
      <c r="C23" s="18" t="s">
        <v>140</v>
      </c>
      <c r="H23" s="25" t="s">
        <v>72</v>
      </c>
      <c r="I23" s="26" t="s">
        <v>159</v>
      </c>
    </row>
    <row r="24">
      <c r="A24" s="18"/>
      <c r="B24" s="20" t="s">
        <v>160</v>
      </c>
      <c r="C24" s="18" t="s">
        <v>140</v>
      </c>
      <c r="H24" s="25" t="s">
        <v>161</v>
      </c>
      <c r="I24" s="26" t="s">
        <v>162</v>
      </c>
    </row>
    <row r="25">
      <c r="A25" s="46"/>
      <c r="B25" s="20" t="s">
        <v>164</v>
      </c>
      <c r="C25" s="18" t="s">
        <v>140</v>
      </c>
      <c r="H25" s="25" t="s">
        <v>78</v>
      </c>
      <c r="I25" s="26" t="s">
        <v>165</v>
      </c>
    </row>
    <row r="26">
      <c r="A26" s="46"/>
      <c r="B26" s="20" t="s">
        <v>167</v>
      </c>
      <c r="C26" s="18" t="s">
        <v>140</v>
      </c>
      <c r="H26" s="25" t="s">
        <v>96</v>
      </c>
      <c r="I26" s="26" t="s">
        <v>168</v>
      </c>
    </row>
    <row r="27">
      <c r="A27" s="46"/>
      <c r="B27" s="20" t="s">
        <v>170</v>
      </c>
      <c r="C27" s="18" t="s">
        <v>140</v>
      </c>
      <c r="H27" s="33" t="s">
        <v>171</v>
      </c>
      <c r="I27" s="26" t="s">
        <v>172</v>
      </c>
    </row>
    <row r="28">
      <c r="A28" s="46"/>
      <c r="B28" s="20" t="s">
        <v>173</v>
      </c>
      <c r="C28" s="18" t="s">
        <v>101</v>
      </c>
      <c r="H28" s="25" t="s">
        <v>174</v>
      </c>
      <c r="I28" s="26" t="s">
        <v>139</v>
      </c>
    </row>
    <row r="29">
      <c r="A29" s="46"/>
      <c r="B29" s="20" t="s">
        <v>175</v>
      </c>
      <c r="C29" s="18" t="s">
        <v>101</v>
      </c>
      <c r="H29" s="25"/>
      <c r="I29" s="26" t="s">
        <v>176</v>
      </c>
    </row>
    <row r="30">
      <c r="A30" s="46"/>
      <c r="B30" s="20" t="s">
        <v>177</v>
      </c>
      <c r="C30" s="18" t="s">
        <v>101</v>
      </c>
      <c r="H30" s="25"/>
      <c r="I30" s="26" t="s">
        <v>178</v>
      </c>
    </row>
    <row r="31">
      <c r="A31" s="46"/>
      <c r="B31" s="20" t="s">
        <v>180</v>
      </c>
      <c r="C31" s="18" t="s">
        <v>101</v>
      </c>
      <c r="H31" s="25"/>
      <c r="I31" s="26" t="s">
        <v>182</v>
      </c>
    </row>
    <row r="32">
      <c r="A32" s="46"/>
      <c r="B32" s="20" t="s">
        <v>184</v>
      </c>
      <c r="C32" s="18" t="s">
        <v>101</v>
      </c>
      <c r="H32" s="25"/>
      <c r="I32" s="26" t="s">
        <v>53</v>
      </c>
    </row>
    <row r="33">
      <c r="A33" s="46"/>
      <c r="B33" s="20" t="s">
        <v>186</v>
      </c>
      <c r="C33" s="18" t="s">
        <v>101</v>
      </c>
      <c r="H33" s="25"/>
      <c r="I33" s="26" t="s">
        <v>188</v>
      </c>
    </row>
    <row r="34">
      <c r="A34" s="46"/>
      <c r="B34" s="20" t="s">
        <v>191</v>
      </c>
      <c r="C34" s="18" t="s">
        <v>101</v>
      </c>
      <c r="H34" s="25"/>
      <c r="I34" s="26" t="s">
        <v>192</v>
      </c>
    </row>
    <row r="35">
      <c r="A35" s="46"/>
      <c r="B35" s="20" t="s">
        <v>193</v>
      </c>
      <c r="C35" s="18" t="s">
        <v>101</v>
      </c>
      <c r="H35" s="25"/>
      <c r="I35" s="26" t="s">
        <v>194</v>
      </c>
    </row>
    <row r="36">
      <c r="A36" s="46"/>
      <c r="B36" s="20" t="s">
        <v>195</v>
      </c>
      <c r="C36" s="18" t="s">
        <v>90</v>
      </c>
      <c r="H36" s="25"/>
      <c r="I36" s="26" t="s">
        <v>196</v>
      </c>
    </row>
    <row r="37">
      <c r="A37" s="46"/>
      <c r="B37" s="20" t="s">
        <v>198</v>
      </c>
      <c r="C37" s="18" t="s">
        <v>90</v>
      </c>
      <c r="H37" s="25"/>
      <c r="I37" s="26" t="s">
        <v>200</v>
      </c>
    </row>
    <row r="38">
      <c r="A38" s="46"/>
      <c r="B38" s="20" t="s">
        <v>202</v>
      </c>
      <c r="C38" s="18" t="s">
        <v>90</v>
      </c>
      <c r="H38" s="25"/>
      <c r="I38" s="26" t="s">
        <v>203</v>
      </c>
    </row>
    <row r="39">
      <c r="A39" s="46"/>
      <c r="B39" s="20" t="s">
        <v>205</v>
      </c>
      <c r="C39" s="18" t="s">
        <v>90</v>
      </c>
      <c r="H39" s="25"/>
      <c r="I39" s="26" t="s">
        <v>206</v>
      </c>
    </row>
    <row r="40">
      <c r="A40" s="46"/>
      <c r="B40" s="20" t="s">
        <v>207</v>
      </c>
      <c r="C40" s="18" t="s">
        <v>90</v>
      </c>
      <c r="H40" s="25"/>
      <c r="I40" s="26" t="s">
        <v>208</v>
      </c>
    </row>
    <row r="41">
      <c r="A41" s="46"/>
      <c r="B41" s="20" t="s">
        <v>209</v>
      </c>
      <c r="C41" s="18" t="s">
        <v>90</v>
      </c>
      <c r="H41" s="25"/>
      <c r="I41" s="26" t="s">
        <v>210</v>
      </c>
    </row>
    <row r="42">
      <c r="A42" s="46"/>
      <c r="B42" s="20" t="s">
        <v>211</v>
      </c>
      <c r="C42" s="18" t="s">
        <v>90</v>
      </c>
      <c r="H42" s="25"/>
      <c r="I42" s="26" t="s">
        <v>212</v>
      </c>
    </row>
    <row r="43">
      <c r="A43" s="46"/>
      <c r="B43" s="20" t="s">
        <v>214</v>
      </c>
      <c r="C43" s="18" t="s">
        <v>215</v>
      </c>
      <c r="H43" s="25"/>
      <c r="I43" s="26" t="s">
        <v>216</v>
      </c>
    </row>
    <row r="44">
      <c r="A44" s="46"/>
      <c r="B44" s="20" t="s">
        <v>218</v>
      </c>
      <c r="C44" s="18" t="s">
        <v>215</v>
      </c>
      <c r="H44" s="25"/>
      <c r="I44" s="26" t="s">
        <v>219</v>
      </c>
    </row>
    <row r="45">
      <c r="A45" s="46"/>
      <c r="B45" s="20" t="s">
        <v>220</v>
      </c>
      <c r="C45" s="18" t="s">
        <v>215</v>
      </c>
      <c r="H45" s="25"/>
      <c r="I45" s="26" t="s">
        <v>221</v>
      </c>
    </row>
    <row r="46">
      <c r="A46" s="46"/>
      <c r="B46" s="20" t="s">
        <v>222</v>
      </c>
      <c r="C46" s="18" t="s">
        <v>215</v>
      </c>
      <c r="H46" s="25"/>
      <c r="I46" s="26" t="s">
        <v>223</v>
      </c>
    </row>
    <row r="47">
      <c r="A47" s="46"/>
      <c r="B47" s="20" t="s">
        <v>224</v>
      </c>
      <c r="C47" s="18" t="s">
        <v>215</v>
      </c>
      <c r="H47" s="25"/>
      <c r="I47" s="26" t="s">
        <v>225</v>
      </c>
    </row>
    <row r="48">
      <c r="A48" s="46"/>
      <c r="B48" s="20" t="s">
        <v>226</v>
      </c>
      <c r="C48" s="18" t="s">
        <v>215</v>
      </c>
      <c r="H48" s="25"/>
      <c r="I48" s="26" t="s">
        <v>227</v>
      </c>
    </row>
    <row r="49">
      <c r="A49" s="46"/>
      <c r="B49" s="20" t="s">
        <v>230</v>
      </c>
      <c r="C49" s="18" t="s">
        <v>215</v>
      </c>
      <c r="H49" s="25"/>
      <c r="I49" s="26" t="s">
        <v>232</v>
      </c>
    </row>
    <row r="50">
      <c r="A50" s="46"/>
      <c r="B50" s="20" t="s">
        <v>233</v>
      </c>
      <c r="C50" s="18" t="s">
        <v>215</v>
      </c>
      <c r="H50" s="25"/>
      <c r="I50" s="26" t="s">
        <v>234</v>
      </c>
    </row>
    <row r="51">
      <c r="A51" s="46"/>
      <c r="B51" s="20" t="s">
        <v>235</v>
      </c>
      <c r="C51" s="18" t="s">
        <v>215</v>
      </c>
      <c r="H51" s="25"/>
      <c r="I51" s="26" t="s">
        <v>236</v>
      </c>
    </row>
    <row r="52">
      <c r="A52" s="46"/>
      <c r="B52" s="20" t="s">
        <v>237</v>
      </c>
      <c r="C52" s="18" t="s">
        <v>215</v>
      </c>
      <c r="H52" s="25"/>
      <c r="I52" s="26" t="s">
        <v>238</v>
      </c>
    </row>
    <row r="53">
      <c r="A53" s="46"/>
      <c r="B53" s="20" t="s">
        <v>241</v>
      </c>
      <c r="C53" s="18" t="s">
        <v>215</v>
      </c>
      <c r="H53" s="25"/>
      <c r="I53" s="26" t="s">
        <v>242</v>
      </c>
    </row>
    <row r="54">
      <c r="A54" s="46"/>
      <c r="B54" s="20" t="s">
        <v>245</v>
      </c>
      <c r="C54" s="18" t="s">
        <v>215</v>
      </c>
      <c r="H54" s="25"/>
      <c r="I54" s="26" t="s">
        <v>246</v>
      </c>
    </row>
    <row r="55">
      <c r="A55" s="46"/>
      <c r="B55" s="20" t="s">
        <v>133</v>
      </c>
      <c r="C55" s="18" t="s">
        <v>52</v>
      </c>
      <c r="H55" s="25"/>
      <c r="I55" s="26" t="s">
        <v>248</v>
      </c>
    </row>
    <row r="56">
      <c r="A56" s="46"/>
      <c r="B56" s="20" t="s">
        <v>162</v>
      </c>
      <c r="C56" s="18" t="s">
        <v>52</v>
      </c>
      <c r="H56" s="25"/>
      <c r="I56" s="26" t="s">
        <v>250</v>
      </c>
    </row>
    <row r="57">
      <c r="A57" s="46"/>
      <c r="B57" s="20" t="s">
        <v>252</v>
      </c>
      <c r="C57" s="18" t="s">
        <v>52</v>
      </c>
      <c r="H57" s="25"/>
      <c r="I57" s="26" t="s">
        <v>254</v>
      </c>
    </row>
    <row r="58">
      <c r="A58" s="46"/>
      <c r="B58" s="20" t="s">
        <v>255</v>
      </c>
      <c r="C58" s="18" t="s">
        <v>52</v>
      </c>
      <c r="H58" s="25"/>
      <c r="I58" s="26" t="s">
        <v>256</v>
      </c>
    </row>
    <row r="59">
      <c r="A59" s="46"/>
      <c r="B59" s="20" t="s">
        <v>257</v>
      </c>
      <c r="C59" s="18" t="s">
        <v>52</v>
      </c>
      <c r="H59" s="25"/>
      <c r="I59" s="26" t="s">
        <v>258</v>
      </c>
    </row>
    <row r="60">
      <c r="A60" s="46"/>
      <c r="B60" s="20" t="s">
        <v>259</v>
      </c>
      <c r="C60" s="18" t="s">
        <v>52</v>
      </c>
      <c r="H60" s="25"/>
      <c r="I60" s="26" t="s">
        <v>260</v>
      </c>
    </row>
    <row r="61">
      <c r="A61" s="46"/>
      <c r="B61" s="20" t="s">
        <v>261</v>
      </c>
      <c r="C61" s="18" t="s">
        <v>52</v>
      </c>
      <c r="H61" s="25"/>
      <c r="I61" s="26" t="s">
        <v>262</v>
      </c>
    </row>
    <row r="62">
      <c r="A62" s="46"/>
      <c r="B62" s="20" t="s">
        <v>263</v>
      </c>
      <c r="C62" s="18" t="s">
        <v>52</v>
      </c>
      <c r="H62" s="25"/>
      <c r="I62" s="26" t="s">
        <v>264</v>
      </c>
    </row>
    <row r="63">
      <c r="A63" s="46"/>
      <c r="B63" s="20" t="s">
        <v>266</v>
      </c>
      <c r="C63" s="18" t="s">
        <v>52</v>
      </c>
      <c r="H63" s="25"/>
      <c r="I63" s="26" t="s">
        <v>214</v>
      </c>
    </row>
    <row r="64">
      <c r="A64" s="46"/>
      <c r="B64" s="20" t="s">
        <v>268</v>
      </c>
      <c r="C64" s="18" t="s">
        <v>52</v>
      </c>
      <c r="H64" s="25"/>
      <c r="I64" s="26" t="s">
        <v>269</v>
      </c>
    </row>
    <row r="65">
      <c r="A65" s="46"/>
      <c r="B65" s="20" t="s">
        <v>272</v>
      </c>
      <c r="C65" s="18" t="s">
        <v>52</v>
      </c>
      <c r="H65" s="25"/>
      <c r="I65" s="26" t="s">
        <v>275</v>
      </c>
    </row>
    <row r="66">
      <c r="A66" s="46"/>
      <c r="B66" s="20" t="s">
        <v>276</v>
      </c>
      <c r="C66" s="18" t="s">
        <v>52</v>
      </c>
      <c r="H66" s="25"/>
      <c r="I66" s="26" t="s">
        <v>278</v>
      </c>
    </row>
    <row r="67">
      <c r="A67" s="46"/>
      <c r="B67" s="20" t="s">
        <v>279</v>
      </c>
      <c r="C67" s="18" t="s">
        <v>52</v>
      </c>
      <c r="H67" s="25"/>
      <c r="I67" s="26" t="s">
        <v>218</v>
      </c>
    </row>
    <row r="68">
      <c r="A68" s="46"/>
      <c r="B68" s="20" t="s">
        <v>282</v>
      </c>
      <c r="C68" s="18" t="s">
        <v>107</v>
      </c>
      <c r="H68" s="25"/>
      <c r="I68" s="26" t="s">
        <v>284</v>
      </c>
    </row>
    <row r="69">
      <c r="A69" s="46"/>
      <c r="B69" s="20" t="s">
        <v>285</v>
      </c>
      <c r="C69" s="18" t="s">
        <v>107</v>
      </c>
      <c r="H69" s="25"/>
      <c r="I69" s="26" t="s">
        <v>286</v>
      </c>
    </row>
    <row r="70">
      <c r="A70" s="46"/>
      <c r="B70" s="20" t="s">
        <v>287</v>
      </c>
      <c r="C70" s="18" t="s">
        <v>107</v>
      </c>
      <c r="H70" s="25"/>
      <c r="I70" s="26" t="s">
        <v>289</v>
      </c>
    </row>
    <row r="71">
      <c r="A71" s="46"/>
      <c r="B71" s="20" t="s">
        <v>290</v>
      </c>
      <c r="C71" s="18" t="s">
        <v>107</v>
      </c>
      <c r="H71" s="25"/>
      <c r="I71" s="26" t="s">
        <v>292</v>
      </c>
    </row>
    <row r="72">
      <c r="A72" s="46"/>
      <c r="B72" s="20" t="s">
        <v>295</v>
      </c>
      <c r="C72" s="18" t="s">
        <v>107</v>
      </c>
      <c r="H72" s="25"/>
      <c r="I72" s="26" t="s">
        <v>296</v>
      </c>
    </row>
    <row r="73">
      <c r="A73" s="46"/>
      <c r="B73" s="20" t="s">
        <v>297</v>
      </c>
      <c r="C73" s="18" t="s">
        <v>107</v>
      </c>
      <c r="H73" s="25"/>
      <c r="I73" s="26" t="s">
        <v>149</v>
      </c>
    </row>
    <row r="74">
      <c r="A74" s="46"/>
      <c r="B74" s="20" t="s">
        <v>299</v>
      </c>
      <c r="C74" s="18" t="s">
        <v>107</v>
      </c>
      <c r="H74" s="25"/>
      <c r="I74" s="26" t="s">
        <v>301</v>
      </c>
    </row>
    <row r="75">
      <c r="A75" s="46"/>
      <c r="B75" s="20" t="s">
        <v>302</v>
      </c>
      <c r="C75" s="18" t="s">
        <v>107</v>
      </c>
      <c r="H75" s="25"/>
      <c r="I75" s="26" t="s">
        <v>304</v>
      </c>
    </row>
    <row r="76">
      <c r="A76" s="46"/>
      <c r="B76" s="20" t="s">
        <v>306</v>
      </c>
      <c r="C76" s="18" t="s">
        <v>107</v>
      </c>
      <c r="H76" s="25"/>
      <c r="I76" s="26" t="s">
        <v>307</v>
      </c>
    </row>
    <row r="77">
      <c r="A77" s="46"/>
      <c r="B77" s="20" t="s">
        <v>308</v>
      </c>
      <c r="C77" s="18" t="s">
        <v>107</v>
      </c>
      <c r="H77" s="25"/>
      <c r="I77" s="26" t="s">
        <v>309</v>
      </c>
    </row>
    <row r="78">
      <c r="A78" s="46"/>
      <c r="B78" s="20" t="s">
        <v>310</v>
      </c>
      <c r="C78" s="18" t="s">
        <v>107</v>
      </c>
      <c r="H78" s="25"/>
      <c r="I78" s="26" t="s">
        <v>312</v>
      </c>
    </row>
    <row r="79">
      <c r="A79" s="46"/>
      <c r="B79" s="20" t="s">
        <v>225</v>
      </c>
      <c r="C79" s="18" t="s">
        <v>72</v>
      </c>
      <c r="H79" s="25"/>
      <c r="I79" s="26" t="s">
        <v>315</v>
      </c>
    </row>
    <row r="80">
      <c r="A80" s="46"/>
      <c r="B80" s="20" t="s">
        <v>301</v>
      </c>
      <c r="C80" s="18" t="s">
        <v>72</v>
      </c>
      <c r="H80" s="25"/>
      <c r="I80" s="26" t="s">
        <v>316</v>
      </c>
    </row>
    <row r="81">
      <c r="A81" s="46"/>
      <c r="B81" s="20" t="s">
        <v>317</v>
      </c>
      <c r="C81" s="18" t="s">
        <v>72</v>
      </c>
      <c r="H81" s="25"/>
      <c r="I81" s="26" t="s">
        <v>318</v>
      </c>
    </row>
    <row r="82">
      <c r="A82" s="46"/>
      <c r="B82" s="20" t="s">
        <v>320</v>
      </c>
      <c r="C82" s="18" t="s">
        <v>72</v>
      </c>
      <c r="H82" s="25"/>
      <c r="I82" s="26" t="s">
        <v>321</v>
      </c>
    </row>
    <row r="83">
      <c r="A83" s="46"/>
      <c r="B83" s="20" t="s">
        <v>232</v>
      </c>
      <c r="C83" s="18" t="s">
        <v>78</v>
      </c>
      <c r="H83" s="25"/>
      <c r="I83" s="26" t="s">
        <v>323</v>
      </c>
    </row>
    <row r="84">
      <c r="A84" s="46"/>
      <c r="B84" s="20" t="s">
        <v>234</v>
      </c>
      <c r="C84" s="18" t="s">
        <v>78</v>
      </c>
      <c r="H84" s="25"/>
      <c r="I84" s="26" t="s">
        <v>324</v>
      </c>
    </row>
    <row r="85">
      <c r="A85" s="46"/>
      <c r="B85" s="20" t="s">
        <v>325</v>
      </c>
      <c r="C85" s="18" t="s">
        <v>78</v>
      </c>
      <c r="H85" s="25"/>
      <c r="I85" s="26" t="s">
        <v>326</v>
      </c>
    </row>
    <row r="86">
      <c r="A86" s="46"/>
      <c r="B86" s="20" t="s">
        <v>327</v>
      </c>
      <c r="C86" s="18" t="s">
        <v>78</v>
      </c>
      <c r="H86" s="25"/>
      <c r="I86" s="26" t="s">
        <v>328</v>
      </c>
    </row>
    <row r="87">
      <c r="A87" s="46"/>
      <c r="B87" s="20" t="s">
        <v>329</v>
      </c>
      <c r="C87" s="18" t="s">
        <v>78</v>
      </c>
      <c r="H87" s="25"/>
      <c r="I87" s="26" t="s">
        <v>330</v>
      </c>
    </row>
    <row r="88">
      <c r="A88" s="46"/>
      <c r="B88" s="20" t="s">
        <v>331</v>
      </c>
      <c r="C88" s="18" t="s">
        <v>78</v>
      </c>
      <c r="H88" s="25"/>
      <c r="I88" s="26" t="s">
        <v>333</v>
      </c>
    </row>
    <row r="89">
      <c r="A89" s="46"/>
      <c r="B89" s="20" t="s">
        <v>335</v>
      </c>
      <c r="C89" s="18" t="s">
        <v>78</v>
      </c>
      <c r="H89" s="25"/>
      <c r="I89" s="26" t="s">
        <v>336</v>
      </c>
    </row>
    <row r="90">
      <c r="A90" s="46"/>
      <c r="B90" s="20" t="s">
        <v>339</v>
      </c>
      <c r="C90" s="18" t="s">
        <v>78</v>
      </c>
      <c r="H90" s="25"/>
      <c r="I90" s="26" t="s">
        <v>340</v>
      </c>
    </row>
    <row r="91">
      <c r="A91" s="46"/>
      <c r="B91" s="20" t="s">
        <v>341</v>
      </c>
      <c r="C91" s="18" t="s">
        <v>78</v>
      </c>
      <c r="H91" s="25"/>
      <c r="I91" s="26" t="s">
        <v>342</v>
      </c>
    </row>
    <row r="92">
      <c r="A92" s="46"/>
      <c r="B92" s="20" t="s">
        <v>343</v>
      </c>
      <c r="C92" s="18" t="s">
        <v>78</v>
      </c>
      <c r="H92" s="25"/>
      <c r="I92" s="26" t="s">
        <v>344</v>
      </c>
    </row>
    <row r="93">
      <c r="A93" s="46"/>
      <c r="B93" s="20" t="s">
        <v>304</v>
      </c>
      <c r="C93" s="18" t="s">
        <v>96</v>
      </c>
      <c r="H93" s="25"/>
      <c r="I93" s="26" t="s">
        <v>345</v>
      </c>
    </row>
    <row r="94">
      <c r="A94" s="46"/>
      <c r="B94" s="20" t="s">
        <v>346</v>
      </c>
      <c r="C94" s="18" t="s">
        <v>96</v>
      </c>
      <c r="H94" s="25"/>
      <c r="I94" s="26" t="s">
        <v>347</v>
      </c>
    </row>
    <row r="95">
      <c r="A95" s="46"/>
      <c r="B95" s="63" t="s">
        <v>350</v>
      </c>
      <c r="C95" s="64" t="s">
        <v>96</v>
      </c>
      <c r="H95" s="25"/>
      <c r="I95" s="26" t="s">
        <v>351</v>
      </c>
    </row>
    <row r="96">
      <c r="A96" s="46"/>
      <c r="B96" s="63" t="s">
        <v>352</v>
      </c>
      <c r="C96" s="64" t="s">
        <v>96</v>
      </c>
      <c r="H96" s="25"/>
      <c r="I96" s="26" t="s">
        <v>354</v>
      </c>
    </row>
    <row r="97">
      <c r="A97" s="46"/>
      <c r="B97" s="63" t="s">
        <v>356</v>
      </c>
      <c r="C97" s="64" t="s">
        <v>96</v>
      </c>
      <c r="H97" s="25"/>
      <c r="I97" s="26" t="s">
        <v>357</v>
      </c>
    </row>
    <row r="98">
      <c r="A98" s="46"/>
      <c r="B98" s="63" t="s">
        <v>358</v>
      </c>
      <c r="C98" s="64" t="s">
        <v>96</v>
      </c>
      <c r="H98" s="25"/>
      <c r="I98" s="26" t="s">
        <v>359</v>
      </c>
    </row>
    <row r="99">
      <c r="A99" s="46"/>
      <c r="B99" s="63" t="s">
        <v>360</v>
      </c>
      <c r="C99" s="64" t="s">
        <v>96</v>
      </c>
      <c r="H99" s="25"/>
      <c r="I99" s="26" t="s">
        <v>282</v>
      </c>
    </row>
    <row r="100">
      <c r="A100" s="46"/>
      <c r="B100" s="66" t="s">
        <v>361</v>
      </c>
      <c r="C100" s="68" t="s">
        <v>96</v>
      </c>
      <c r="H100" s="25"/>
      <c r="I100" s="26" t="s">
        <v>153</v>
      </c>
    </row>
    <row r="101">
      <c r="A101" s="46"/>
      <c r="B101" s="66" t="s">
        <v>208</v>
      </c>
      <c r="C101" s="68" t="s">
        <v>31</v>
      </c>
      <c r="H101" s="25"/>
      <c r="I101" s="26" t="s">
        <v>363</v>
      </c>
    </row>
    <row r="102">
      <c r="A102" s="46"/>
      <c r="B102" s="66" t="s">
        <v>364</v>
      </c>
      <c r="C102" s="68" t="s">
        <v>31</v>
      </c>
      <c r="H102" s="25"/>
      <c r="I102" s="26" t="s">
        <v>365</v>
      </c>
    </row>
    <row r="103">
      <c r="A103" s="46"/>
      <c r="B103" s="63" t="s">
        <v>366</v>
      </c>
      <c r="C103" s="64" t="s">
        <v>31</v>
      </c>
      <c r="H103" s="25"/>
      <c r="I103" s="26" t="s">
        <v>367</v>
      </c>
    </row>
    <row r="104">
      <c r="A104" s="46"/>
      <c r="B104" s="63" t="s">
        <v>368</v>
      </c>
      <c r="C104" s="64" t="s">
        <v>31</v>
      </c>
      <c r="H104" s="25"/>
      <c r="I104" s="26" t="s">
        <v>370</v>
      </c>
    </row>
    <row r="105">
      <c r="A105" s="46"/>
      <c r="B105" s="63" t="s">
        <v>37</v>
      </c>
      <c r="C105" s="64" t="s">
        <v>31</v>
      </c>
      <c r="H105" s="25"/>
      <c r="I105" s="26" t="s">
        <v>372</v>
      </c>
    </row>
    <row r="106">
      <c r="A106" s="46"/>
      <c r="B106" s="63" t="s">
        <v>373</v>
      </c>
      <c r="C106" s="64" t="s">
        <v>31</v>
      </c>
      <c r="H106" s="25"/>
      <c r="I106" s="26" t="s">
        <v>374</v>
      </c>
    </row>
    <row r="107">
      <c r="A107" s="46"/>
      <c r="B107" s="63" t="s">
        <v>375</v>
      </c>
      <c r="C107" s="64" t="s">
        <v>31</v>
      </c>
      <c r="H107" s="25"/>
      <c r="I107" s="26" t="s">
        <v>376</v>
      </c>
    </row>
    <row r="108">
      <c r="A108" s="46"/>
      <c r="B108" s="63" t="s">
        <v>377</v>
      </c>
      <c r="C108" s="64" t="s">
        <v>31</v>
      </c>
      <c r="H108" s="25"/>
      <c r="I108" s="26" t="s">
        <v>378</v>
      </c>
    </row>
    <row r="109">
      <c r="A109" s="46"/>
      <c r="B109" s="63" t="s">
        <v>379</v>
      </c>
      <c r="C109" s="64" t="s">
        <v>31</v>
      </c>
      <c r="H109" s="25"/>
      <c r="I109" s="26" t="s">
        <v>62</v>
      </c>
    </row>
    <row r="110">
      <c r="A110" s="46"/>
      <c r="B110" s="20" t="s">
        <v>380</v>
      </c>
      <c r="C110" s="18" t="s">
        <v>31</v>
      </c>
      <c r="H110" s="25"/>
      <c r="I110" s="26" t="s">
        <v>39</v>
      </c>
    </row>
    <row r="111">
      <c r="A111" s="46"/>
      <c r="B111" s="63" t="s">
        <v>382</v>
      </c>
      <c r="C111" s="64" t="s">
        <v>31</v>
      </c>
      <c r="H111" s="25"/>
      <c r="I111" s="26" t="s">
        <v>383</v>
      </c>
    </row>
    <row r="112">
      <c r="A112" s="46"/>
      <c r="B112" s="20" t="s">
        <v>384</v>
      </c>
      <c r="C112" s="18" t="s">
        <v>31</v>
      </c>
      <c r="H112" s="25"/>
      <c r="I112" s="26" t="s">
        <v>385</v>
      </c>
    </row>
    <row r="113">
      <c r="A113" s="46"/>
      <c r="B113" s="20" t="s">
        <v>386</v>
      </c>
      <c r="C113" s="18" t="s">
        <v>31</v>
      </c>
      <c r="H113" s="25"/>
      <c r="I113" s="26" t="s">
        <v>387</v>
      </c>
    </row>
    <row r="114">
      <c r="A114" s="46"/>
      <c r="B114" s="20" t="s">
        <v>388</v>
      </c>
      <c r="C114" s="18" t="s">
        <v>112</v>
      </c>
      <c r="H114" s="25"/>
      <c r="I114" s="26" t="s">
        <v>364</v>
      </c>
    </row>
    <row r="115">
      <c r="A115" s="46"/>
      <c r="B115" s="20" t="s">
        <v>389</v>
      </c>
      <c r="C115" s="18" t="s">
        <v>112</v>
      </c>
      <c r="H115" s="25"/>
      <c r="I115" s="26" t="s">
        <v>390</v>
      </c>
    </row>
    <row r="116">
      <c r="A116" s="46"/>
      <c r="B116" s="20" t="s">
        <v>391</v>
      </c>
      <c r="C116" s="18" t="s">
        <v>112</v>
      </c>
      <c r="H116" s="25"/>
      <c r="I116" s="26" t="s">
        <v>392</v>
      </c>
    </row>
    <row r="117">
      <c r="A117" s="46"/>
      <c r="B117" s="20" t="s">
        <v>393</v>
      </c>
      <c r="C117" s="18" t="s">
        <v>112</v>
      </c>
      <c r="H117" s="25"/>
      <c r="I117" s="26" t="s">
        <v>394</v>
      </c>
    </row>
    <row r="118">
      <c r="A118" s="46"/>
      <c r="B118" s="20" t="s">
        <v>396</v>
      </c>
      <c r="C118" s="18" t="s">
        <v>112</v>
      </c>
      <c r="H118" s="25"/>
      <c r="I118" s="26" t="s">
        <v>398</v>
      </c>
    </row>
    <row r="119">
      <c r="A119" s="46"/>
      <c r="B119" s="20" t="s">
        <v>399</v>
      </c>
      <c r="C119" s="18" t="s">
        <v>112</v>
      </c>
      <c r="H119" s="25"/>
      <c r="I119" s="26" t="s">
        <v>400</v>
      </c>
    </row>
    <row r="120">
      <c r="A120" s="46"/>
      <c r="B120" s="20" t="s">
        <v>401</v>
      </c>
      <c r="C120" s="18" t="s">
        <v>112</v>
      </c>
      <c r="H120" s="25"/>
      <c r="I120" s="26" t="s">
        <v>73</v>
      </c>
    </row>
    <row r="121">
      <c r="A121" s="46"/>
      <c r="B121" s="20" t="s">
        <v>402</v>
      </c>
      <c r="C121" s="18" t="s">
        <v>112</v>
      </c>
      <c r="H121" s="25"/>
      <c r="I121" s="26" t="s">
        <v>175</v>
      </c>
    </row>
    <row r="122">
      <c r="A122" s="46"/>
      <c r="B122" s="20" t="s">
        <v>403</v>
      </c>
      <c r="C122" s="18" t="s">
        <v>112</v>
      </c>
      <c r="H122" s="25"/>
      <c r="I122" s="26" t="s">
        <v>404</v>
      </c>
    </row>
    <row r="123">
      <c r="A123" s="46"/>
      <c r="B123" s="20" t="s">
        <v>405</v>
      </c>
      <c r="C123" s="18" t="s">
        <v>112</v>
      </c>
      <c r="H123" s="25"/>
      <c r="I123" s="26" t="s">
        <v>406</v>
      </c>
    </row>
    <row r="124">
      <c r="A124" s="46"/>
      <c r="B124" s="20" t="s">
        <v>407</v>
      </c>
      <c r="C124" s="18" t="s">
        <v>408</v>
      </c>
      <c r="H124" s="25"/>
      <c r="I124" s="26" t="s">
        <v>409</v>
      </c>
    </row>
    <row r="125">
      <c r="A125" s="46"/>
      <c r="B125" s="20" t="s">
        <v>410</v>
      </c>
      <c r="C125" s="18" t="s">
        <v>408</v>
      </c>
      <c r="H125" s="25"/>
      <c r="I125" s="26" t="s">
        <v>412</v>
      </c>
    </row>
    <row r="126">
      <c r="A126" s="46"/>
      <c r="B126" s="20" t="s">
        <v>414</v>
      </c>
      <c r="C126" s="18" t="s">
        <v>408</v>
      </c>
      <c r="H126" s="25"/>
      <c r="I126" s="26" t="s">
        <v>346</v>
      </c>
    </row>
    <row r="127">
      <c r="A127" s="46"/>
      <c r="B127" s="20" t="s">
        <v>275</v>
      </c>
      <c r="C127" s="18" t="s">
        <v>408</v>
      </c>
      <c r="H127" s="25"/>
      <c r="I127" s="26" t="s">
        <v>415</v>
      </c>
    </row>
    <row r="128">
      <c r="A128" s="46"/>
      <c r="B128" s="20" t="s">
        <v>416</v>
      </c>
      <c r="C128" s="18" t="s">
        <v>408</v>
      </c>
      <c r="H128" s="25"/>
      <c r="I128" s="26" t="s">
        <v>417</v>
      </c>
    </row>
    <row r="129">
      <c r="A129" s="46"/>
      <c r="B129" s="20" t="s">
        <v>418</v>
      </c>
      <c r="C129" s="18" t="s">
        <v>408</v>
      </c>
      <c r="H129" s="25"/>
      <c r="I129" s="26" t="s">
        <v>419</v>
      </c>
    </row>
    <row r="130">
      <c r="A130" s="46"/>
      <c r="B130" s="20" t="s">
        <v>394</v>
      </c>
      <c r="C130" s="18" t="s">
        <v>408</v>
      </c>
      <c r="H130" s="25"/>
      <c r="I130" s="26" t="s">
        <v>420</v>
      </c>
    </row>
    <row r="131">
      <c r="A131" s="46"/>
      <c r="B131" s="20" t="s">
        <v>168</v>
      </c>
      <c r="C131" s="18" t="s">
        <v>408</v>
      </c>
      <c r="H131" s="25"/>
      <c r="I131" s="26" t="s">
        <v>247</v>
      </c>
    </row>
    <row r="132">
      <c r="A132" s="46"/>
      <c r="B132" s="20" t="s">
        <v>422</v>
      </c>
      <c r="C132" s="18" t="s">
        <v>408</v>
      </c>
      <c r="H132" s="25"/>
      <c r="I132" s="26" t="s">
        <v>423</v>
      </c>
    </row>
    <row r="133">
      <c r="A133" s="46"/>
      <c r="B133" s="20" t="s">
        <v>424</v>
      </c>
      <c r="C133" s="18" t="s">
        <v>408</v>
      </c>
      <c r="D133" s="22" t="s">
        <v>408</v>
      </c>
      <c r="H133" s="25"/>
      <c r="I133" s="26" t="s">
        <v>177</v>
      </c>
    </row>
    <row r="134">
      <c r="A134" s="46"/>
      <c r="B134" s="20" t="s">
        <v>425</v>
      </c>
      <c r="C134" s="18" t="s">
        <v>408</v>
      </c>
      <c r="D134" s="22" t="s">
        <v>408</v>
      </c>
      <c r="H134" s="25"/>
      <c r="I134" s="26" t="s">
        <v>426</v>
      </c>
    </row>
    <row r="135">
      <c r="A135" s="46"/>
      <c r="B135" s="20" t="s">
        <v>427</v>
      </c>
      <c r="C135" s="18" t="s">
        <v>408</v>
      </c>
      <c r="H135" s="25"/>
      <c r="I135" s="26" t="s">
        <v>428</v>
      </c>
    </row>
    <row r="136">
      <c r="A136" s="46"/>
      <c r="B136" s="20" t="s">
        <v>429</v>
      </c>
      <c r="C136" s="18" t="s">
        <v>408</v>
      </c>
      <c r="D136" s="22" t="s">
        <v>408</v>
      </c>
      <c r="H136" s="25"/>
      <c r="I136" s="26" t="s">
        <v>220</v>
      </c>
    </row>
    <row r="137">
      <c r="A137" s="46"/>
      <c r="B137" s="20" t="s">
        <v>430</v>
      </c>
      <c r="C137" s="18" t="s">
        <v>408</v>
      </c>
      <c r="D137" s="22" t="s">
        <v>408</v>
      </c>
      <c r="H137" s="25"/>
      <c r="I137" s="26" t="s">
        <v>432</v>
      </c>
    </row>
    <row r="138">
      <c r="A138" s="46"/>
      <c r="B138" s="20" t="s">
        <v>433</v>
      </c>
      <c r="C138" s="18" t="s">
        <v>408</v>
      </c>
      <c r="H138" s="25"/>
      <c r="I138" s="26" t="s">
        <v>435</v>
      </c>
    </row>
    <row r="139">
      <c r="A139" s="46"/>
      <c r="B139" s="20" t="s">
        <v>436</v>
      </c>
      <c r="C139" s="18" t="s">
        <v>408</v>
      </c>
      <c r="H139" s="25"/>
      <c r="I139" s="26" t="s">
        <v>437</v>
      </c>
    </row>
    <row r="140">
      <c r="A140" s="46"/>
      <c r="B140" s="20" t="s">
        <v>438</v>
      </c>
      <c r="C140" s="18" t="s">
        <v>39</v>
      </c>
      <c r="D140" s="71" t="s">
        <v>39</v>
      </c>
      <c r="E140" s="71"/>
      <c r="H140" s="25"/>
      <c r="I140" s="26" t="s">
        <v>439</v>
      </c>
    </row>
    <row r="141">
      <c r="A141" s="46"/>
      <c r="B141" s="20" t="s">
        <v>440</v>
      </c>
      <c r="C141" s="18" t="s">
        <v>90</v>
      </c>
      <c r="D141" s="22" t="s">
        <v>90</v>
      </c>
      <c r="H141" s="25"/>
      <c r="I141" s="26" t="s">
        <v>441</v>
      </c>
    </row>
    <row r="142">
      <c r="A142" s="46"/>
      <c r="B142" s="20" t="s">
        <v>105</v>
      </c>
      <c r="C142" s="18" t="s">
        <v>31</v>
      </c>
      <c r="D142" s="22" t="s">
        <v>31</v>
      </c>
      <c r="H142" s="25"/>
      <c r="I142" s="26" t="s">
        <v>442</v>
      </c>
    </row>
    <row r="143">
      <c r="A143" s="46"/>
      <c r="B143" s="20" t="s">
        <v>443</v>
      </c>
      <c r="C143" s="18" t="s">
        <v>122</v>
      </c>
      <c r="D143" s="22" t="s">
        <v>122</v>
      </c>
      <c r="H143" s="25"/>
      <c r="I143" s="26" t="s">
        <v>388</v>
      </c>
    </row>
    <row r="144">
      <c r="A144" s="46"/>
      <c r="B144" s="20" t="s">
        <v>387</v>
      </c>
      <c r="C144" s="18" t="s">
        <v>140</v>
      </c>
      <c r="D144" s="22" t="s">
        <v>140</v>
      </c>
      <c r="H144" s="25"/>
      <c r="I144" s="26" t="s">
        <v>31</v>
      </c>
    </row>
    <row r="145">
      <c r="A145" s="46"/>
      <c r="B145" s="20" t="s">
        <v>107</v>
      </c>
      <c r="C145" s="18" t="s">
        <v>107</v>
      </c>
      <c r="D145" s="22" t="s">
        <v>107</v>
      </c>
      <c r="H145" s="25"/>
      <c r="I145" s="26" t="s">
        <v>79</v>
      </c>
    </row>
    <row r="146">
      <c r="A146" s="46"/>
      <c r="B146" s="20" t="s">
        <v>444</v>
      </c>
      <c r="C146" s="18" t="s">
        <v>112</v>
      </c>
      <c r="D146" s="71" t="s">
        <v>445</v>
      </c>
      <c r="H146" s="25"/>
      <c r="I146" s="26" t="s">
        <v>180</v>
      </c>
    </row>
    <row r="147">
      <c r="A147" s="46"/>
      <c r="B147" s="20" t="s">
        <v>448</v>
      </c>
      <c r="C147" s="18" t="s">
        <v>107</v>
      </c>
      <c r="D147" s="71" t="s">
        <v>107</v>
      </c>
      <c r="H147" s="25"/>
      <c r="I147" s="26" t="s">
        <v>449</v>
      </c>
    </row>
    <row r="148">
      <c r="A148" s="46"/>
      <c r="B148" s="20" t="s">
        <v>450</v>
      </c>
      <c r="C148" s="18" t="s">
        <v>101</v>
      </c>
      <c r="H148" s="25"/>
      <c r="I148" s="26" t="s">
        <v>222</v>
      </c>
    </row>
    <row r="149">
      <c r="A149" s="46"/>
      <c r="B149" s="20" t="s">
        <v>451</v>
      </c>
      <c r="C149" s="18" t="s">
        <v>101</v>
      </c>
      <c r="D149" s="71" t="s">
        <v>101</v>
      </c>
      <c r="H149" s="25"/>
      <c r="I149" s="26" t="s">
        <v>452</v>
      </c>
    </row>
    <row r="150">
      <c r="A150" s="46"/>
      <c r="B150" s="20" t="s">
        <v>453</v>
      </c>
      <c r="C150" s="18" t="s">
        <v>96</v>
      </c>
      <c r="D150" s="71" t="s">
        <v>101</v>
      </c>
      <c r="H150" s="25"/>
      <c r="I150" s="26" t="s">
        <v>454</v>
      </c>
    </row>
    <row r="151">
      <c r="A151" s="46"/>
      <c r="B151" s="20" t="s">
        <v>455</v>
      </c>
      <c r="C151" s="18" t="s">
        <v>96</v>
      </c>
      <c r="D151" s="71" t="s">
        <v>96</v>
      </c>
      <c r="H151" s="25"/>
      <c r="I151" s="26" t="s">
        <v>456</v>
      </c>
    </row>
    <row r="152">
      <c r="A152" s="46"/>
      <c r="B152" s="20" t="s">
        <v>457</v>
      </c>
      <c r="C152" s="18" t="s">
        <v>215</v>
      </c>
      <c r="D152" s="22" t="s">
        <v>96</v>
      </c>
      <c r="H152" s="25"/>
      <c r="I152" s="26" t="s">
        <v>366</v>
      </c>
    </row>
    <row r="153">
      <c r="A153" s="46"/>
      <c r="B153" s="20" t="s">
        <v>458</v>
      </c>
      <c r="C153" s="18" t="s">
        <v>101</v>
      </c>
      <c r="H153" s="25"/>
      <c r="I153" s="26" t="s">
        <v>459</v>
      </c>
    </row>
    <row r="154">
      <c r="A154" s="46"/>
      <c r="B154" s="20" t="s">
        <v>461</v>
      </c>
      <c r="C154" s="18" t="s">
        <v>39</v>
      </c>
      <c r="D154" s="22" t="s">
        <v>215</v>
      </c>
      <c r="H154" s="25"/>
      <c r="I154" s="26" t="s">
        <v>462</v>
      </c>
    </row>
    <row r="155">
      <c r="A155" s="46"/>
      <c r="B155" s="20" t="s">
        <v>463</v>
      </c>
      <c r="C155" s="18" t="s">
        <v>39</v>
      </c>
      <c r="D155" s="22" t="s">
        <v>101</v>
      </c>
      <c r="H155" s="25"/>
      <c r="I155" s="26" t="s">
        <v>464</v>
      </c>
    </row>
    <row r="156">
      <c r="A156" s="46"/>
      <c r="B156" s="20" t="s">
        <v>465</v>
      </c>
      <c r="C156" s="18" t="s">
        <v>39</v>
      </c>
      <c r="D156" s="22" t="s">
        <v>39</v>
      </c>
      <c r="H156" s="25"/>
      <c r="I156" s="26" t="s">
        <v>466</v>
      </c>
    </row>
    <row r="157">
      <c r="A157" s="46"/>
      <c r="B157" s="20" t="s">
        <v>467</v>
      </c>
      <c r="C157" s="18" t="s">
        <v>39</v>
      </c>
      <c r="D157" s="22" t="s">
        <v>39</v>
      </c>
      <c r="H157" s="25"/>
      <c r="I157" s="26" t="s">
        <v>368</v>
      </c>
    </row>
    <row r="158">
      <c r="A158" s="46"/>
      <c r="B158" s="20" t="s">
        <v>468</v>
      </c>
      <c r="C158" s="18" t="s">
        <v>140</v>
      </c>
      <c r="D158" s="22" t="s">
        <v>39</v>
      </c>
      <c r="H158" s="25"/>
      <c r="I158" s="26" t="s">
        <v>469</v>
      </c>
    </row>
    <row r="159">
      <c r="A159" s="46"/>
      <c r="B159" s="20" t="s">
        <v>470</v>
      </c>
      <c r="C159" s="18" t="s">
        <v>140</v>
      </c>
      <c r="D159" s="22" t="s">
        <v>39</v>
      </c>
      <c r="H159" s="25"/>
      <c r="I159" s="26" t="s">
        <v>471</v>
      </c>
    </row>
    <row r="160">
      <c r="A160" s="46"/>
      <c r="B160" s="20" t="s">
        <v>473</v>
      </c>
      <c r="C160" s="18" t="s">
        <v>215</v>
      </c>
      <c r="D160" s="22" t="s">
        <v>140</v>
      </c>
      <c r="H160" s="25"/>
      <c r="I160" s="26" t="s">
        <v>37</v>
      </c>
    </row>
    <row r="161">
      <c r="A161" s="46"/>
      <c r="B161" s="20" t="s">
        <v>474</v>
      </c>
      <c r="C161" s="18" t="s">
        <v>215</v>
      </c>
      <c r="D161" s="22" t="s">
        <v>140</v>
      </c>
      <c r="H161" s="25"/>
      <c r="I161" s="26" t="s">
        <v>475</v>
      </c>
    </row>
    <row r="162">
      <c r="A162" s="46"/>
      <c r="B162" s="20" t="s">
        <v>476</v>
      </c>
      <c r="C162" s="18" t="s">
        <v>52</v>
      </c>
      <c r="D162" s="22" t="s">
        <v>215</v>
      </c>
      <c r="H162" s="25"/>
      <c r="I162" s="26" t="s">
        <v>477</v>
      </c>
    </row>
    <row r="163">
      <c r="A163" s="46"/>
      <c r="B163" s="20" t="s">
        <v>478</v>
      </c>
      <c r="C163" s="18" t="s">
        <v>52</v>
      </c>
      <c r="D163" s="22" t="s">
        <v>215</v>
      </c>
      <c r="H163" s="25"/>
      <c r="I163" s="26" t="s">
        <v>85</v>
      </c>
    </row>
    <row r="164">
      <c r="A164" s="46"/>
      <c r="B164" s="20" t="s">
        <v>479</v>
      </c>
      <c r="C164" s="18" t="s">
        <v>52</v>
      </c>
      <c r="D164" s="22" t="s">
        <v>52</v>
      </c>
      <c r="H164" s="25"/>
      <c r="I164" s="26" t="s">
        <v>332</v>
      </c>
    </row>
    <row r="165">
      <c r="A165" s="46"/>
      <c r="B165" s="20" t="s">
        <v>480</v>
      </c>
      <c r="C165" s="18" t="s">
        <v>52</v>
      </c>
      <c r="D165" s="22" t="s">
        <v>52</v>
      </c>
      <c r="H165" s="25"/>
      <c r="I165" s="26" t="s">
        <v>481</v>
      </c>
    </row>
    <row r="166">
      <c r="A166" s="46"/>
      <c r="B166" s="20" t="s">
        <v>482</v>
      </c>
      <c r="C166" s="18" t="s">
        <v>52</v>
      </c>
      <c r="D166" s="22" t="s">
        <v>52</v>
      </c>
      <c r="H166" s="25"/>
      <c r="I166" s="26" t="s">
        <v>483</v>
      </c>
    </row>
    <row r="167">
      <c r="A167" s="46"/>
      <c r="B167" s="20" t="s">
        <v>484</v>
      </c>
      <c r="C167" s="18" t="s">
        <v>52</v>
      </c>
      <c r="D167" s="22" t="s">
        <v>52</v>
      </c>
      <c r="H167" s="25"/>
      <c r="I167" s="26" t="s">
        <v>485</v>
      </c>
    </row>
    <row r="168">
      <c r="A168" s="46"/>
      <c r="B168" s="20" t="s">
        <v>486</v>
      </c>
      <c r="C168" s="18" t="s">
        <v>52</v>
      </c>
      <c r="D168" s="22" t="s">
        <v>52</v>
      </c>
      <c r="H168" s="25"/>
      <c r="I168" s="26" t="s">
        <v>389</v>
      </c>
    </row>
    <row r="169">
      <c r="A169" s="46"/>
      <c r="B169" s="20" t="s">
        <v>487</v>
      </c>
      <c r="C169" s="18" t="s">
        <v>39</v>
      </c>
      <c r="D169" s="22" t="s">
        <v>52</v>
      </c>
      <c r="H169" s="25"/>
      <c r="I169" s="26" t="s">
        <v>38</v>
      </c>
    </row>
    <row r="170">
      <c r="A170" s="46"/>
      <c r="B170" s="20" t="s">
        <v>488</v>
      </c>
      <c r="C170" s="18" t="s">
        <v>107</v>
      </c>
      <c r="D170" s="22" t="s">
        <v>52</v>
      </c>
      <c r="H170" s="25"/>
      <c r="I170" s="26" t="s">
        <v>489</v>
      </c>
    </row>
    <row r="171">
      <c r="A171" s="46"/>
      <c r="B171" s="20" t="s">
        <v>490</v>
      </c>
      <c r="C171" s="18" t="s">
        <v>107</v>
      </c>
      <c r="D171" s="22" t="s">
        <v>39</v>
      </c>
      <c r="H171" s="25"/>
      <c r="I171" s="26" t="s">
        <v>151</v>
      </c>
    </row>
    <row r="172">
      <c r="A172" s="46"/>
      <c r="B172" s="20" t="s">
        <v>491</v>
      </c>
      <c r="C172" s="18" t="s">
        <v>107</v>
      </c>
      <c r="D172" s="22" t="s">
        <v>107</v>
      </c>
      <c r="H172" s="25"/>
      <c r="I172" s="26" t="s">
        <v>492</v>
      </c>
    </row>
    <row r="173">
      <c r="A173" s="46"/>
      <c r="B173" s="20" t="s">
        <v>493</v>
      </c>
      <c r="C173" s="18" t="s">
        <v>107</v>
      </c>
      <c r="D173" s="22" t="s">
        <v>107</v>
      </c>
      <c r="H173" s="25"/>
      <c r="I173" s="26" t="s">
        <v>494</v>
      </c>
    </row>
    <row r="174">
      <c r="A174" s="46"/>
      <c r="B174" s="20" t="s">
        <v>495</v>
      </c>
      <c r="C174" s="18" t="s">
        <v>107</v>
      </c>
      <c r="D174" s="22" t="s">
        <v>107</v>
      </c>
      <c r="H174" s="25"/>
      <c r="I174" s="26" t="s">
        <v>300</v>
      </c>
    </row>
    <row r="175">
      <c r="A175" s="46"/>
      <c r="B175" s="20" t="s">
        <v>496</v>
      </c>
      <c r="C175" s="18" t="s">
        <v>107</v>
      </c>
      <c r="D175" s="22" t="s">
        <v>107</v>
      </c>
      <c r="H175" s="25"/>
      <c r="I175" s="26" t="s">
        <v>91</v>
      </c>
    </row>
    <row r="176">
      <c r="A176" s="46"/>
      <c r="B176" s="20" t="s">
        <v>497</v>
      </c>
      <c r="C176" s="18" t="s">
        <v>78</v>
      </c>
      <c r="D176" s="22" t="s">
        <v>107</v>
      </c>
      <c r="H176" s="25"/>
      <c r="I176" s="26" t="s">
        <v>498</v>
      </c>
    </row>
    <row r="177">
      <c r="A177" s="46"/>
      <c r="B177" s="20" t="s">
        <v>499</v>
      </c>
      <c r="C177" s="18" t="s">
        <v>78</v>
      </c>
      <c r="D177" s="22" t="s">
        <v>107</v>
      </c>
      <c r="H177" s="25"/>
      <c r="I177" s="26" t="s">
        <v>500</v>
      </c>
    </row>
    <row r="178">
      <c r="A178" s="46"/>
      <c r="B178" s="20" t="s">
        <v>501</v>
      </c>
      <c r="C178" s="18" t="s">
        <v>96</v>
      </c>
      <c r="D178" s="22" t="s">
        <v>78</v>
      </c>
      <c r="H178" s="25"/>
      <c r="I178" s="26" t="s">
        <v>502</v>
      </c>
    </row>
    <row r="179">
      <c r="A179" s="46"/>
      <c r="B179" s="20" t="s">
        <v>503</v>
      </c>
      <c r="C179" s="18" t="s">
        <v>96</v>
      </c>
      <c r="D179" s="22" t="s">
        <v>78</v>
      </c>
      <c r="H179" s="25"/>
      <c r="I179" s="26" t="s">
        <v>327</v>
      </c>
    </row>
    <row r="180">
      <c r="A180" s="46"/>
      <c r="B180" s="20" t="s">
        <v>504</v>
      </c>
      <c r="C180" s="18" t="s">
        <v>31</v>
      </c>
      <c r="D180" s="22" t="s">
        <v>96</v>
      </c>
      <c r="H180" s="25"/>
      <c r="I180" s="26" t="s">
        <v>505</v>
      </c>
    </row>
    <row r="181">
      <c r="A181" s="46"/>
      <c r="B181" s="20" t="s">
        <v>506</v>
      </c>
      <c r="C181" s="18" t="s">
        <v>31</v>
      </c>
      <c r="D181" s="22" t="s">
        <v>96</v>
      </c>
      <c r="H181" s="25"/>
      <c r="I181" s="26" t="s">
        <v>407</v>
      </c>
    </row>
    <row r="182">
      <c r="A182" s="46"/>
      <c r="B182" s="20" t="s">
        <v>507</v>
      </c>
      <c r="C182" s="18" t="s">
        <v>107</v>
      </c>
      <c r="D182" s="22" t="s">
        <v>31</v>
      </c>
      <c r="H182" s="25"/>
      <c r="I182" s="26" t="s">
        <v>285</v>
      </c>
    </row>
    <row r="183">
      <c r="A183" s="46"/>
      <c r="B183" s="20" t="s">
        <v>508</v>
      </c>
      <c r="C183" s="18" t="s">
        <v>52</v>
      </c>
      <c r="D183" s="22" t="s">
        <v>31</v>
      </c>
      <c r="H183" s="25"/>
      <c r="I183" s="26" t="s">
        <v>184</v>
      </c>
    </row>
    <row r="184">
      <c r="A184" s="46"/>
      <c r="B184" s="20" t="s">
        <v>509</v>
      </c>
      <c r="C184" s="18" t="s">
        <v>52</v>
      </c>
      <c r="H184" s="25"/>
      <c r="I184" s="26" t="s">
        <v>510</v>
      </c>
    </row>
    <row r="185">
      <c r="A185" s="46"/>
      <c r="B185" s="20"/>
      <c r="C185" s="30" t="s">
        <v>122</v>
      </c>
      <c r="D185" s="22" t="s">
        <v>52</v>
      </c>
      <c r="H185" s="25"/>
      <c r="I185" s="26" t="s">
        <v>511</v>
      </c>
    </row>
    <row r="186">
      <c r="A186" s="46"/>
      <c r="D186" s="22" t="s">
        <v>107</v>
      </c>
      <c r="H186" s="25"/>
      <c r="I186" s="26" t="s">
        <v>414</v>
      </c>
    </row>
    <row r="187">
      <c r="A187" s="46"/>
      <c r="D187" s="22" t="s">
        <v>52</v>
      </c>
      <c r="H187" s="25"/>
      <c r="I187" s="26" t="s">
        <v>410</v>
      </c>
    </row>
    <row r="188">
      <c r="A188" s="46"/>
      <c r="D188" s="22" t="s">
        <v>52</v>
      </c>
      <c r="H188" s="25"/>
      <c r="I188" s="26" t="s">
        <v>513</v>
      </c>
    </row>
    <row r="189">
      <c r="A189" s="46"/>
      <c r="B189" s="20"/>
      <c r="C189" s="18"/>
      <c r="H189" s="25"/>
      <c r="I189" s="26" t="s">
        <v>514</v>
      </c>
    </row>
    <row r="190">
      <c r="A190" s="46"/>
      <c r="B190" s="20"/>
      <c r="C190" s="18"/>
      <c r="H190" s="25"/>
      <c r="I190" s="26" t="s">
        <v>224</v>
      </c>
    </row>
    <row r="191">
      <c r="A191" s="46"/>
      <c r="B191" s="20"/>
      <c r="C191" s="18"/>
      <c r="H191" s="25"/>
      <c r="I191" s="26" t="s">
        <v>515</v>
      </c>
    </row>
    <row r="192">
      <c r="A192" s="46"/>
      <c r="B192" s="20"/>
      <c r="C192" s="18"/>
      <c r="H192" s="25"/>
      <c r="I192" s="26" t="s">
        <v>516</v>
      </c>
    </row>
    <row r="193">
      <c r="A193" s="46"/>
      <c r="B193" s="20"/>
      <c r="C193" s="18"/>
      <c r="H193" s="25"/>
      <c r="I193" s="26" t="s">
        <v>517</v>
      </c>
    </row>
    <row r="194">
      <c r="A194" s="46"/>
      <c r="B194" s="20"/>
      <c r="C194" s="18"/>
      <c r="H194" s="25"/>
      <c r="I194" s="26" t="s">
        <v>391</v>
      </c>
    </row>
    <row r="195">
      <c r="A195" s="46"/>
      <c r="B195" s="20"/>
      <c r="C195" s="18"/>
      <c r="H195" s="25"/>
      <c r="I195" s="26" t="s">
        <v>518</v>
      </c>
    </row>
    <row r="196">
      <c r="A196" s="46"/>
      <c r="B196" s="20"/>
      <c r="C196" s="18"/>
      <c r="H196" s="25"/>
      <c r="I196" s="26" t="s">
        <v>519</v>
      </c>
    </row>
    <row r="197">
      <c r="A197" s="46"/>
      <c r="B197" s="20"/>
      <c r="C197" s="18"/>
      <c r="H197" s="25"/>
      <c r="I197" s="26" t="s">
        <v>521</v>
      </c>
    </row>
    <row r="198">
      <c r="A198" s="46"/>
      <c r="B198" s="20"/>
      <c r="C198" s="18"/>
      <c r="H198" s="25"/>
      <c r="I198" s="26" t="s">
        <v>350</v>
      </c>
    </row>
    <row r="199">
      <c r="A199" s="46"/>
      <c r="B199" s="20"/>
      <c r="C199" s="18"/>
      <c r="H199" s="25"/>
      <c r="I199" s="26" t="s">
        <v>522</v>
      </c>
    </row>
    <row r="200">
      <c r="A200" s="46"/>
      <c r="B200" s="20"/>
      <c r="C200" s="18"/>
      <c r="H200" s="25"/>
      <c r="I200" s="26" t="s">
        <v>523</v>
      </c>
    </row>
    <row r="201">
      <c r="A201" s="46"/>
      <c r="B201" s="20"/>
      <c r="C201" s="18"/>
      <c r="H201" s="25"/>
      <c r="I201" s="26" t="s">
        <v>252</v>
      </c>
    </row>
    <row r="202">
      <c r="A202" s="46"/>
      <c r="B202" s="20"/>
      <c r="C202" s="18"/>
      <c r="H202" s="25"/>
      <c r="I202" s="26" t="s">
        <v>97</v>
      </c>
    </row>
    <row r="203">
      <c r="A203" s="46"/>
      <c r="B203" s="20"/>
      <c r="C203" s="18"/>
      <c r="H203" s="25"/>
      <c r="I203" s="26" t="s">
        <v>526</v>
      </c>
    </row>
    <row r="204">
      <c r="A204" s="46"/>
      <c r="B204" s="20"/>
      <c r="C204" s="18"/>
      <c r="H204" s="25"/>
      <c r="I204" s="26" t="s">
        <v>527</v>
      </c>
    </row>
    <row r="205">
      <c r="A205" s="46"/>
      <c r="B205" s="20"/>
      <c r="C205" s="18"/>
      <c r="H205" s="25"/>
      <c r="I205" s="26" t="s">
        <v>528</v>
      </c>
    </row>
    <row r="206">
      <c r="A206" s="46"/>
      <c r="B206" s="20"/>
      <c r="H206" s="25"/>
      <c r="I206" s="26" t="s">
        <v>529</v>
      </c>
    </row>
    <row r="207">
      <c r="A207" s="46"/>
      <c r="B207" s="20"/>
      <c r="H207" s="25"/>
      <c r="I207" s="26" t="s">
        <v>198</v>
      </c>
    </row>
    <row r="208">
      <c r="A208" s="46"/>
      <c r="B208" s="20"/>
      <c r="H208" s="25"/>
      <c r="I208" s="26" t="s">
        <v>329</v>
      </c>
    </row>
    <row r="209">
      <c r="A209" s="25"/>
      <c r="B209" s="25"/>
      <c r="H209" s="25"/>
      <c r="I209" s="26" t="s">
        <v>532</v>
      </c>
    </row>
    <row r="210">
      <c r="A210" s="25"/>
      <c r="B210" s="25"/>
      <c r="H210" s="25"/>
      <c r="I210" s="26" t="s">
        <v>533</v>
      </c>
    </row>
    <row r="211">
      <c r="A211" s="25"/>
      <c r="B211" s="25"/>
      <c r="H211" s="25"/>
      <c r="I211" s="26" t="s">
        <v>102</v>
      </c>
    </row>
    <row r="212">
      <c r="A212" s="25"/>
      <c r="B212" s="25"/>
      <c r="H212" s="25"/>
      <c r="I212" s="26" t="s">
        <v>255</v>
      </c>
    </row>
    <row r="213">
      <c r="A213" s="25"/>
      <c r="B213" s="25"/>
      <c r="H213" s="25"/>
      <c r="I213" s="26" t="s">
        <v>436</v>
      </c>
    </row>
    <row r="214">
      <c r="A214" s="25"/>
      <c r="B214" s="25"/>
      <c r="H214" s="25"/>
      <c r="I214" s="26" t="s">
        <v>290</v>
      </c>
    </row>
    <row r="215">
      <c r="A215" s="25"/>
      <c r="B215" s="25"/>
      <c r="H215" s="25"/>
      <c r="I215" s="26" t="s">
        <v>534</v>
      </c>
    </row>
    <row r="216">
      <c r="A216" s="25"/>
      <c r="B216" s="25"/>
      <c r="H216" s="25"/>
      <c r="I216" s="26" t="s">
        <v>535</v>
      </c>
    </row>
    <row r="217">
      <c r="A217" s="25"/>
      <c r="B217" s="25"/>
      <c r="H217" s="25"/>
      <c r="I217" s="26" t="s">
        <v>536</v>
      </c>
    </row>
    <row r="218">
      <c r="A218" s="25"/>
      <c r="B218" s="25"/>
      <c r="H218" s="25"/>
      <c r="I218" s="26" t="s">
        <v>393</v>
      </c>
    </row>
    <row r="219">
      <c r="A219" s="25"/>
      <c r="B219" s="25"/>
      <c r="H219" s="25"/>
      <c r="I219" s="26" t="s">
        <v>539</v>
      </c>
    </row>
    <row r="220">
      <c r="A220" s="25"/>
      <c r="B220" s="25"/>
      <c r="H220" s="25"/>
      <c r="I220" s="26" t="s">
        <v>540</v>
      </c>
    </row>
    <row r="221">
      <c r="A221" s="25"/>
      <c r="B221" s="25"/>
      <c r="H221" s="25"/>
      <c r="I221" s="26" t="s">
        <v>295</v>
      </c>
    </row>
    <row r="222">
      <c r="A222" s="25"/>
      <c r="B222" s="25"/>
      <c r="H222" s="25"/>
      <c r="I222" s="26" t="s">
        <v>108</v>
      </c>
    </row>
    <row r="223">
      <c r="A223" s="25"/>
      <c r="B223" s="25"/>
      <c r="H223" s="25"/>
      <c r="I223" s="26" t="s">
        <v>541</v>
      </c>
    </row>
    <row r="224">
      <c r="A224" s="25"/>
      <c r="B224" s="25"/>
      <c r="H224" s="25"/>
      <c r="I224" s="26" t="s">
        <v>542</v>
      </c>
    </row>
    <row r="225">
      <c r="A225" s="25"/>
      <c r="B225" s="25"/>
      <c r="H225" s="25"/>
      <c r="I225" s="26" t="s">
        <v>543</v>
      </c>
    </row>
    <row r="226">
      <c r="A226" s="25"/>
      <c r="B226" s="25"/>
      <c r="H226" s="25"/>
      <c r="I226" s="26" t="s">
        <v>544</v>
      </c>
    </row>
    <row r="227">
      <c r="A227" s="25"/>
      <c r="B227" s="25"/>
      <c r="H227" s="25"/>
      <c r="I227" s="26" t="s">
        <v>297</v>
      </c>
    </row>
    <row r="228">
      <c r="A228" s="25"/>
      <c r="B228" s="25"/>
      <c r="H228" s="25"/>
      <c r="I228" s="26" t="s">
        <v>226</v>
      </c>
    </row>
    <row r="229">
      <c r="A229" s="25"/>
      <c r="B229" s="25"/>
      <c r="H229" s="25"/>
      <c r="I229" s="26" t="s">
        <v>331</v>
      </c>
    </row>
    <row r="230">
      <c r="A230" s="25"/>
      <c r="B230" s="25"/>
      <c r="H230" s="25"/>
      <c r="I230" s="26" t="s">
        <v>547</v>
      </c>
    </row>
    <row r="231">
      <c r="A231" s="25"/>
      <c r="B231" s="25"/>
      <c r="H231" s="25"/>
      <c r="I231" s="26" t="s">
        <v>160</v>
      </c>
    </row>
    <row r="232">
      <c r="A232" s="25"/>
      <c r="B232" s="25"/>
      <c r="H232" s="25"/>
      <c r="I232" s="26" t="s">
        <v>103</v>
      </c>
    </row>
    <row r="233">
      <c r="A233" s="25"/>
      <c r="B233" s="25"/>
      <c r="H233" s="25"/>
      <c r="I233" s="26" t="s">
        <v>548</v>
      </c>
    </row>
    <row r="234">
      <c r="A234" s="25"/>
      <c r="B234" s="25"/>
      <c r="H234" s="25"/>
      <c r="I234" s="26" t="s">
        <v>202</v>
      </c>
    </row>
    <row r="235">
      <c r="A235" s="25"/>
      <c r="B235" s="25"/>
      <c r="H235" s="25"/>
      <c r="I235" s="26" t="s">
        <v>550</v>
      </c>
    </row>
    <row r="236">
      <c r="A236" s="25"/>
      <c r="B236" s="25"/>
      <c r="H236" s="25"/>
      <c r="I236" s="26" t="s">
        <v>551</v>
      </c>
    </row>
    <row r="237">
      <c r="A237" s="25"/>
      <c r="B237" s="25"/>
      <c r="H237" s="25"/>
      <c r="I237" s="26" t="s">
        <v>552</v>
      </c>
    </row>
    <row r="238">
      <c r="A238" s="25"/>
      <c r="B238" s="25"/>
      <c r="H238" s="25"/>
      <c r="I238" s="26" t="s">
        <v>352</v>
      </c>
    </row>
    <row r="239">
      <c r="A239" s="25"/>
      <c r="B239" s="25"/>
      <c r="H239" s="25"/>
      <c r="I239" s="26" t="s">
        <v>553</v>
      </c>
    </row>
    <row r="240">
      <c r="A240" s="25"/>
      <c r="B240" s="25"/>
      <c r="H240" s="25"/>
      <c r="I240" s="26" t="s">
        <v>554</v>
      </c>
    </row>
    <row r="241">
      <c r="A241" s="25"/>
      <c r="B241" s="25"/>
      <c r="H241" s="25"/>
      <c r="I241" s="26" t="s">
        <v>299</v>
      </c>
    </row>
    <row r="242">
      <c r="A242" s="25"/>
      <c r="B242" s="25"/>
      <c r="H242" s="25"/>
      <c r="I242" s="26" t="s">
        <v>555</v>
      </c>
    </row>
    <row r="243">
      <c r="A243" s="25"/>
      <c r="B243" s="25"/>
      <c r="H243" s="25"/>
      <c r="I243" s="26" t="s">
        <v>556</v>
      </c>
    </row>
    <row r="244">
      <c r="A244" s="25"/>
      <c r="B244" s="25"/>
      <c r="H244" s="25"/>
      <c r="I244" s="26" t="s">
        <v>319</v>
      </c>
    </row>
    <row r="245">
      <c r="A245" s="25"/>
      <c r="B245" s="25"/>
      <c r="H245" s="25"/>
      <c r="I245" s="26" t="s">
        <v>557</v>
      </c>
    </row>
    <row r="246">
      <c r="A246" s="25"/>
      <c r="B246" s="25"/>
      <c r="H246" s="25"/>
      <c r="I246" s="26" t="s">
        <v>433</v>
      </c>
    </row>
    <row r="247">
      <c r="A247" s="25"/>
      <c r="B247" s="25"/>
      <c r="H247" s="25"/>
      <c r="I247" s="26" t="s">
        <v>99</v>
      </c>
    </row>
    <row r="248">
      <c r="A248" s="25"/>
      <c r="B248" s="25"/>
      <c r="H248" s="25"/>
      <c r="I248" s="26" t="s">
        <v>560</v>
      </c>
    </row>
    <row r="249">
      <c r="A249" s="25"/>
      <c r="B249" s="25"/>
      <c r="H249" s="25"/>
      <c r="I249" s="26" t="s">
        <v>561</v>
      </c>
    </row>
    <row r="250">
      <c r="A250" s="25"/>
      <c r="B250" s="25"/>
      <c r="H250" s="25"/>
      <c r="I250" s="26" t="s">
        <v>373</v>
      </c>
    </row>
    <row r="251">
      <c r="A251" s="25"/>
      <c r="B251" s="25"/>
      <c r="H251" s="25"/>
      <c r="I251" s="26" t="s">
        <v>562</v>
      </c>
    </row>
    <row r="252">
      <c r="A252" s="25"/>
      <c r="B252" s="25"/>
      <c r="H252" s="25"/>
      <c r="I252" s="26" t="s">
        <v>113</v>
      </c>
    </row>
    <row r="253">
      <c r="A253" s="25"/>
      <c r="B253" s="25"/>
      <c r="H253" s="25"/>
      <c r="I253" s="26" t="s">
        <v>396</v>
      </c>
    </row>
    <row r="254">
      <c r="A254" s="25"/>
      <c r="B254" s="25"/>
      <c r="H254" s="25"/>
      <c r="I254" s="26" t="s">
        <v>265</v>
      </c>
    </row>
    <row r="255">
      <c r="A255" s="25"/>
      <c r="B255" s="25"/>
      <c r="H255" s="25"/>
      <c r="I255" s="26" t="s">
        <v>311</v>
      </c>
    </row>
    <row r="256">
      <c r="A256" s="25"/>
      <c r="B256" s="25"/>
      <c r="H256" s="25"/>
      <c r="I256" s="26" t="s">
        <v>257</v>
      </c>
    </row>
    <row r="257">
      <c r="A257" s="25"/>
      <c r="B257" s="25"/>
      <c r="H257" s="25"/>
      <c r="I257" s="26" t="s">
        <v>564</v>
      </c>
    </row>
    <row r="258">
      <c r="A258" s="25"/>
      <c r="B258" s="25"/>
      <c r="H258" s="25"/>
      <c r="I258" s="26" t="s">
        <v>565</v>
      </c>
    </row>
    <row r="259">
      <c r="A259" s="25"/>
      <c r="B259" s="25"/>
      <c r="H259" s="25"/>
      <c r="I259" s="26" t="s">
        <v>566</v>
      </c>
    </row>
    <row r="260">
      <c r="A260" s="25"/>
      <c r="B260" s="25"/>
      <c r="H260" s="25"/>
      <c r="I260" s="26" t="s">
        <v>568</v>
      </c>
    </row>
    <row r="261">
      <c r="A261" s="25"/>
      <c r="B261" s="25"/>
      <c r="H261" s="25"/>
      <c r="I261" s="26" t="s">
        <v>569</v>
      </c>
    </row>
    <row r="262">
      <c r="A262" s="25"/>
      <c r="B262" s="25"/>
      <c r="H262" s="25"/>
      <c r="I262" s="26" t="s">
        <v>570</v>
      </c>
    </row>
    <row r="263">
      <c r="A263" s="25"/>
      <c r="B263" s="25"/>
      <c r="H263" s="25"/>
      <c r="I263" s="26" t="s">
        <v>571</v>
      </c>
    </row>
    <row r="264">
      <c r="A264" s="25"/>
      <c r="B264" s="25"/>
      <c r="H264" s="25"/>
      <c r="I264" s="26" t="s">
        <v>572</v>
      </c>
    </row>
    <row r="265">
      <c r="A265" s="25"/>
      <c r="B265" s="25"/>
      <c r="H265" s="25"/>
      <c r="I265" s="26" t="s">
        <v>573</v>
      </c>
    </row>
    <row r="266">
      <c r="A266" s="25"/>
      <c r="B266" s="25"/>
      <c r="H266" s="25"/>
      <c r="I266" s="26" t="s">
        <v>472</v>
      </c>
    </row>
    <row r="267">
      <c r="A267" s="25"/>
      <c r="B267" s="25"/>
      <c r="H267" s="25"/>
      <c r="I267" s="26" t="s">
        <v>575</v>
      </c>
    </row>
    <row r="268">
      <c r="A268" s="25"/>
      <c r="B268" s="25"/>
      <c r="H268" s="25"/>
      <c r="I268" s="26" t="s">
        <v>259</v>
      </c>
    </row>
    <row r="269">
      <c r="A269" s="25"/>
      <c r="B269" s="25"/>
      <c r="H269" s="25"/>
      <c r="I269" s="26" t="s">
        <v>416</v>
      </c>
    </row>
    <row r="270">
      <c r="A270" s="25"/>
      <c r="B270" s="25"/>
      <c r="H270" s="25"/>
      <c r="I270" s="26" t="s">
        <v>577</v>
      </c>
    </row>
    <row r="271">
      <c r="A271" s="25"/>
      <c r="B271" s="25"/>
      <c r="H271" s="25"/>
      <c r="I271" s="26" t="s">
        <v>579</v>
      </c>
    </row>
    <row r="272">
      <c r="A272" s="25"/>
      <c r="B272" s="25"/>
      <c r="H272" s="25"/>
      <c r="I272" s="26" t="s">
        <v>580</v>
      </c>
    </row>
    <row r="273">
      <c r="A273" s="25"/>
      <c r="B273" s="25"/>
      <c r="H273" s="25"/>
      <c r="I273" s="26" t="s">
        <v>377</v>
      </c>
    </row>
    <row r="274">
      <c r="A274" s="25"/>
      <c r="B274" s="25"/>
      <c r="H274" s="25"/>
      <c r="I274" s="26" t="s">
        <v>581</v>
      </c>
    </row>
    <row r="275">
      <c r="A275" s="25"/>
      <c r="B275" s="25"/>
      <c r="H275" s="25"/>
      <c r="I275" s="26" t="s">
        <v>582</v>
      </c>
    </row>
    <row r="276">
      <c r="A276" s="25"/>
      <c r="B276" s="25"/>
      <c r="H276" s="25"/>
      <c r="I276" s="26" t="s">
        <v>583</v>
      </c>
    </row>
    <row r="277">
      <c r="A277" s="25"/>
      <c r="B277" s="25"/>
      <c r="H277" s="25"/>
      <c r="I277" s="26" t="s">
        <v>584</v>
      </c>
    </row>
    <row r="278">
      <c r="A278" s="25"/>
      <c r="B278" s="25"/>
      <c r="H278" s="25"/>
      <c r="I278" s="26" t="s">
        <v>585</v>
      </c>
    </row>
    <row r="279">
      <c r="A279" s="25"/>
      <c r="B279" s="25"/>
      <c r="H279" s="25"/>
      <c r="I279" s="26" t="s">
        <v>261</v>
      </c>
    </row>
    <row r="280">
      <c r="A280" s="25"/>
      <c r="B280" s="25"/>
      <c r="H280" s="25"/>
      <c r="I280" s="26" t="s">
        <v>586</v>
      </c>
    </row>
    <row r="281">
      <c r="A281" s="25"/>
      <c r="B281" s="25"/>
      <c r="H281" s="25"/>
      <c r="I281" s="26" t="s">
        <v>587</v>
      </c>
    </row>
    <row r="282">
      <c r="A282" s="25"/>
      <c r="B282" s="25"/>
      <c r="H282" s="25"/>
      <c r="I282" s="26" t="s">
        <v>589</v>
      </c>
    </row>
    <row r="283">
      <c r="A283" s="25"/>
      <c r="B283" s="25"/>
      <c r="H283" s="25"/>
      <c r="I283" s="26" t="s">
        <v>118</v>
      </c>
    </row>
    <row r="284">
      <c r="A284" s="25"/>
      <c r="B284" s="25"/>
      <c r="H284" s="25"/>
      <c r="I284" s="26" t="s">
        <v>590</v>
      </c>
    </row>
    <row r="285">
      <c r="A285" s="25"/>
      <c r="B285" s="25"/>
      <c r="H285" s="25"/>
      <c r="I285" s="26" t="s">
        <v>105</v>
      </c>
    </row>
    <row r="286">
      <c r="A286" s="25"/>
      <c r="B286" s="25"/>
      <c r="H286" s="25"/>
      <c r="I286" s="26" t="s">
        <v>591</v>
      </c>
    </row>
    <row r="287">
      <c r="A287" s="25"/>
      <c r="B287" s="25"/>
      <c r="H287" s="25"/>
      <c r="I287" s="26" t="s">
        <v>427</v>
      </c>
    </row>
    <row r="288">
      <c r="A288" s="25"/>
      <c r="B288" s="25"/>
      <c r="H288" s="25"/>
      <c r="I288" s="26" t="s">
        <v>593</v>
      </c>
    </row>
    <row r="289">
      <c r="A289" s="25"/>
      <c r="B289" s="25"/>
      <c r="H289" s="25"/>
      <c r="I289" s="26" t="s">
        <v>594</v>
      </c>
    </row>
    <row r="290">
      <c r="A290" s="25"/>
      <c r="B290" s="25"/>
      <c r="H290" s="25"/>
      <c r="I290" s="26" t="s">
        <v>595</v>
      </c>
    </row>
    <row r="291">
      <c r="A291" s="25"/>
      <c r="B291" s="25"/>
      <c r="H291" s="25"/>
      <c r="I291" s="26" t="s">
        <v>596</v>
      </c>
    </row>
    <row r="292">
      <c r="A292" s="25"/>
      <c r="B292" s="25"/>
      <c r="H292" s="25"/>
      <c r="I292" s="26" t="s">
        <v>317</v>
      </c>
    </row>
    <row r="293">
      <c r="A293" s="25"/>
      <c r="B293" s="25"/>
      <c r="H293" s="25"/>
      <c r="I293" s="26" t="s">
        <v>597</v>
      </c>
    </row>
    <row r="294">
      <c r="A294" s="25"/>
      <c r="B294" s="25"/>
      <c r="H294" s="25"/>
      <c r="I294" s="26" t="s">
        <v>230</v>
      </c>
    </row>
    <row r="295">
      <c r="A295" s="25"/>
      <c r="B295" s="25"/>
      <c r="H295" s="25"/>
      <c r="I295" s="26" t="s">
        <v>599</v>
      </c>
    </row>
    <row r="296">
      <c r="A296" s="25"/>
      <c r="B296" s="25"/>
      <c r="H296" s="25"/>
      <c r="I296" s="26" t="s">
        <v>600</v>
      </c>
    </row>
    <row r="297">
      <c r="A297" s="25"/>
      <c r="B297" s="25"/>
      <c r="H297" s="25"/>
      <c r="I297" s="26" t="s">
        <v>167</v>
      </c>
    </row>
    <row r="298">
      <c r="A298" s="25"/>
      <c r="B298" s="25"/>
      <c r="H298" s="25"/>
      <c r="I298" s="26" t="s">
        <v>601</v>
      </c>
    </row>
    <row r="299">
      <c r="A299" s="25"/>
      <c r="B299" s="25"/>
      <c r="H299" s="25"/>
      <c r="I299" s="26" t="s">
        <v>380</v>
      </c>
    </row>
    <row r="300">
      <c r="A300" s="25"/>
      <c r="B300" s="25"/>
      <c r="H300" s="25"/>
      <c r="I300" s="26" t="s">
        <v>233</v>
      </c>
    </row>
    <row r="301">
      <c r="A301" s="25"/>
      <c r="B301" s="25"/>
      <c r="H301" s="25"/>
      <c r="I301" s="26" t="s">
        <v>603</v>
      </c>
    </row>
    <row r="302">
      <c r="A302" s="25"/>
      <c r="B302" s="25"/>
      <c r="H302" s="25"/>
      <c r="I302" s="26" t="s">
        <v>604</v>
      </c>
    </row>
    <row r="303">
      <c r="A303" s="25"/>
      <c r="B303" s="25"/>
      <c r="H303" s="25"/>
      <c r="I303" s="26" t="s">
        <v>605</v>
      </c>
    </row>
    <row r="304">
      <c r="A304" s="25"/>
      <c r="B304" s="25"/>
      <c r="H304" s="25"/>
      <c r="I304" s="26" t="s">
        <v>608</v>
      </c>
    </row>
    <row r="305">
      <c r="A305" s="25"/>
      <c r="B305" s="25"/>
      <c r="H305" s="25"/>
      <c r="I305" s="26" t="s">
        <v>125</v>
      </c>
    </row>
    <row r="306">
      <c r="A306" s="25"/>
      <c r="B306" s="25"/>
      <c r="H306" s="25"/>
      <c r="I306" s="26" t="s">
        <v>609</v>
      </c>
    </row>
    <row r="307">
      <c r="A307" s="25"/>
      <c r="B307" s="25"/>
      <c r="H307" s="25"/>
      <c r="I307" s="26" t="s">
        <v>117</v>
      </c>
    </row>
    <row r="308">
      <c r="A308" s="25"/>
      <c r="B308" s="25"/>
      <c r="H308" s="25"/>
      <c r="I308" s="26" t="s">
        <v>136</v>
      </c>
    </row>
    <row r="309">
      <c r="A309" s="25"/>
      <c r="B309" s="25"/>
      <c r="H309" s="25"/>
      <c r="I309" s="26" t="s">
        <v>610</v>
      </c>
    </row>
    <row r="310">
      <c r="A310" s="25"/>
      <c r="B310" s="25"/>
      <c r="H310" s="25"/>
      <c r="I310" s="26" t="s">
        <v>401</v>
      </c>
    </row>
    <row r="311">
      <c r="A311" s="25"/>
      <c r="B311" s="25"/>
      <c r="H311" s="25"/>
      <c r="I311" s="26" t="s">
        <v>612</v>
      </c>
    </row>
    <row r="312">
      <c r="A312" s="25"/>
      <c r="B312" s="25"/>
      <c r="H312" s="25"/>
      <c r="I312" s="26" t="s">
        <v>613</v>
      </c>
    </row>
    <row r="313">
      <c r="A313" s="25"/>
      <c r="B313" s="25"/>
      <c r="H313" s="25"/>
      <c r="I313" s="26" t="s">
        <v>615</v>
      </c>
    </row>
    <row r="314">
      <c r="A314" s="25"/>
      <c r="B314" s="25"/>
      <c r="H314" s="25"/>
      <c r="I314" s="26" t="s">
        <v>616</v>
      </c>
    </row>
    <row r="315">
      <c r="A315" s="25"/>
      <c r="B315" s="25"/>
      <c r="H315" s="25"/>
      <c r="I315" s="26" t="s">
        <v>619</v>
      </c>
    </row>
    <row r="316">
      <c r="A316" s="25"/>
      <c r="B316" s="25"/>
      <c r="H316" s="25"/>
      <c r="I316" s="26" t="s">
        <v>277</v>
      </c>
    </row>
    <row r="317">
      <c r="A317" s="25"/>
      <c r="B317" s="25"/>
      <c r="H317" s="25"/>
      <c r="I317" s="26" t="s">
        <v>205</v>
      </c>
    </row>
    <row r="318">
      <c r="A318" s="25"/>
      <c r="B318" s="25"/>
      <c r="H318" s="25"/>
      <c r="I318" s="26" t="s">
        <v>288</v>
      </c>
    </row>
    <row r="319">
      <c r="A319" s="25"/>
      <c r="B319" s="25"/>
      <c r="H319" s="25"/>
      <c r="I319" s="26" t="s">
        <v>620</v>
      </c>
    </row>
    <row r="320">
      <c r="A320" s="25"/>
      <c r="B320" s="25"/>
      <c r="H320" s="25"/>
      <c r="I320" s="26" t="s">
        <v>622</v>
      </c>
    </row>
    <row r="321">
      <c r="A321" s="25"/>
      <c r="B321" s="25"/>
      <c r="H321" s="25"/>
      <c r="I321" s="26" t="s">
        <v>623</v>
      </c>
    </row>
    <row r="322">
      <c r="A322" s="25"/>
      <c r="B322" s="25"/>
      <c r="H322" s="25"/>
      <c r="I322" s="26" t="s">
        <v>624</v>
      </c>
    </row>
    <row r="323">
      <c r="A323" s="25"/>
      <c r="B323" s="25"/>
      <c r="H323" s="25"/>
      <c r="I323" s="26" t="s">
        <v>625</v>
      </c>
    </row>
    <row r="324">
      <c r="A324" s="25"/>
      <c r="B324" s="25"/>
      <c r="H324" s="25"/>
      <c r="I324" s="26" t="s">
        <v>186</v>
      </c>
    </row>
    <row r="325">
      <c r="A325" s="25"/>
      <c r="B325" s="25"/>
      <c r="H325" s="25"/>
      <c r="I325" s="26" t="s">
        <v>627</v>
      </c>
    </row>
    <row r="326">
      <c r="A326" s="25"/>
      <c r="B326" s="25"/>
      <c r="H326" s="25"/>
      <c r="I326" s="26" t="s">
        <v>628</v>
      </c>
    </row>
    <row r="327">
      <c r="A327" s="25"/>
      <c r="B327" s="25"/>
      <c r="H327" s="25"/>
      <c r="I327" s="26" t="s">
        <v>629</v>
      </c>
    </row>
    <row r="328">
      <c r="A328" s="25"/>
      <c r="B328" s="25"/>
      <c r="H328" s="25"/>
      <c r="I328" s="26" t="s">
        <v>320</v>
      </c>
    </row>
    <row r="329">
      <c r="A329" s="25"/>
      <c r="B329" s="25"/>
      <c r="H329" s="25"/>
      <c r="I329" s="26" t="s">
        <v>207</v>
      </c>
    </row>
    <row r="330">
      <c r="A330" s="25"/>
      <c r="B330" s="25"/>
      <c r="H330" s="25"/>
      <c r="I330" s="26" t="s">
        <v>630</v>
      </c>
    </row>
    <row r="331">
      <c r="A331" s="25"/>
      <c r="B331" s="25"/>
      <c r="H331" s="25"/>
      <c r="I331" s="26" t="s">
        <v>107</v>
      </c>
    </row>
    <row r="332">
      <c r="A332" s="25"/>
      <c r="B332" s="25"/>
      <c r="H332" s="25"/>
      <c r="I332" s="26" t="s">
        <v>444</v>
      </c>
    </row>
    <row r="333">
      <c r="A333" s="25"/>
      <c r="B333" s="25"/>
      <c r="H333" s="25"/>
      <c r="I333" s="26" t="s">
        <v>632</v>
      </c>
    </row>
    <row r="334">
      <c r="A334" s="25"/>
      <c r="B334" s="25"/>
      <c r="H334" s="25"/>
      <c r="I334" s="26" t="s">
        <v>633</v>
      </c>
    </row>
    <row r="335">
      <c r="A335" s="25"/>
      <c r="B335" s="25"/>
      <c r="H335" s="25"/>
      <c r="I335" s="26" t="s">
        <v>634</v>
      </c>
    </row>
    <row r="336">
      <c r="A336" s="25"/>
      <c r="B336" s="25"/>
      <c r="H336" s="25"/>
      <c r="I336" s="26" t="s">
        <v>263</v>
      </c>
    </row>
    <row r="337">
      <c r="A337" s="25"/>
      <c r="B337" s="25"/>
      <c r="H337" s="25"/>
      <c r="I337" s="26" t="s">
        <v>636</v>
      </c>
    </row>
    <row r="338">
      <c r="A338" s="25"/>
      <c r="B338" s="25"/>
      <c r="H338" s="25"/>
      <c r="I338" s="26" t="s">
        <v>637</v>
      </c>
    </row>
    <row r="339">
      <c r="A339" s="25"/>
      <c r="B339" s="25"/>
      <c r="H339" s="25"/>
      <c r="I339" s="26" t="s">
        <v>266</v>
      </c>
    </row>
    <row r="340">
      <c r="A340" s="25"/>
      <c r="B340" s="25"/>
      <c r="H340" s="25"/>
      <c r="I340" s="26" t="s">
        <v>360</v>
      </c>
    </row>
    <row r="341">
      <c r="A341" s="25"/>
      <c r="B341" s="25"/>
      <c r="H341" s="25"/>
      <c r="I341" s="26" t="s">
        <v>640</v>
      </c>
    </row>
    <row r="342">
      <c r="A342" s="25"/>
      <c r="B342" s="25"/>
      <c r="H342" s="25"/>
      <c r="I342" s="26" t="s">
        <v>268</v>
      </c>
    </row>
    <row r="343">
      <c r="A343" s="25"/>
      <c r="B343" s="25"/>
      <c r="H343" s="25"/>
      <c r="I343" s="26" t="s">
        <v>499</v>
      </c>
    </row>
    <row r="344">
      <c r="A344" s="25"/>
      <c r="B344" s="25"/>
      <c r="H344" s="25"/>
      <c r="I344" s="26" t="s">
        <v>235</v>
      </c>
    </row>
    <row r="345">
      <c r="A345" s="25"/>
      <c r="B345" s="25"/>
      <c r="H345" s="25"/>
      <c r="I345" s="26" t="s">
        <v>641</v>
      </c>
    </row>
    <row r="346">
      <c r="A346" s="25"/>
      <c r="B346" s="25"/>
      <c r="H346" s="25"/>
      <c r="I346" s="26" t="s">
        <v>643</v>
      </c>
    </row>
    <row r="347">
      <c r="A347" s="25"/>
      <c r="B347" s="25"/>
      <c r="H347" s="25"/>
      <c r="I347" s="26" t="s">
        <v>644</v>
      </c>
    </row>
    <row r="348">
      <c r="A348" s="25"/>
      <c r="B348" s="25"/>
      <c r="H348" s="25"/>
      <c r="I348" s="26" t="s">
        <v>645</v>
      </c>
    </row>
    <row r="349">
      <c r="A349" s="25"/>
      <c r="B349" s="25"/>
      <c r="H349" s="25"/>
      <c r="I349" s="26" t="s">
        <v>646</v>
      </c>
    </row>
    <row r="350">
      <c r="A350" s="25"/>
      <c r="B350" s="25"/>
      <c r="H350" s="25"/>
      <c r="I350" s="26" t="s">
        <v>335</v>
      </c>
    </row>
    <row r="351">
      <c r="A351" s="25"/>
      <c r="B351" s="25"/>
      <c r="H351" s="25"/>
      <c r="I351" s="26" t="s">
        <v>647</v>
      </c>
    </row>
    <row r="352">
      <c r="A352" s="25"/>
      <c r="B352" s="25"/>
      <c r="H352" s="25"/>
      <c r="I352" s="26" t="s">
        <v>272</v>
      </c>
    </row>
    <row r="353">
      <c r="A353" s="25"/>
      <c r="B353" s="25"/>
      <c r="H353" s="25"/>
      <c r="I353" s="26" t="s">
        <v>650</v>
      </c>
    </row>
    <row r="354">
      <c r="A354" s="25"/>
      <c r="B354" s="25"/>
      <c r="H354" s="25"/>
      <c r="I354" s="26" t="s">
        <v>651</v>
      </c>
    </row>
    <row r="355">
      <c r="A355" s="25"/>
      <c r="B355" s="25"/>
      <c r="H355" s="25"/>
      <c r="I355" s="26" t="s">
        <v>652</v>
      </c>
    </row>
    <row r="356">
      <c r="A356" s="25"/>
      <c r="B356" s="25"/>
      <c r="H356" s="25"/>
      <c r="I356" s="26" t="s">
        <v>403</v>
      </c>
    </row>
    <row r="357">
      <c r="A357" s="25"/>
      <c r="B357" s="25"/>
      <c r="H357" s="25"/>
      <c r="I357" s="26" t="s">
        <v>129</v>
      </c>
    </row>
    <row r="358">
      <c r="A358" s="25"/>
      <c r="B358" s="25"/>
      <c r="H358" s="25"/>
      <c r="I358" s="26" t="s">
        <v>576</v>
      </c>
    </row>
    <row r="359">
      <c r="A359" s="25"/>
      <c r="B359" s="25"/>
      <c r="H359" s="25"/>
      <c r="I359" s="26" t="s">
        <v>339</v>
      </c>
    </row>
    <row r="360">
      <c r="A360" s="25"/>
      <c r="B360" s="25"/>
      <c r="H360" s="25"/>
      <c r="I360" s="26" t="s">
        <v>341</v>
      </c>
    </row>
    <row r="361">
      <c r="A361" s="25"/>
      <c r="B361" s="25"/>
      <c r="H361" s="25"/>
      <c r="I361" s="26" t="s">
        <v>654</v>
      </c>
    </row>
    <row r="362">
      <c r="A362" s="25"/>
      <c r="B362" s="25"/>
      <c r="H362" s="25"/>
      <c r="I362" s="26" t="s">
        <v>209</v>
      </c>
    </row>
    <row r="363">
      <c r="A363" s="25"/>
      <c r="B363" s="25"/>
      <c r="H363" s="25"/>
      <c r="I363" s="26" t="s">
        <v>655</v>
      </c>
    </row>
    <row r="364">
      <c r="A364" s="25"/>
      <c r="B364" s="25"/>
      <c r="H364" s="25"/>
      <c r="I364" s="26" t="s">
        <v>191</v>
      </c>
    </row>
    <row r="365">
      <c r="A365" s="25"/>
      <c r="B365" s="25"/>
      <c r="H365" s="25"/>
      <c r="I365" s="26" t="s">
        <v>656</v>
      </c>
    </row>
    <row r="366">
      <c r="A366" s="25"/>
      <c r="B366" s="25"/>
      <c r="H366" s="25"/>
      <c r="I366" s="26" t="s">
        <v>657</v>
      </c>
    </row>
    <row r="367">
      <c r="A367" s="25"/>
      <c r="B367" s="25"/>
      <c r="H367" s="25"/>
      <c r="I367" s="26" t="s">
        <v>658</v>
      </c>
    </row>
    <row r="368">
      <c r="A368" s="25"/>
      <c r="B368" s="25"/>
      <c r="H368" s="25"/>
      <c r="I368" s="26" t="s">
        <v>659</v>
      </c>
    </row>
    <row r="369">
      <c r="A369" s="25"/>
      <c r="B369" s="25"/>
      <c r="H369" s="25"/>
      <c r="I369" s="26" t="s">
        <v>661</v>
      </c>
    </row>
    <row r="370">
      <c r="A370" s="25"/>
      <c r="B370" s="25"/>
      <c r="H370" s="25"/>
      <c r="I370" s="26" t="s">
        <v>662</v>
      </c>
    </row>
    <row r="371">
      <c r="A371" s="25"/>
      <c r="B371" s="25"/>
      <c r="H371" s="25"/>
      <c r="I371" s="26" t="s">
        <v>663</v>
      </c>
    </row>
    <row r="372">
      <c r="A372" s="25"/>
      <c r="B372" s="25"/>
      <c r="H372" s="25"/>
      <c r="I372" s="26" t="s">
        <v>193</v>
      </c>
    </row>
    <row r="373">
      <c r="A373" s="25"/>
      <c r="B373" s="25"/>
      <c r="H373" s="25"/>
      <c r="I373" s="26" t="s">
        <v>664</v>
      </c>
    </row>
    <row r="374">
      <c r="A374" s="25"/>
      <c r="B374" s="25"/>
      <c r="H374" s="25"/>
      <c r="I374" s="26" t="s">
        <v>666</v>
      </c>
    </row>
    <row r="375">
      <c r="A375" s="25"/>
      <c r="B375" s="25"/>
      <c r="H375" s="25"/>
      <c r="I375" s="26" t="s">
        <v>132</v>
      </c>
    </row>
    <row r="376">
      <c r="A376" s="25"/>
      <c r="B376" s="25"/>
      <c r="H376" s="25"/>
      <c r="I376" s="26" t="s">
        <v>667</v>
      </c>
    </row>
    <row r="377">
      <c r="A377" s="25"/>
      <c r="B377" s="25"/>
      <c r="H377" s="25"/>
      <c r="I377" s="26" t="s">
        <v>668</v>
      </c>
    </row>
    <row r="378">
      <c r="A378" s="25"/>
      <c r="B378" s="25"/>
      <c r="H378" s="25"/>
      <c r="I378" s="26" t="s">
        <v>669</v>
      </c>
    </row>
    <row r="379">
      <c r="A379" s="25"/>
      <c r="B379" s="25"/>
      <c r="H379" s="25"/>
      <c r="I379" s="26" t="s">
        <v>670</v>
      </c>
    </row>
    <row r="380">
      <c r="A380" s="25"/>
      <c r="B380" s="25"/>
      <c r="H380" s="25"/>
      <c r="I380" s="26" t="s">
        <v>672</v>
      </c>
    </row>
    <row r="381">
      <c r="A381" s="25"/>
      <c r="B381" s="25"/>
      <c r="H381" s="25"/>
      <c r="I381" s="26" t="s">
        <v>673</v>
      </c>
    </row>
    <row r="382">
      <c r="A382" s="25"/>
      <c r="B382" s="25"/>
      <c r="H382" s="25"/>
      <c r="I382" s="26" t="s">
        <v>674</v>
      </c>
    </row>
    <row r="383">
      <c r="A383" s="25"/>
      <c r="B383" s="25"/>
      <c r="H383" s="25"/>
      <c r="I383" s="26" t="s">
        <v>124</v>
      </c>
    </row>
    <row r="384">
      <c r="A384" s="25"/>
      <c r="B384" s="25"/>
      <c r="H384" s="25"/>
      <c r="I384" s="26" t="s">
        <v>675</v>
      </c>
    </row>
    <row r="385">
      <c r="A385" s="25"/>
      <c r="B385" s="25"/>
      <c r="H385" s="25"/>
      <c r="I385" s="26" t="s">
        <v>241</v>
      </c>
    </row>
    <row r="386">
      <c r="A386" s="25"/>
      <c r="B386" s="25"/>
      <c r="H386" s="25"/>
      <c r="I386" s="26" t="s">
        <v>677</v>
      </c>
    </row>
    <row r="387">
      <c r="A387" s="25"/>
      <c r="B387" s="25"/>
      <c r="H387" s="25"/>
      <c r="I387" s="26" t="s">
        <v>678</v>
      </c>
    </row>
    <row r="388">
      <c r="A388" s="25"/>
      <c r="B388" s="25"/>
      <c r="H388" s="25"/>
      <c r="I388" s="26" t="s">
        <v>679</v>
      </c>
    </row>
    <row r="389">
      <c r="A389" s="25"/>
      <c r="B389" s="25"/>
      <c r="H389" s="25"/>
      <c r="I389" s="26" t="s">
        <v>163</v>
      </c>
    </row>
    <row r="390">
      <c r="A390" s="25"/>
      <c r="B390" s="25"/>
      <c r="H390" s="25"/>
      <c r="I390" s="26" t="s">
        <v>682</v>
      </c>
    </row>
    <row r="391">
      <c r="A391" s="25"/>
      <c r="B391" s="25"/>
      <c r="H391" s="25"/>
      <c r="I391" s="26" t="s">
        <v>276</v>
      </c>
    </row>
    <row r="392">
      <c r="A392" s="25"/>
      <c r="B392" s="25"/>
      <c r="H392" s="25"/>
      <c r="I392" s="26" t="s">
        <v>308</v>
      </c>
    </row>
    <row r="393">
      <c r="A393" s="25"/>
      <c r="B393" s="25"/>
      <c r="H393" s="25"/>
      <c r="I393" s="26" t="s">
        <v>683</v>
      </c>
    </row>
    <row r="394">
      <c r="A394" s="25"/>
      <c r="B394" s="25"/>
      <c r="H394" s="25"/>
      <c r="I394" s="26" t="s">
        <v>211</v>
      </c>
    </row>
    <row r="395">
      <c r="A395" s="25"/>
      <c r="B395" s="25"/>
      <c r="H395" s="25"/>
      <c r="I395" s="26" t="s">
        <v>134</v>
      </c>
    </row>
    <row r="396">
      <c r="A396" s="25"/>
      <c r="B396" s="25"/>
      <c r="H396" s="25"/>
      <c r="I396" s="26" t="s">
        <v>685</v>
      </c>
    </row>
    <row r="397">
      <c r="A397" s="25"/>
      <c r="B397" s="25"/>
      <c r="H397" s="25"/>
      <c r="I397" s="26" t="s">
        <v>686</v>
      </c>
    </row>
    <row r="398">
      <c r="A398" s="25"/>
      <c r="B398" s="25"/>
      <c r="H398" s="25"/>
      <c r="I398" s="26" t="s">
        <v>687</v>
      </c>
    </row>
    <row r="399">
      <c r="A399" s="25"/>
      <c r="B399" s="25"/>
      <c r="H399" s="25"/>
      <c r="I399" s="26" t="s">
        <v>343</v>
      </c>
    </row>
    <row r="400">
      <c r="A400" s="25"/>
      <c r="B400" s="25"/>
      <c r="H400" s="25"/>
      <c r="I400" s="26" t="s">
        <v>310</v>
      </c>
    </row>
    <row r="401">
      <c r="A401" s="25"/>
      <c r="B401" s="25"/>
      <c r="H401" s="25"/>
      <c r="I401" s="26" t="s">
        <v>689</v>
      </c>
    </row>
    <row r="402">
      <c r="A402" s="25"/>
      <c r="B402" s="25"/>
      <c r="H402" s="25"/>
      <c r="I402" s="26" t="s">
        <v>690</v>
      </c>
    </row>
    <row r="403">
      <c r="A403" s="25"/>
      <c r="B403" s="25"/>
      <c r="H403" s="25"/>
      <c r="I403" s="26" t="s">
        <v>418</v>
      </c>
    </row>
    <row r="404">
      <c r="A404" s="25"/>
      <c r="B404" s="25"/>
      <c r="H404" s="25"/>
      <c r="I404" s="26" t="s">
        <v>179</v>
      </c>
    </row>
    <row r="405">
      <c r="A405" s="25"/>
      <c r="B405" s="25"/>
      <c r="H405" s="25"/>
      <c r="I405" s="26" t="s">
        <v>692</v>
      </c>
    </row>
    <row r="406">
      <c r="A406" s="25"/>
      <c r="B406" s="25"/>
      <c r="H406" s="25"/>
      <c r="I406" s="26" t="s">
        <v>614</v>
      </c>
    </row>
    <row r="407">
      <c r="A407" s="25"/>
      <c r="B407" s="25"/>
      <c r="H407" s="25"/>
      <c r="I407" s="26" t="s">
        <v>382</v>
      </c>
    </row>
    <row r="408">
      <c r="A408" s="25"/>
      <c r="B408" s="25"/>
      <c r="H408" s="25"/>
      <c r="I408" s="26" t="s">
        <v>693</v>
      </c>
    </row>
    <row r="409">
      <c r="A409" s="25"/>
      <c r="B409" s="25"/>
      <c r="H409" s="25"/>
      <c r="I409" s="26" t="s">
        <v>695</v>
      </c>
    </row>
    <row r="410">
      <c r="A410" s="25"/>
      <c r="B410" s="25"/>
      <c r="H410" s="25"/>
      <c r="I410" s="26" t="s">
        <v>696</v>
      </c>
    </row>
    <row r="411">
      <c r="A411" s="25"/>
      <c r="B411" s="25"/>
      <c r="H411" s="25"/>
      <c r="I411" s="26" t="s">
        <v>697</v>
      </c>
    </row>
    <row r="412">
      <c r="A412" s="25"/>
      <c r="B412" s="25"/>
      <c r="H412" s="25"/>
      <c r="I412" s="26" t="s">
        <v>698</v>
      </c>
    </row>
    <row r="413">
      <c r="A413" s="25"/>
      <c r="B413" s="25"/>
      <c r="H413" s="25"/>
      <c r="I413" s="26" t="s">
        <v>699</v>
      </c>
    </row>
    <row r="414">
      <c r="A414" s="25"/>
      <c r="B414" s="25"/>
      <c r="H414" s="25"/>
      <c r="I414" s="26" t="s">
        <v>701</v>
      </c>
    </row>
    <row r="415">
      <c r="A415" s="25"/>
      <c r="B415" s="25"/>
      <c r="H415" s="25"/>
      <c r="I415" s="26" t="s">
        <v>702</v>
      </c>
    </row>
    <row r="416">
      <c r="A416" s="25"/>
      <c r="B416" s="25"/>
      <c r="H416" s="25"/>
      <c r="I416" s="26" t="s">
        <v>703</v>
      </c>
    </row>
    <row r="417">
      <c r="A417" s="25"/>
      <c r="B417" s="25"/>
      <c r="H417" s="25"/>
      <c r="I417" s="26" t="s">
        <v>405</v>
      </c>
    </row>
    <row r="418">
      <c r="A418" s="25"/>
      <c r="B418" s="25"/>
      <c r="H418" s="25"/>
      <c r="I418" s="26" t="s">
        <v>704</v>
      </c>
    </row>
    <row r="419">
      <c r="A419" s="25"/>
      <c r="B419" s="25"/>
      <c r="H419" s="25"/>
      <c r="I419" s="26" t="s">
        <v>705</v>
      </c>
    </row>
    <row r="420">
      <c r="A420" s="25"/>
      <c r="B420" s="25"/>
      <c r="H420" s="25"/>
      <c r="I420" s="26" t="s">
        <v>706</v>
      </c>
    </row>
    <row r="421">
      <c r="A421" s="25"/>
      <c r="B421" s="25"/>
      <c r="H421" s="25"/>
      <c r="I421" s="26" t="s">
        <v>707</v>
      </c>
    </row>
    <row r="422">
      <c r="A422" s="25"/>
      <c r="B422" s="25"/>
      <c r="H422" s="25"/>
      <c r="I422" s="26" t="s">
        <v>709</v>
      </c>
    </row>
    <row r="423">
      <c r="A423" s="25"/>
      <c r="B423" s="25"/>
      <c r="H423" s="25"/>
      <c r="I423" s="26" t="s">
        <v>710</v>
      </c>
    </row>
    <row r="424">
      <c r="A424" s="25"/>
      <c r="B424" s="25"/>
      <c r="H424" s="25"/>
      <c r="I424" s="26" t="s">
        <v>361</v>
      </c>
    </row>
    <row r="425">
      <c r="A425" s="25"/>
      <c r="B425" s="25"/>
      <c r="H425" s="25"/>
      <c r="I425" s="26" t="s">
        <v>386</v>
      </c>
    </row>
    <row r="426">
      <c r="A426" s="25"/>
      <c r="B426" s="25"/>
      <c r="H426" s="25"/>
      <c r="I426" s="26" t="s">
        <v>711</v>
      </c>
    </row>
    <row r="427">
      <c r="A427" s="25"/>
      <c r="B427" s="25"/>
      <c r="H427" s="25"/>
      <c r="I427" s="26" t="s">
        <v>713</v>
      </c>
    </row>
    <row r="428">
      <c r="A428" s="25"/>
      <c r="B428" s="25"/>
      <c r="H428" s="25"/>
      <c r="I428" s="26" t="s">
        <v>714</v>
      </c>
    </row>
    <row r="429">
      <c r="A429" s="25"/>
      <c r="B429" s="25"/>
      <c r="H429" s="25"/>
      <c r="I429" s="25" t="s">
        <v>715</v>
      </c>
    </row>
    <row r="430">
      <c r="A430" s="25"/>
      <c r="B430" s="25"/>
      <c r="H430" s="25"/>
      <c r="I430" s="25" t="s">
        <v>716</v>
      </c>
    </row>
    <row r="431">
      <c r="A431" s="25"/>
      <c r="B431" s="25"/>
      <c r="H431" s="25"/>
      <c r="I431" s="25" t="s">
        <v>717</v>
      </c>
    </row>
    <row r="432">
      <c r="A432" s="25"/>
      <c r="B432" s="25"/>
      <c r="H432" s="25"/>
      <c r="I432" s="25" t="s">
        <v>458</v>
      </c>
    </row>
    <row r="433">
      <c r="A433" s="25"/>
      <c r="B433" s="25"/>
      <c r="H433" s="25"/>
      <c r="I433" s="25"/>
    </row>
    <row r="434">
      <c r="A434" s="25"/>
      <c r="B434" s="25"/>
      <c r="H434" s="25"/>
      <c r="I434" s="25"/>
    </row>
    <row r="435">
      <c r="A435" s="25"/>
      <c r="B435" s="25"/>
      <c r="H435" s="25"/>
      <c r="I435" s="25"/>
    </row>
    <row r="436">
      <c r="A436" s="25"/>
      <c r="B436" s="25"/>
      <c r="H436" s="25"/>
      <c r="I436" s="25"/>
    </row>
    <row r="437">
      <c r="A437" s="25"/>
      <c r="B437" s="25"/>
      <c r="H437" s="25"/>
      <c r="I437" s="25"/>
    </row>
    <row r="438">
      <c r="A438" s="25"/>
      <c r="B438" s="25"/>
      <c r="H438" s="25"/>
      <c r="I438" s="25"/>
    </row>
    <row r="439">
      <c r="A439" s="25"/>
      <c r="B439" s="25"/>
      <c r="H439" s="25"/>
      <c r="I439" s="25"/>
    </row>
    <row r="440">
      <c r="A440" s="25"/>
      <c r="B440" s="25"/>
      <c r="H440" s="25"/>
      <c r="I440" s="25"/>
    </row>
    <row r="441">
      <c r="A441" s="25"/>
      <c r="B441" s="25"/>
      <c r="H441" s="25"/>
      <c r="I441" s="25"/>
    </row>
    <row r="442">
      <c r="A442" s="25"/>
      <c r="B442" s="25"/>
      <c r="H442" s="25"/>
      <c r="I442" s="25"/>
    </row>
    <row r="443">
      <c r="A443" s="25"/>
      <c r="B443" s="25"/>
      <c r="H443" s="25"/>
      <c r="I443" s="25"/>
    </row>
    <row r="444">
      <c r="A444" s="25"/>
      <c r="B444" s="25"/>
      <c r="H444" s="25"/>
      <c r="I444" s="25"/>
    </row>
    <row r="445">
      <c r="A445" s="25"/>
      <c r="B445" s="25"/>
      <c r="H445" s="25"/>
      <c r="I445" s="25"/>
    </row>
    <row r="446">
      <c r="A446" s="25"/>
      <c r="B446" s="25"/>
      <c r="H446" s="25"/>
      <c r="I446" s="25"/>
    </row>
    <row r="447">
      <c r="A447" s="25"/>
      <c r="B447" s="25"/>
      <c r="H447" s="25"/>
      <c r="I447" s="25"/>
    </row>
    <row r="448">
      <c r="A448" s="25"/>
      <c r="B448" s="25"/>
      <c r="H448" s="25"/>
      <c r="I448" s="25"/>
    </row>
    <row r="449">
      <c r="A449" s="25"/>
      <c r="B449" s="25"/>
      <c r="H449" s="25"/>
      <c r="I449" s="25"/>
    </row>
    <row r="450">
      <c r="A450" s="25"/>
      <c r="B450" s="25"/>
      <c r="H450" s="25"/>
      <c r="I450" s="25"/>
    </row>
    <row r="451">
      <c r="A451" s="25"/>
      <c r="B451" s="25"/>
      <c r="H451" s="25"/>
      <c r="I451" s="25"/>
    </row>
    <row r="452">
      <c r="A452" s="25"/>
      <c r="B452" s="25"/>
      <c r="H452" s="25"/>
      <c r="I452" s="25"/>
    </row>
    <row r="453">
      <c r="A453" s="25"/>
      <c r="B453" s="25"/>
      <c r="H453" s="25"/>
      <c r="I453" s="25"/>
    </row>
    <row r="454">
      <c r="A454" s="25"/>
      <c r="B454" s="25"/>
      <c r="H454" s="25"/>
      <c r="I454" s="25"/>
    </row>
    <row r="455">
      <c r="A455" s="25"/>
      <c r="B455" s="25"/>
      <c r="H455" s="25"/>
      <c r="I455" s="25"/>
    </row>
    <row r="456">
      <c r="A456" s="25"/>
      <c r="B456" s="25"/>
      <c r="H456" s="25"/>
      <c r="I456" s="25"/>
    </row>
    <row r="457">
      <c r="A457" s="25"/>
      <c r="B457" s="25"/>
      <c r="H457" s="25"/>
      <c r="I457" s="25"/>
    </row>
    <row r="458">
      <c r="A458" s="25"/>
      <c r="B458" s="25"/>
      <c r="H458" s="25"/>
      <c r="I458" s="25"/>
    </row>
    <row r="459">
      <c r="A459" s="25"/>
      <c r="B459" s="25"/>
      <c r="H459" s="25"/>
      <c r="I459" s="25"/>
    </row>
    <row r="460">
      <c r="A460" s="25"/>
      <c r="B460" s="25"/>
      <c r="H460" s="25"/>
      <c r="I460" s="25"/>
    </row>
    <row r="461">
      <c r="A461" s="25"/>
      <c r="B461" s="25"/>
      <c r="H461" s="25"/>
      <c r="I461" s="25"/>
    </row>
    <row r="462">
      <c r="A462" s="25"/>
      <c r="B462" s="25"/>
      <c r="H462" s="25"/>
      <c r="I462" s="25"/>
    </row>
    <row r="463">
      <c r="A463" s="25"/>
      <c r="B463" s="25"/>
      <c r="H463" s="25"/>
      <c r="I463" s="25"/>
    </row>
    <row r="464">
      <c r="A464" s="25"/>
      <c r="B464" s="25"/>
      <c r="H464" s="25"/>
      <c r="I464" s="25"/>
    </row>
    <row r="465">
      <c r="A465" s="25"/>
      <c r="B465" s="25"/>
      <c r="H465" s="25"/>
      <c r="I465" s="25"/>
    </row>
    <row r="466">
      <c r="A466" s="25"/>
      <c r="B466" s="25"/>
      <c r="H466" s="25"/>
      <c r="I466" s="25"/>
    </row>
    <row r="467">
      <c r="A467" s="25"/>
      <c r="B467" s="25"/>
      <c r="H467" s="25"/>
      <c r="I467" s="25"/>
    </row>
    <row r="468">
      <c r="A468" s="25"/>
      <c r="B468" s="25"/>
      <c r="H468" s="25"/>
      <c r="I468" s="25"/>
    </row>
    <row r="469">
      <c r="A469" s="25"/>
      <c r="B469" s="25"/>
      <c r="H469" s="25"/>
      <c r="I469" s="25"/>
    </row>
    <row r="470">
      <c r="A470" s="25"/>
      <c r="B470" s="25"/>
      <c r="H470" s="25"/>
      <c r="I470" s="25"/>
    </row>
    <row r="471">
      <c r="A471" s="25"/>
      <c r="B471" s="25"/>
      <c r="H471" s="25"/>
      <c r="I471" s="25"/>
    </row>
    <row r="472">
      <c r="A472" s="25"/>
      <c r="B472" s="25"/>
      <c r="H472" s="25"/>
      <c r="I472" s="25"/>
    </row>
    <row r="473">
      <c r="A473" s="25"/>
      <c r="B473" s="25"/>
      <c r="H473" s="25"/>
      <c r="I473" s="25"/>
    </row>
    <row r="474">
      <c r="A474" s="25"/>
      <c r="B474" s="25"/>
      <c r="H474" s="25"/>
      <c r="I474" s="25"/>
    </row>
    <row r="475">
      <c r="A475" s="25"/>
      <c r="B475" s="25"/>
      <c r="H475" s="25"/>
      <c r="I475" s="25"/>
    </row>
    <row r="476">
      <c r="A476" s="25"/>
      <c r="B476" s="25"/>
      <c r="H476" s="25"/>
      <c r="I476" s="25"/>
    </row>
    <row r="477">
      <c r="A477" s="25"/>
      <c r="B477" s="25"/>
      <c r="H477" s="25"/>
      <c r="I477" s="25"/>
    </row>
    <row r="478">
      <c r="A478" s="25"/>
      <c r="B478" s="25"/>
      <c r="H478" s="25"/>
      <c r="I478" s="25"/>
    </row>
    <row r="479">
      <c r="A479" s="25"/>
      <c r="B479" s="25"/>
      <c r="H479" s="25"/>
      <c r="I479" s="25"/>
    </row>
    <row r="480">
      <c r="A480" s="25"/>
      <c r="B480" s="25"/>
      <c r="H480" s="25"/>
      <c r="I480" s="25"/>
    </row>
    <row r="481">
      <c r="A481" s="25"/>
      <c r="B481" s="25"/>
      <c r="H481" s="25"/>
      <c r="I481" s="25"/>
    </row>
    <row r="482">
      <c r="A482" s="25"/>
      <c r="B482" s="25"/>
      <c r="H482" s="25"/>
      <c r="I482" s="25"/>
    </row>
    <row r="483">
      <c r="A483" s="25"/>
      <c r="B483" s="25"/>
      <c r="H483" s="25"/>
      <c r="I483" s="25"/>
    </row>
    <row r="484">
      <c r="A484" s="25"/>
      <c r="B484" s="25"/>
      <c r="H484" s="25"/>
      <c r="I484" s="25"/>
    </row>
    <row r="485">
      <c r="A485" s="25"/>
      <c r="B485" s="25"/>
      <c r="H485" s="25"/>
      <c r="I485" s="25"/>
    </row>
    <row r="486">
      <c r="A486" s="25"/>
      <c r="B486" s="25"/>
      <c r="H486" s="25"/>
      <c r="I486" s="25"/>
    </row>
    <row r="487">
      <c r="A487" s="25"/>
      <c r="B487" s="25"/>
      <c r="H487" s="25"/>
      <c r="I487" s="25"/>
    </row>
    <row r="488">
      <c r="A488" s="25"/>
      <c r="B488" s="25"/>
      <c r="H488" s="25"/>
      <c r="I488" s="25"/>
    </row>
    <row r="489">
      <c r="A489" s="25"/>
      <c r="B489" s="25"/>
      <c r="H489" s="25"/>
      <c r="I489" s="25"/>
    </row>
    <row r="490">
      <c r="A490" s="25"/>
      <c r="B490" s="25"/>
      <c r="H490" s="25"/>
      <c r="I490" s="25"/>
    </row>
    <row r="491">
      <c r="A491" s="25"/>
      <c r="B491" s="25"/>
      <c r="H491" s="25"/>
      <c r="I491" s="25"/>
    </row>
    <row r="492">
      <c r="A492" s="25"/>
      <c r="B492" s="25"/>
      <c r="H492" s="25"/>
      <c r="I492" s="25"/>
    </row>
    <row r="493">
      <c r="A493" s="25"/>
      <c r="B493" s="25"/>
      <c r="H493" s="25"/>
      <c r="I493" s="25"/>
    </row>
    <row r="494">
      <c r="A494" s="25"/>
      <c r="B494" s="25"/>
      <c r="H494" s="25"/>
      <c r="I494" s="25"/>
    </row>
    <row r="495">
      <c r="A495" s="25"/>
      <c r="B495" s="25"/>
      <c r="H495" s="25"/>
      <c r="I495" s="25"/>
    </row>
    <row r="496">
      <c r="A496" s="25"/>
      <c r="B496" s="25"/>
      <c r="H496" s="25"/>
      <c r="I496" s="25"/>
    </row>
    <row r="497">
      <c r="A497" s="25"/>
      <c r="B497" s="25"/>
      <c r="H497" s="25"/>
      <c r="I497" s="25"/>
    </row>
    <row r="498">
      <c r="A498" s="25"/>
      <c r="B498" s="25"/>
      <c r="H498" s="25"/>
      <c r="I498" s="25"/>
    </row>
    <row r="499">
      <c r="A499" s="25"/>
      <c r="B499" s="25"/>
      <c r="H499" s="25"/>
      <c r="I499" s="25"/>
    </row>
    <row r="500">
      <c r="A500" s="25"/>
      <c r="B500" s="25"/>
      <c r="H500" s="25"/>
      <c r="I500" s="25"/>
    </row>
    <row r="501">
      <c r="A501" s="25"/>
      <c r="B501" s="25"/>
      <c r="H501" s="25"/>
      <c r="I501" s="25"/>
    </row>
    <row r="502">
      <c r="A502" s="25"/>
      <c r="B502" s="25"/>
      <c r="H502" s="25"/>
      <c r="I502" s="25"/>
    </row>
    <row r="503">
      <c r="A503" s="25"/>
      <c r="B503" s="25"/>
      <c r="H503" s="25"/>
      <c r="I503" s="25"/>
    </row>
    <row r="504">
      <c r="A504" s="25"/>
      <c r="B504" s="25"/>
      <c r="H504" s="25"/>
      <c r="I504" s="25"/>
    </row>
    <row r="505">
      <c r="A505" s="25"/>
      <c r="B505" s="25"/>
      <c r="H505" s="25"/>
      <c r="I505" s="25"/>
    </row>
    <row r="506">
      <c r="A506" s="25"/>
      <c r="B506" s="25"/>
      <c r="H506" s="25"/>
      <c r="I506" s="25"/>
    </row>
    <row r="507">
      <c r="A507" s="25"/>
      <c r="B507" s="25"/>
      <c r="H507" s="25"/>
      <c r="I507" s="25"/>
    </row>
    <row r="508">
      <c r="A508" s="25"/>
      <c r="B508" s="25"/>
      <c r="H508" s="25"/>
      <c r="I508" s="25"/>
    </row>
    <row r="509">
      <c r="A509" s="25"/>
      <c r="B509" s="25"/>
      <c r="H509" s="25"/>
      <c r="I509" s="25"/>
    </row>
    <row r="510">
      <c r="A510" s="25"/>
      <c r="B510" s="25"/>
      <c r="H510" s="25"/>
      <c r="I510" s="25"/>
    </row>
    <row r="511">
      <c r="A511" s="25"/>
      <c r="B511" s="25"/>
      <c r="H511" s="25"/>
      <c r="I511" s="25"/>
    </row>
    <row r="512">
      <c r="A512" s="25"/>
      <c r="B512" s="25"/>
      <c r="H512" s="25"/>
      <c r="I512" s="25"/>
    </row>
    <row r="513">
      <c r="A513" s="25"/>
      <c r="B513" s="25"/>
      <c r="H513" s="25"/>
      <c r="I513" s="25"/>
    </row>
    <row r="514">
      <c r="A514" s="25"/>
      <c r="B514" s="25"/>
      <c r="H514" s="25"/>
      <c r="I514" s="25"/>
    </row>
    <row r="515">
      <c r="A515" s="25"/>
      <c r="B515" s="25"/>
      <c r="H515" s="25"/>
      <c r="I515" s="25"/>
    </row>
    <row r="516">
      <c r="A516" s="25"/>
      <c r="B516" s="25"/>
      <c r="H516" s="25"/>
      <c r="I516" s="25"/>
    </row>
    <row r="517">
      <c r="A517" s="25"/>
      <c r="B517" s="25"/>
      <c r="H517" s="25"/>
      <c r="I517" s="25"/>
    </row>
    <row r="518">
      <c r="A518" s="25"/>
      <c r="B518" s="25"/>
      <c r="H518" s="25"/>
      <c r="I518" s="25"/>
    </row>
    <row r="519">
      <c r="A519" s="25"/>
      <c r="B519" s="25"/>
      <c r="H519" s="25"/>
      <c r="I519" s="25"/>
    </row>
    <row r="520">
      <c r="A520" s="25"/>
      <c r="B520" s="25"/>
      <c r="H520" s="25"/>
      <c r="I520" s="25"/>
    </row>
    <row r="521">
      <c r="A521" s="25"/>
      <c r="B521" s="25"/>
      <c r="H521" s="25"/>
      <c r="I521" s="25"/>
    </row>
    <row r="522">
      <c r="A522" s="25"/>
      <c r="B522" s="25"/>
      <c r="H522" s="25"/>
      <c r="I522" s="25"/>
    </row>
    <row r="523">
      <c r="A523" s="25"/>
      <c r="B523" s="25"/>
      <c r="H523" s="25"/>
      <c r="I523" s="25"/>
    </row>
    <row r="524">
      <c r="A524" s="25"/>
      <c r="B524" s="25"/>
      <c r="H524" s="25"/>
      <c r="I524" s="25"/>
    </row>
    <row r="525">
      <c r="A525" s="25"/>
      <c r="B525" s="25"/>
      <c r="H525" s="25"/>
      <c r="I525" s="25"/>
    </row>
    <row r="526">
      <c r="A526" s="25"/>
      <c r="B526" s="25"/>
      <c r="H526" s="25"/>
      <c r="I526" s="25"/>
    </row>
    <row r="527">
      <c r="A527" s="25"/>
      <c r="B527" s="25"/>
      <c r="H527" s="25"/>
      <c r="I527" s="25"/>
    </row>
    <row r="528">
      <c r="A528" s="25"/>
      <c r="B528" s="25"/>
      <c r="H528" s="25"/>
      <c r="I528" s="25"/>
    </row>
    <row r="529">
      <c r="A529" s="25"/>
      <c r="B529" s="25"/>
      <c r="H529" s="25"/>
      <c r="I529" s="25"/>
    </row>
    <row r="530">
      <c r="A530" s="25"/>
      <c r="B530" s="25"/>
      <c r="H530" s="25"/>
      <c r="I530" s="25"/>
    </row>
    <row r="531">
      <c r="A531" s="25"/>
      <c r="B531" s="25"/>
      <c r="H531" s="25"/>
      <c r="I531" s="25"/>
    </row>
    <row r="532">
      <c r="A532" s="25"/>
      <c r="B532" s="25"/>
      <c r="H532" s="25"/>
      <c r="I532" s="25"/>
    </row>
    <row r="533">
      <c r="A533" s="25"/>
      <c r="B533" s="25"/>
      <c r="H533" s="25"/>
      <c r="I533" s="25"/>
    </row>
    <row r="534">
      <c r="A534" s="25"/>
      <c r="B534" s="25"/>
      <c r="H534" s="25"/>
      <c r="I534" s="25"/>
    </row>
    <row r="535">
      <c r="A535" s="25"/>
      <c r="B535" s="25"/>
      <c r="H535" s="25"/>
      <c r="I535" s="25"/>
    </row>
    <row r="536">
      <c r="A536" s="25"/>
      <c r="B536" s="25"/>
      <c r="H536" s="25"/>
      <c r="I536" s="25"/>
    </row>
    <row r="537">
      <c r="A537" s="25"/>
      <c r="B537" s="25"/>
      <c r="H537" s="25"/>
      <c r="I537" s="25"/>
    </row>
    <row r="538">
      <c r="A538" s="25"/>
      <c r="B538" s="25"/>
      <c r="H538" s="25"/>
      <c r="I538" s="25"/>
    </row>
    <row r="539">
      <c r="A539" s="25"/>
      <c r="B539" s="25"/>
      <c r="H539" s="25"/>
      <c r="I539" s="25"/>
    </row>
    <row r="540">
      <c r="A540" s="25"/>
      <c r="B540" s="25"/>
      <c r="H540" s="25"/>
      <c r="I540" s="25"/>
    </row>
    <row r="541">
      <c r="A541" s="25"/>
      <c r="B541" s="25"/>
      <c r="H541" s="25"/>
      <c r="I541" s="25"/>
    </row>
    <row r="542">
      <c r="A542" s="25"/>
      <c r="B542" s="25"/>
      <c r="H542" s="25"/>
      <c r="I542" s="25"/>
    </row>
    <row r="543">
      <c r="A543" s="25"/>
      <c r="B543" s="25"/>
      <c r="H543" s="25"/>
      <c r="I543" s="25"/>
    </row>
    <row r="544">
      <c r="A544" s="25"/>
      <c r="B544" s="25"/>
      <c r="H544" s="25"/>
      <c r="I544" s="25"/>
    </row>
    <row r="545">
      <c r="A545" s="25"/>
      <c r="B545" s="25"/>
      <c r="H545" s="25"/>
      <c r="I545" s="25"/>
    </row>
    <row r="546">
      <c r="A546" s="25"/>
      <c r="B546" s="25"/>
      <c r="H546" s="25"/>
      <c r="I546" s="25"/>
    </row>
    <row r="547">
      <c r="A547" s="25"/>
      <c r="B547" s="25"/>
      <c r="H547" s="25"/>
      <c r="I547" s="25"/>
    </row>
    <row r="548">
      <c r="A548" s="25"/>
      <c r="B548" s="25"/>
      <c r="H548" s="25"/>
      <c r="I548" s="25"/>
    </row>
    <row r="549">
      <c r="A549" s="25"/>
      <c r="B549" s="25"/>
      <c r="H549" s="25"/>
      <c r="I549" s="25"/>
    </row>
    <row r="550">
      <c r="A550" s="25"/>
      <c r="B550" s="25"/>
      <c r="H550" s="25"/>
      <c r="I550" s="25"/>
    </row>
    <row r="551">
      <c r="A551" s="25"/>
      <c r="B551" s="25"/>
      <c r="H551" s="25"/>
      <c r="I551" s="25"/>
    </row>
    <row r="552">
      <c r="A552" s="25"/>
      <c r="B552" s="25"/>
      <c r="H552" s="25"/>
      <c r="I552" s="25"/>
    </row>
    <row r="553">
      <c r="A553" s="25"/>
      <c r="B553" s="25"/>
      <c r="H553" s="25"/>
      <c r="I553" s="25"/>
    </row>
    <row r="554">
      <c r="A554" s="25"/>
      <c r="B554" s="25"/>
      <c r="H554" s="25"/>
      <c r="I554" s="25"/>
    </row>
    <row r="555">
      <c r="A555" s="25"/>
      <c r="B555" s="25"/>
      <c r="H555" s="25"/>
      <c r="I555" s="25"/>
    </row>
    <row r="556">
      <c r="A556" s="25"/>
      <c r="B556" s="25"/>
      <c r="H556" s="25"/>
      <c r="I556" s="25"/>
    </row>
    <row r="557">
      <c r="A557" s="25"/>
      <c r="B557" s="25"/>
      <c r="H557" s="25"/>
      <c r="I557" s="25"/>
    </row>
    <row r="558">
      <c r="A558" s="25"/>
      <c r="B558" s="25"/>
      <c r="H558" s="25"/>
      <c r="I558" s="25"/>
    </row>
    <row r="559">
      <c r="A559" s="25"/>
      <c r="B559" s="25"/>
      <c r="H559" s="25"/>
      <c r="I559" s="25"/>
    </row>
    <row r="560">
      <c r="A560" s="25"/>
      <c r="B560" s="25"/>
      <c r="H560" s="25"/>
      <c r="I560" s="25"/>
    </row>
    <row r="561">
      <c r="A561" s="25"/>
      <c r="B561" s="25"/>
      <c r="H561" s="25"/>
      <c r="I561" s="25"/>
    </row>
    <row r="562">
      <c r="A562" s="25"/>
      <c r="B562" s="25"/>
      <c r="H562" s="25"/>
      <c r="I562" s="25"/>
    </row>
    <row r="563">
      <c r="A563" s="25"/>
      <c r="B563" s="25"/>
      <c r="H563" s="25"/>
      <c r="I563" s="25"/>
    </row>
    <row r="564">
      <c r="A564" s="25"/>
      <c r="B564" s="25"/>
      <c r="H564" s="25"/>
      <c r="I564" s="25"/>
    </row>
    <row r="565">
      <c r="A565" s="25"/>
      <c r="B565" s="25"/>
      <c r="H565" s="25"/>
      <c r="I565" s="25"/>
    </row>
    <row r="566">
      <c r="A566" s="25"/>
      <c r="B566" s="25"/>
      <c r="H566" s="25"/>
      <c r="I566" s="25"/>
    </row>
    <row r="567">
      <c r="A567" s="25"/>
      <c r="B567" s="25"/>
      <c r="H567" s="25"/>
      <c r="I567" s="25"/>
    </row>
    <row r="568">
      <c r="A568" s="25"/>
      <c r="B568" s="25"/>
      <c r="H568" s="25"/>
      <c r="I568" s="25"/>
    </row>
    <row r="569">
      <c r="A569" s="25"/>
      <c r="B569" s="25"/>
      <c r="H569" s="25"/>
      <c r="I569" s="25"/>
    </row>
    <row r="570">
      <c r="A570" s="25"/>
      <c r="B570" s="25"/>
      <c r="H570" s="25"/>
      <c r="I570" s="25"/>
    </row>
    <row r="571">
      <c r="A571" s="25"/>
      <c r="B571" s="25"/>
      <c r="H571" s="25"/>
      <c r="I571" s="25"/>
    </row>
    <row r="572">
      <c r="A572" s="25"/>
      <c r="B572" s="25"/>
      <c r="H572" s="25"/>
      <c r="I572" s="25"/>
    </row>
    <row r="573">
      <c r="A573" s="25"/>
      <c r="B573" s="25"/>
      <c r="H573" s="25"/>
      <c r="I573" s="25"/>
    </row>
    <row r="574">
      <c r="A574" s="25"/>
      <c r="B574" s="25"/>
      <c r="H574" s="25"/>
      <c r="I574" s="25"/>
    </row>
    <row r="575">
      <c r="A575" s="25"/>
      <c r="B575" s="25"/>
      <c r="H575" s="25"/>
      <c r="I575" s="25"/>
    </row>
    <row r="576">
      <c r="A576" s="25"/>
      <c r="B576" s="25"/>
      <c r="H576" s="25"/>
      <c r="I576" s="25"/>
    </row>
    <row r="577">
      <c r="A577" s="25"/>
      <c r="B577" s="25"/>
      <c r="H577" s="25"/>
      <c r="I577" s="25"/>
    </row>
    <row r="578">
      <c r="A578" s="25"/>
      <c r="B578" s="25"/>
      <c r="H578" s="25"/>
      <c r="I578" s="25"/>
    </row>
    <row r="579">
      <c r="A579" s="25"/>
      <c r="B579" s="25"/>
      <c r="H579" s="25"/>
      <c r="I579" s="25"/>
    </row>
    <row r="580">
      <c r="A580" s="25"/>
      <c r="B580" s="25"/>
      <c r="H580" s="25"/>
      <c r="I580" s="25"/>
    </row>
    <row r="581">
      <c r="A581" s="25"/>
      <c r="B581" s="25"/>
      <c r="H581" s="25"/>
      <c r="I581" s="25"/>
    </row>
    <row r="582">
      <c r="A582" s="25"/>
      <c r="B582" s="25"/>
      <c r="H582" s="25"/>
      <c r="I582" s="25"/>
    </row>
    <row r="583">
      <c r="A583" s="25"/>
      <c r="B583" s="25"/>
      <c r="H583" s="25"/>
      <c r="I583" s="25"/>
    </row>
    <row r="584">
      <c r="A584" s="25"/>
      <c r="B584" s="25"/>
      <c r="H584" s="25"/>
      <c r="I584" s="25"/>
    </row>
    <row r="585">
      <c r="A585" s="25"/>
      <c r="B585" s="25"/>
      <c r="H585" s="25"/>
      <c r="I585" s="25"/>
    </row>
    <row r="586">
      <c r="A586" s="25"/>
      <c r="B586" s="25"/>
      <c r="H586" s="25"/>
      <c r="I586" s="25"/>
    </row>
    <row r="587">
      <c r="A587" s="25"/>
      <c r="B587" s="25"/>
      <c r="H587" s="25"/>
      <c r="I587" s="25"/>
    </row>
    <row r="588">
      <c r="A588" s="25"/>
      <c r="B588" s="25"/>
      <c r="H588" s="25"/>
      <c r="I588" s="25"/>
    </row>
    <row r="589">
      <c r="A589" s="25"/>
      <c r="B589" s="25"/>
      <c r="H589" s="25"/>
      <c r="I589" s="25"/>
    </row>
    <row r="590">
      <c r="A590" s="25"/>
      <c r="B590" s="25"/>
      <c r="H590" s="25"/>
      <c r="I590" s="25"/>
    </row>
    <row r="591">
      <c r="A591" s="25"/>
      <c r="B591" s="25"/>
      <c r="H591" s="25"/>
      <c r="I591" s="25"/>
    </row>
    <row r="592">
      <c r="A592" s="25"/>
      <c r="B592" s="25"/>
      <c r="H592" s="25"/>
      <c r="I592" s="25"/>
    </row>
    <row r="593">
      <c r="A593" s="25"/>
      <c r="B593" s="25"/>
      <c r="H593" s="25"/>
      <c r="I593" s="25"/>
    </row>
    <row r="594">
      <c r="A594" s="25"/>
      <c r="B594" s="25"/>
      <c r="H594" s="25"/>
      <c r="I594" s="25"/>
    </row>
    <row r="595">
      <c r="A595" s="25"/>
      <c r="B595" s="25"/>
      <c r="H595" s="25"/>
      <c r="I595" s="25"/>
    </row>
    <row r="596">
      <c r="A596" s="25"/>
      <c r="B596" s="25"/>
      <c r="H596" s="25"/>
      <c r="I596" s="25"/>
    </row>
    <row r="597">
      <c r="A597" s="25"/>
      <c r="B597" s="25"/>
      <c r="H597" s="25"/>
      <c r="I597" s="25"/>
    </row>
    <row r="598">
      <c r="A598" s="25"/>
      <c r="B598" s="25"/>
      <c r="H598" s="25"/>
      <c r="I598" s="25"/>
    </row>
    <row r="599">
      <c r="A599" s="25"/>
      <c r="B599" s="25"/>
      <c r="H599" s="25"/>
      <c r="I599" s="25"/>
    </row>
    <row r="600">
      <c r="A600" s="25"/>
      <c r="B600" s="25"/>
      <c r="H600" s="25"/>
      <c r="I600" s="25"/>
    </row>
    <row r="601">
      <c r="A601" s="25"/>
      <c r="B601" s="25"/>
      <c r="H601" s="25"/>
      <c r="I601" s="25"/>
    </row>
    <row r="602">
      <c r="A602" s="25"/>
      <c r="B602" s="25"/>
      <c r="H602" s="25"/>
      <c r="I602" s="25"/>
    </row>
    <row r="603">
      <c r="A603" s="25"/>
      <c r="B603" s="25"/>
      <c r="H603" s="25"/>
      <c r="I603" s="25"/>
    </row>
    <row r="604">
      <c r="A604" s="25"/>
      <c r="B604" s="25"/>
      <c r="H604" s="25"/>
      <c r="I604" s="25"/>
    </row>
    <row r="605">
      <c r="A605" s="25"/>
      <c r="B605" s="25"/>
      <c r="H605" s="25"/>
      <c r="I605" s="25"/>
    </row>
    <row r="606">
      <c r="A606" s="25"/>
      <c r="B606" s="25"/>
      <c r="H606" s="25"/>
      <c r="I606" s="25"/>
    </row>
    <row r="607">
      <c r="A607" s="25"/>
      <c r="B607" s="25"/>
      <c r="H607" s="25"/>
      <c r="I607" s="25"/>
    </row>
    <row r="608">
      <c r="A608" s="25"/>
      <c r="B608" s="25"/>
      <c r="H608" s="25"/>
      <c r="I608" s="25"/>
    </row>
    <row r="609">
      <c r="A609" s="25"/>
      <c r="B609" s="25"/>
      <c r="H609" s="25"/>
      <c r="I609" s="25"/>
    </row>
    <row r="610">
      <c r="A610" s="25"/>
      <c r="B610" s="25"/>
      <c r="H610" s="25"/>
      <c r="I610" s="25"/>
    </row>
    <row r="611">
      <c r="A611" s="25"/>
      <c r="B611" s="25"/>
      <c r="H611" s="25"/>
      <c r="I611" s="25"/>
    </row>
    <row r="612">
      <c r="A612" s="25"/>
      <c r="B612" s="25"/>
      <c r="H612" s="25"/>
      <c r="I612" s="25"/>
    </row>
    <row r="613">
      <c r="A613" s="25"/>
      <c r="B613" s="25"/>
      <c r="H613" s="25"/>
      <c r="I613" s="25"/>
    </row>
    <row r="614">
      <c r="A614" s="25"/>
      <c r="B614" s="25"/>
      <c r="H614" s="25"/>
      <c r="I614" s="25"/>
    </row>
    <row r="615">
      <c r="A615" s="25"/>
      <c r="B615" s="25"/>
      <c r="H615" s="25"/>
      <c r="I615" s="25"/>
    </row>
    <row r="616">
      <c r="A616" s="25"/>
      <c r="B616" s="25"/>
      <c r="H616" s="25"/>
      <c r="I616" s="25"/>
    </row>
    <row r="617">
      <c r="A617" s="25"/>
      <c r="B617" s="25"/>
      <c r="H617" s="25"/>
      <c r="I617" s="25"/>
    </row>
    <row r="618">
      <c r="A618" s="25"/>
      <c r="B618" s="25"/>
      <c r="H618" s="25"/>
      <c r="I618" s="25"/>
    </row>
    <row r="619">
      <c r="A619" s="25"/>
      <c r="B619" s="25"/>
      <c r="H619" s="25"/>
      <c r="I619" s="25"/>
    </row>
    <row r="620">
      <c r="A620" s="25"/>
      <c r="B620" s="25"/>
      <c r="H620" s="25"/>
      <c r="I620" s="25"/>
    </row>
    <row r="621">
      <c r="A621" s="25"/>
      <c r="B621" s="25"/>
      <c r="H621" s="25"/>
      <c r="I621" s="25"/>
    </row>
    <row r="622">
      <c r="A622" s="25"/>
      <c r="B622" s="25"/>
      <c r="H622" s="25"/>
      <c r="I622" s="25"/>
    </row>
    <row r="623">
      <c r="A623" s="25"/>
      <c r="B623" s="25"/>
      <c r="H623" s="25"/>
      <c r="I623" s="25"/>
    </row>
    <row r="624">
      <c r="A624" s="25"/>
      <c r="B624" s="25"/>
      <c r="H624" s="25"/>
      <c r="I624" s="25"/>
    </row>
    <row r="625">
      <c r="A625" s="25"/>
      <c r="B625" s="25"/>
      <c r="H625" s="25"/>
      <c r="I625" s="25"/>
    </row>
    <row r="626">
      <c r="A626" s="25"/>
      <c r="B626" s="25"/>
      <c r="H626" s="25"/>
      <c r="I626" s="25"/>
    </row>
    <row r="627">
      <c r="A627" s="25"/>
      <c r="B627" s="25"/>
      <c r="H627" s="25"/>
      <c r="I627" s="25"/>
    </row>
    <row r="628">
      <c r="A628" s="25"/>
      <c r="B628" s="25"/>
      <c r="H628" s="25"/>
      <c r="I628" s="25"/>
    </row>
    <row r="629">
      <c r="A629" s="25"/>
      <c r="B629" s="25"/>
      <c r="H629" s="25"/>
      <c r="I629" s="25"/>
    </row>
    <row r="630">
      <c r="A630" s="25"/>
      <c r="B630" s="25"/>
      <c r="H630" s="25"/>
      <c r="I630" s="25"/>
    </row>
    <row r="631">
      <c r="A631" s="25"/>
      <c r="B631" s="25"/>
      <c r="H631" s="25"/>
      <c r="I631" s="25"/>
    </row>
    <row r="632">
      <c r="A632" s="25"/>
      <c r="B632" s="25"/>
      <c r="H632" s="25"/>
      <c r="I632" s="25"/>
    </row>
    <row r="633">
      <c r="A633" s="25"/>
      <c r="B633" s="25"/>
      <c r="H633" s="25"/>
      <c r="I633" s="25"/>
    </row>
    <row r="634">
      <c r="A634" s="25"/>
      <c r="B634" s="25"/>
      <c r="H634" s="25"/>
      <c r="I634" s="25"/>
    </row>
    <row r="635">
      <c r="A635" s="25"/>
      <c r="B635" s="25"/>
      <c r="H635" s="25"/>
      <c r="I635" s="25"/>
    </row>
    <row r="636">
      <c r="A636" s="25"/>
      <c r="B636" s="25"/>
      <c r="H636" s="25"/>
      <c r="I636" s="25"/>
    </row>
    <row r="637">
      <c r="A637" s="25"/>
      <c r="B637" s="25"/>
      <c r="H637" s="25"/>
      <c r="I637" s="25"/>
    </row>
    <row r="638">
      <c r="A638" s="25"/>
      <c r="B638" s="25"/>
      <c r="H638" s="25"/>
      <c r="I638" s="25"/>
    </row>
    <row r="639">
      <c r="A639" s="25"/>
      <c r="B639" s="25"/>
      <c r="H639" s="25"/>
      <c r="I639" s="25"/>
    </row>
    <row r="640">
      <c r="A640" s="25"/>
      <c r="B640" s="25"/>
      <c r="H640" s="25"/>
      <c r="I640" s="25"/>
    </row>
    <row r="641">
      <c r="A641" s="25"/>
      <c r="B641" s="25"/>
      <c r="H641" s="25"/>
      <c r="I641" s="25"/>
    </row>
    <row r="642">
      <c r="A642" s="25"/>
      <c r="B642" s="25"/>
      <c r="H642" s="25"/>
      <c r="I642" s="25"/>
    </row>
    <row r="643">
      <c r="A643" s="25"/>
      <c r="B643" s="25"/>
      <c r="H643" s="25"/>
      <c r="I643" s="25"/>
    </row>
    <row r="644">
      <c r="A644" s="25"/>
      <c r="B644" s="25"/>
      <c r="H644" s="25"/>
      <c r="I644" s="25"/>
    </row>
    <row r="645">
      <c r="A645" s="25"/>
      <c r="B645" s="25"/>
      <c r="H645" s="25"/>
      <c r="I645" s="25"/>
    </row>
    <row r="646">
      <c r="A646" s="25"/>
      <c r="B646" s="25"/>
      <c r="H646" s="25"/>
      <c r="I646" s="25"/>
    </row>
    <row r="647">
      <c r="A647" s="25"/>
      <c r="B647" s="25"/>
      <c r="H647" s="25"/>
      <c r="I647" s="25"/>
    </row>
    <row r="648">
      <c r="A648" s="25"/>
      <c r="B648" s="25"/>
      <c r="H648" s="25"/>
      <c r="I648" s="25"/>
    </row>
    <row r="649">
      <c r="A649" s="25"/>
      <c r="B649" s="25"/>
      <c r="H649" s="25"/>
      <c r="I649" s="25"/>
    </row>
    <row r="650">
      <c r="A650" s="25"/>
      <c r="B650" s="25"/>
      <c r="H650" s="25"/>
      <c r="I650" s="25"/>
    </row>
    <row r="651">
      <c r="A651" s="25"/>
      <c r="B651" s="25"/>
      <c r="H651" s="25"/>
      <c r="I651" s="25"/>
    </row>
    <row r="652">
      <c r="A652" s="25"/>
      <c r="B652" s="25"/>
      <c r="H652" s="25"/>
      <c r="I652" s="25"/>
    </row>
    <row r="653">
      <c r="A653" s="25"/>
      <c r="B653" s="25"/>
      <c r="H653" s="25"/>
      <c r="I653" s="25"/>
    </row>
    <row r="654">
      <c r="A654" s="25"/>
      <c r="B654" s="25"/>
      <c r="H654" s="25"/>
      <c r="I654" s="25"/>
    </row>
    <row r="655">
      <c r="A655" s="25"/>
      <c r="B655" s="25"/>
      <c r="H655" s="25"/>
      <c r="I655" s="25"/>
    </row>
    <row r="656">
      <c r="A656" s="25"/>
      <c r="B656" s="25"/>
      <c r="H656" s="25"/>
      <c r="I656" s="25"/>
    </row>
    <row r="657">
      <c r="A657" s="25"/>
      <c r="B657" s="25"/>
      <c r="H657" s="25"/>
      <c r="I657" s="25"/>
    </row>
    <row r="658">
      <c r="A658" s="25"/>
      <c r="B658" s="25"/>
      <c r="H658" s="25"/>
      <c r="I658" s="25"/>
    </row>
    <row r="659">
      <c r="A659" s="25"/>
      <c r="B659" s="25"/>
      <c r="H659" s="25"/>
      <c r="I659" s="25"/>
    </row>
    <row r="660">
      <c r="A660" s="25"/>
      <c r="B660" s="25"/>
      <c r="H660" s="25"/>
      <c r="I660" s="25"/>
    </row>
    <row r="661">
      <c r="A661" s="25"/>
      <c r="B661" s="25"/>
      <c r="H661" s="25"/>
      <c r="I661" s="25"/>
    </row>
    <row r="662">
      <c r="A662" s="25"/>
      <c r="B662" s="25"/>
      <c r="H662" s="25"/>
      <c r="I662" s="25"/>
    </row>
    <row r="663">
      <c r="A663" s="25"/>
      <c r="B663" s="25"/>
      <c r="H663" s="25"/>
      <c r="I663" s="25"/>
    </row>
    <row r="664">
      <c r="A664" s="25"/>
      <c r="B664" s="25"/>
      <c r="H664" s="25"/>
      <c r="I664" s="25"/>
    </row>
    <row r="665">
      <c r="A665" s="25"/>
      <c r="B665" s="25"/>
      <c r="H665" s="25"/>
      <c r="I665" s="25"/>
    </row>
    <row r="666">
      <c r="A666" s="25"/>
      <c r="B666" s="25"/>
      <c r="H666" s="25"/>
      <c r="I666" s="25"/>
    </row>
    <row r="667">
      <c r="A667" s="25"/>
      <c r="B667" s="25"/>
      <c r="H667" s="25"/>
      <c r="I667" s="25"/>
    </row>
    <row r="668">
      <c r="A668" s="25"/>
      <c r="B668" s="25"/>
      <c r="H668" s="25"/>
      <c r="I668" s="25"/>
    </row>
    <row r="669">
      <c r="A669" s="25"/>
      <c r="B669" s="25"/>
      <c r="H669" s="25"/>
      <c r="I669" s="25"/>
    </row>
    <row r="670">
      <c r="A670" s="25"/>
      <c r="B670" s="25"/>
      <c r="H670" s="25"/>
      <c r="I670" s="25"/>
    </row>
    <row r="671">
      <c r="A671" s="25"/>
      <c r="B671" s="25"/>
      <c r="H671" s="25"/>
      <c r="I671" s="25"/>
    </row>
    <row r="672">
      <c r="A672" s="25"/>
      <c r="B672" s="25"/>
      <c r="H672" s="25"/>
      <c r="I672" s="25"/>
    </row>
    <row r="673">
      <c r="A673" s="25"/>
      <c r="B673" s="25"/>
      <c r="H673" s="25"/>
      <c r="I673" s="25"/>
    </row>
    <row r="674">
      <c r="A674" s="25"/>
      <c r="B674" s="25"/>
      <c r="H674" s="25"/>
      <c r="I674" s="25"/>
    </row>
    <row r="675">
      <c r="A675" s="25"/>
      <c r="B675" s="25"/>
      <c r="H675" s="25"/>
      <c r="I675" s="25"/>
    </row>
    <row r="676">
      <c r="A676" s="25"/>
      <c r="B676" s="25"/>
      <c r="H676" s="25"/>
      <c r="I676" s="25"/>
    </row>
    <row r="677">
      <c r="A677" s="25"/>
      <c r="B677" s="25"/>
      <c r="H677" s="25"/>
      <c r="I677" s="25"/>
    </row>
    <row r="678">
      <c r="A678" s="25"/>
      <c r="B678" s="25"/>
      <c r="H678" s="25"/>
      <c r="I678" s="25"/>
    </row>
    <row r="679">
      <c r="A679" s="25"/>
      <c r="B679" s="25"/>
      <c r="H679" s="25"/>
      <c r="I679" s="25"/>
    </row>
    <row r="680">
      <c r="A680" s="25"/>
      <c r="B680" s="25"/>
      <c r="H680" s="25"/>
      <c r="I680" s="25"/>
    </row>
    <row r="681">
      <c r="A681" s="25"/>
      <c r="B681" s="25"/>
      <c r="H681" s="25"/>
      <c r="I681" s="25"/>
    </row>
    <row r="682">
      <c r="A682" s="25"/>
      <c r="B682" s="25"/>
      <c r="H682" s="25"/>
      <c r="I682" s="25"/>
    </row>
    <row r="683">
      <c r="A683" s="25"/>
      <c r="B683" s="25"/>
      <c r="H683" s="25"/>
      <c r="I683" s="25"/>
    </row>
    <row r="684">
      <c r="A684" s="25"/>
      <c r="B684" s="25"/>
      <c r="H684" s="25"/>
      <c r="I684" s="25"/>
    </row>
    <row r="685">
      <c r="A685" s="25"/>
      <c r="B685" s="25"/>
      <c r="H685" s="25"/>
      <c r="I685" s="25"/>
    </row>
    <row r="686">
      <c r="A686" s="25"/>
      <c r="B686" s="25"/>
      <c r="H686" s="25"/>
      <c r="I686" s="25"/>
    </row>
    <row r="687">
      <c r="A687" s="25"/>
      <c r="B687" s="25"/>
      <c r="H687" s="25"/>
      <c r="I687" s="25"/>
    </row>
    <row r="688">
      <c r="A688" s="25"/>
      <c r="B688" s="25"/>
      <c r="H688" s="25"/>
      <c r="I688" s="25"/>
    </row>
    <row r="689">
      <c r="A689" s="25"/>
      <c r="B689" s="25"/>
      <c r="H689" s="25"/>
      <c r="I689" s="25"/>
    </row>
    <row r="690">
      <c r="A690" s="25"/>
      <c r="B690" s="25"/>
      <c r="H690" s="25"/>
      <c r="I690" s="25"/>
    </row>
    <row r="691">
      <c r="A691" s="25"/>
      <c r="B691" s="25"/>
      <c r="H691" s="25"/>
      <c r="I691" s="25"/>
    </row>
    <row r="692">
      <c r="A692" s="25"/>
      <c r="B692" s="25"/>
      <c r="H692" s="25"/>
      <c r="I692" s="25"/>
    </row>
    <row r="693">
      <c r="A693" s="25"/>
      <c r="B693" s="25"/>
      <c r="H693" s="25"/>
      <c r="I693" s="25"/>
    </row>
    <row r="694">
      <c r="A694" s="25"/>
      <c r="B694" s="25"/>
      <c r="H694" s="25"/>
      <c r="I694" s="25"/>
    </row>
    <row r="695">
      <c r="A695" s="25"/>
      <c r="B695" s="25"/>
      <c r="H695" s="25"/>
      <c r="I695" s="25"/>
    </row>
    <row r="696">
      <c r="A696" s="25"/>
      <c r="B696" s="25"/>
      <c r="H696" s="25"/>
      <c r="I696" s="25"/>
    </row>
    <row r="697">
      <c r="A697" s="25"/>
      <c r="B697" s="25"/>
      <c r="H697" s="25"/>
      <c r="I697" s="25"/>
    </row>
    <row r="698">
      <c r="A698" s="25"/>
      <c r="B698" s="25"/>
      <c r="H698" s="25"/>
      <c r="I698" s="25"/>
    </row>
    <row r="699">
      <c r="A699" s="25"/>
      <c r="B699" s="25"/>
      <c r="H699" s="25"/>
      <c r="I699" s="25"/>
    </row>
    <row r="700">
      <c r="A700" s="25"/>
      <c r="B700" s="25"/>
      <c r="H700" s="25"/>
      <c r="I700" s="25"/>
    </row>
    <row r="701">
      <c r="A701" s="25"/>
      <c r="B701" s="25"/>
      <c r="H701" s="25"/>
      <c r="I701" s="25"/>
    </row>
    <row r="702">
      <c r="A702" s="25"/>
      <c r="B702" s="25"/>
      <c r="H702" s="25"/>
      <c r="I702" s="25"/>
    </row>
    <row r="703">
      <c r="A703" s="25"/>
      <c r="B703" s="25"/>
      <c r="H703" s="25"/>
      <c r="I703" s="25"/>
    </row>
    <row r="704">
      <c r="A704" s="25"/>
      <c r="B704" s="25"/>
      <c r="H704" s="25"/>
      <c r="I704" s="25"/>
    </row>
    <row r="705">
      <c r="A705" s="25"/>
      <c r="B705" s="25"/>
      <c r="H705" s="25"/>
      <c r="I705" s="25"/>
    </row>
    <row r="706">
      <c r="A706" s="25"/>
      <c r="B706" s="25"/>
      <c r="H706" s="25"/>
      <c r="I706" s="25"/>
    </row>
    <row r="707">
      <c r="A707" s="25"/>
      <c r="B707" s="25"/>
      <c r="H707" s="25"/>
      <c r="I707" s="25"/>
    </row>
    <row r="708">
      <c r="A708" s="25"/>
      <c r="B708" s="25"/>
      <c r="H708" s="25"/>
      <c r="I708" s="25"/>
    </row>
    <row r="709">
      <c r="A709" s="25"/>
      <c r="B709" s="25"/>
      <c r="H709" s="25"/>
      <c r="I709" s="25"/>
    </row>
    <row r="710">
      <c r="A710" s="25"/>
      <c r="B710" s="25"/>
      <c r="H710" s="25"/>
      <c r="I710" s="25"/>
    </row>
    <row r="711">
      <c r="A711" s="25"/>
      <c r="B711" s="25"/>
      <c r="H711" s="25"/>
      <c r="I711" s="25"/>
    </row>
    <row r="712">
      <c r="A712" s="25"/>
      <c r="B712" s="25"/>
      <c r="H712" s="25"/>
      <c r="I712" s="25"/>
    </row>
    <row r="713">
      <c r="A713" s="25"/>
      <c r="B713" s="25"/>
      <c r="H713" s="25"/>
      <c r="I713" s="25"/>
    </row>
    <row r="714">
      <c r="A714" s="25"/>
      <c r="B714" s="25"/>
      <c r="H714" s="25"/>
      <c r="I714" s="25"/>
    </row>
    <row r="715">
      <c r="A715" s="25"/>
      <c r="B715" s="25"/>
      <c r="H715" s="25"/>
      <c r="I715" s="25"/>
    </row>
    <row r="716">
      <c r="A716" s="25"/>
      <c r="B716" s="25"/>
      <c r="H716" s="25"/>
      <c r="I716" s="25"/>
    </row>
    <row r="717">
      <c r="A717" s="25"/>
      <c r="B717" s="25"/>
      <c r="H717" s="25"/>
      <c r="I717" s="25"/>
    </row>
    <row r="718">
      <c r="A718" s="25"/>
      <c r="B718" s="25"/>
      <c r="H718" s="25"/>
      <c r="I718" s="25"/>
    </row>
    <row r="719">
      <c r="A719" s="25"/>
      <c r="B719" s="25"/>
      <c r="H719" s="25"/>
      <c r="I719" s="25"/>
    </row>
    <row r="720">
      <c r="A720" s="25"/>
      <c r="B720" s="25"/>
      <c r="H720" s="25"/>
      <c r="I720" s="25"/>
    </row>
    <row r="721">
      <c r="A721" s="25"/>
      <c r="B721" s="25"/>
      <c r="H721" s="25"/>
      <c r="I721" s="25"/>
    </row>
    <row r="722">
      <c r="A722" s="25"/>
      <c r="B722" s="25"/>
      <c r="H722" s="25"/>
      <c r="I722" s="25"/>
    </row>
    <row r="723">
      <c r="A723" s="25"/>
      <c r="B723" s="25"/>
      <c r="H723" s="25"/>
      <c r="I723" s="25"/>
    </row>
    <row r="724">
      <c r="A724" s="25"/>
      <c r="B724" s="25"/>
      <c r="H724" s="25"/>
      <c r="I724" s="25"/>
    </row>
    <row r="725">
      <c r="A725" s="25"/>
      <c r="B725" s="25"/>
      <c r="H725" s="25"/>
      <c r="I725" s="25"/>
    </row>
    <row r="726">
      <c r="A726" s="25"/>
      <c r="B726" s="25"/>
      <c r="H726" s="25"/>
      <c r="I726" s="25"/>
    </row>
    <row r="727">
      <c r="A727" s="25"/>
      <c r="B727" s="25"/>
      <c r="H727" s="25"/>
      <c r="I727" s="25"/>
    </row>
    <row r="728">
      <c r="A728" s="25"/>
      <c r="B728" s="25"/>
      <c r="H728" s="25"/>
      <c r="I728" s="25"/>
    </row>
    <row r="729">
      <c r="A729" s="25"/>
      <c r="B729" s="25"/>
      <c r="H729" s="25"/>
      <c r="I729" s="25"/>
    </row>
    <row r="730">
      <c r="A730" s="25"/>
      <c r="B730" s="25"/>
      <c r="H730" s="25"/>
      <c r="I730" s="25"/>
    </row>
    <row r="731">
      <c r="A731" s="25"/>
      <c r="B731" s="25"/>
      <c r="H731" s="25"/>
      <c r="I731" s="25"/>
    </row>
    <row r="732">
      <c r="A732" s="25"/>
      <c r="B732" s="25"/>
      <c r="H732" s="25"/>
      <c r="I732" s="25"/>
    </row>
    <row r="733">
      <c r="A733" s="25"/>
      <c r="B733" s="25"/>
      <c r="H733" s="25"/>
      <c r="I733" s="25"/>
    </row>
    <row r="734">
      <c r="A734" s="25"/>
      <c r="B734" s="25"/>
      <c r="H734" s="25"/>
      <c r="I734" s="25"/>
    </row>
    <row r="735">
      <c r="A735" s="25"/>
      <c r="B735" s="25"/>
      <c r="H735" s="25"/>
      <c r="I735" s="25"/>
    </row>
    <row r="736">
      <c r="A736" s="25"/>
      <c r="B736" s="25"/>
      <c r="H736" s="25"/>
      <c r="I736" s="25"/>
    </row>
    <row r="737">
      <c r="A737" s="25"/>
      <c r="B737" s="25"/>
      <c r="H737" s="25"/>
      <c r="I737" s="25"/>
    </row>
    <row r="738">
      <c r="A738" s="25"/>
      <c r="B738" s="25"/>
      <c r="H738" s="25"/>
      <c r="I738" s="25"/>
    </row>
    <row r="739">
      <c r="A739" s="25"/>
      <c r="B739" s="25"/>
      <c r="H739" s="25"/>
      <c r="I739" s="25"/>
    </row>
    <row r="740">
      <c r="A740" s="25"/>
      <c r="B740" s="25"/>
      <c r="H740" s="25"/>
      <c r="I740" s="25"/>
    </row>
    <row r="741">
      <c r="A741" s="25"/>
      <c r="B741" s="25"/>
      <c r="H741" s="25"/>
      <c r="I741" s="25"/>
    </row>
    <row r="742">
      <c r="A742" s="25"/>
      <c r="B742" s="25"/>
      <c r="H742" s="25"/>
      <c r="I742" s="25"/>
    </row>
    <row r="743">
      <c r="A743" s="25"/>
      <c r="B743" s="25"/>
      <c r="H743" s="25"/>
      <c r="I743" s="25"/>
    </row>
    <row r="744">
      <c r="A744" s="25"/>
      <c r="B744" s="25"/>
      <c r="H744" s="25"/>
      <c r="I744" s="25"/>
    </row>
    <row r="745">
      <c r="A745" s="25"/>
      <c r="B745" s="25"/>
      <c r="H745" s="25"/>
      <c r="I745" s="25"/>
    </row>
    <row r="746">
      <c r="A746" s="25"/>
      <c r="B746" s="25"/>
      <c r="H746" s="25"/>
      <c r="I746" s="25"/>
    </row>
    <row r="747">
      <c r="A747" s="25"/>
      <c r="B747" s="25"/>
      <c r="H747" s="25"/>
      <c r="I747" s="25"/>
    </row>
    <row r="748">
      <c r="A748" s="25"/>
      <c r="B748" s="25"/>
      <c r="H748" s="25"/>
      <c r="I748" s="25"/>
    </row>
    <row r="749">
      <c r="A749" s="25"/>
      <c r="B749" s="25"/>
      <c r="H749" s="25"/>
      <c r="I749" s="25"/>
    </row>
    <row r="750">
      <c r="A750" s="25"/>
      <c r="B750" s="25"/>
      <c r="H750" s="25"/>
      <c r="I750" s="25"/>
    </row>
    <row r="751">
      <c r="A751" s="25"/>
      <c r="B751" s="25"/>
      <c r="H751" s="25"/>
      <c r="I751" s="25"/>
    </row>
    <row r="752">
      <c r="A752" s="25"/>
      <c r="B752" s="25"/>
      <c r="H752" s="25"/>
      <c r="I752" s="25"/>
    </row>
    <row r="753">
      <c r="A753" s="25"/>
      <c r="B753" s="25"/>
      <c r="H753" s="25"/>
      <c r="I753" s="25"/>
    </row>
    <row r="754">
      <c r="A754" s="25"/>
      <c r="B754" s="25"/>
      <c r="H754" s="25"/>
      <c r="I754" s="25"/>
    </row>
    <row r="755">
      <c r="A755" s="25"/>
      <c r="B755" s="25"/>
      <c r="H755" s="25"/>
      <c r="I755" s="25"/>
    </row>
    <row r="756">
      <c r="A756" s="25"/>
      <c r="B756" s="25"/>
      <c r="H756" s="25"/>
      <c r="I756" s="25"/>
    </row>
    <row r="757">
      <c r="A757" s="25"/>
      <c r="B757" s="25"/>
      <c r="H757" s="25"/>
      <c r="I757" s="25"/>
    </row>
    <row r="758">
      <c r="A758" s="25"/>
      <c r="B758" s="25"/>
      <c r="H758" s="25"/>
      <c r="I758" s="25"/>
    </row>
    <row r="759">
      <c r="A759" s="25"/>
      <c r="B759" s="25"/>
      <c r="H759" s="25"/>
      <c r="I759" s="25"/>
    </row>
    <row r="760">
      <c r="A760" s="25"/>
      <c r="B760" s="25"/>
      <c r="H760" s="25"/>
      <c r="I760" s="25"/>
    </row>
    <row r="761">
      <c r="A761" s="25"/>
      <c r="B761" s="25"/>
      <c r="H761" s="25"/>
      <c r="I761" s="25"/>
    </row>
    <row r="762">
      <c r="A762" s="25"/>
      <c r="B762" s="25"/>
      <c r="H762" s="25"/>
      <c r="I762" s="25"/>
    </row>
    <row r="763">
      <c r="A763" s="25"/>
      <c r="B763" s="25"/>
      <c r="H763" s="25"/>
      <c r="I763" s="25"/>
    </row>
    <row r="764">
      <c r="A764" s="25"/>
      <c r="B764" s="25"/>
      <c r="H764" s="25"/>
      <c r="I764" s="25"/>
    </row>
    <row r="765">
      <c r="A765" s="25"/>
      <c r="B765" s="25"/>
      <c r="H765" s="25"/>
      <c r="I765" s="25"/>
    </row>
    <row r="766">
      <c r="A766" s="25"/>
      <c r="B766" s="25"/>
      <c r="H766" s="25"/>
      <c r="I766" s="25"/>
    </row>
    <row r="767">
      <c r="A767" s="25"/>
      <c r="B767" s="25"/>
      <c r="H767" s="25"/>
      <c r="I767" s="25"/>
    </row>
    <row r="768">
      <c r="A768" s="25"/>
      <c r="B768" s="25"/>
      <c r="H768" s="25"/>
      <c r="I768" s="25"/>
    </row>
    <row r="769">
      <c r="A769" s="25"/>
      <c r="B769" s="25"/>
      <c r="H769" s="25"/>
      <c r="I769" s="25"/>
    </row>
    <row r="770">
      <c r="A770" s="25"/>
      <c r="B770" s="25"/>
      <c r="H770" s="25"/>
      <c r="I770" s="25"/>
    </row>
    <row r="771">
      <c r="A771" s="25"/>
      <c r="B771" s="25"/>
      <c r="H771" s="25"/>
      <c r="I771" s="25"/>
    </row>
    <row r="772">
      <c r="A772" s="25"/>
      <c r="B772" s="25"/>
      <c r="H772" s="25"/>
      <c r="I772" s="25"/>
    </row>
    <row r="773">
      <c r="A773" s="25"/>
      <c r="B773" s="25"/>
      <c r="H773" s="25"/>
      <c r="I773" s="25"/>
    </row>
    <row r="774">
      <c r="A774" s="25"/>
      <c r="B774" s="25"/>
      <c r="H774" s="25"/>
      <c r="I774" s="25"/>
    </row>
    <row r="775">
      <c r="A775" s="25"/>
      <c r="B775" s="25"/>
      <c r="H775" s="25"/>
      <c r="I775" s="25"/>
    </row>
    <row r="776">
      <c r="A776" s="25"/>
      <c r="B776" s="25"/>
      <c r="H776" s="25"/>
      <c r="I776" s="25"/>
    </row>
    <row r="777">
      <c r="A777" s="25"/>
      <c r="B777" s="25"/>
      <c r="H777" s="25"/>
      <c r="I777" s="25"/>
    </row>
    <row r="778">
      <c r="A778" s="25"/>
      <c r="B778" s="25"/>
      <c r="H778" s="25"/>
      <c r="I778" s="25"/>
    </row>
    <row r="779">
      <c r="A779" s="25"/>
      <c r="B779" s="25"/>
      <c r="H779" s="25"/>
      <c r="I779" s="25"/>
    </row>
    <row r="780">
      <c r="A780" s="25"/>
      <c r="B780" s="25"/>
      <c r="H780" s="25"/>
      <c r="I780" s="25"/>
    </row>
    <row r="781">
      <c r="A781" s="25"/>
      <c r="B781" s="25"/>
      <c r="H781" s="25"/>
      <c r="I781" s="25"/>
    </row>
    <row r="782">
      <c r="A782" s="25"/>
      <c r="B782" s="25"/>
      <c r="H782" s="25"/>
      <c r="I782" s="25"/>
    </row>
    <row r="783">
      <c r="A783" s="25"/>
      <c r="B783" s="25"/>
      <c r="H783" s="25"/>
      <c r="I783" s="25"/>
    </row>
    <row r="784">
      <c r="A784" s="25"/>
      <c r="B784" s="25"/>
      <c r="H784" s="25"/>
      <c r="I784" s="25"/>
    </row>
    <row r="785">
      <c r="A785" s="25"/>
      <c r="B785" s="25"/>
      <c r="H785" s="25"/>
      <c r="I785" s="25"/>
    </row>
    <row r="786">
      <c r="A786" s="25"/>
      <c r="B786" s="25"/>
      <c r="H786" s="25"/>
      <c r="I786" s="25"/>
    </row>
    <row r="787">
      <c r="A787" s="25"/>
      <c r="B787" s="25"/>
      <c r="H787" s="25"/>
      <c r="I787" s="25"/>
    </row>
    <row r="788">
      <c r="A788" s="25"/>
      <c r="B788" s="25"/>
      <c r="H788" s="25"/>
      <c r="I788" s="25"/>
    </row>
    <row r="789">
      <c r="A789" s="25"/>
      <c r="B789" s="25"/>
      <c r="H789" s="25"/>
      <c r="I789" s="25"/>
    </row>
    <row r="790">
      <c r="A790" s="25"/>
      <c r="B790" s="25"/>
      <c r="H790" s="25"/>
      <c r="I790" s="25"/>
    </row>
    <row r="791">
      <c r="A791" s="25"/>
      <c r="B791" s="25"/>
      <c r="H791" s="25"/>
      <c r="I791" s="25"/>
    </row>
    <row r="792">
      <c r="A792" s="25"/>
      <c r="B792" s="25"/>
      <c r="H792" s="25"/>
      <c r="I792" s="25"/>
    </row>
    <row r="793">
      <c r="A793" s="25"/>
      <c r="B793" s="25"/>
      <c r="H793" s="25"/>
      <c r="I793" s="25"/>
    </row>
    <row r="794">
      <c r="A794" s="25"/>
      <c r="B794" s="25"/>
      <c r="H794" s="25"/>
      <c r="I794" s="25"/>
    </row>
    <row r="795">
      <c r="A795" s="25"/>
      <c r="B795" s="25"/>
      <c r="H795" s="25"/>
      <c r="I795" s="25"/>
    </row>
    <row r="796">
      <c r="A796" s="25"/>
      <c r="B796" s="25"/>
      <c r="H796" s="25"/>
      <c r="I796" s="25"/>
    </row>
    <row r="797">
      <c r="A797" s="25"/>
      <c r="B797" s="25"/>
      <c r="H797" s="25"/>
      <c r="I797" s="25"/>
    </row>
    <row r="798">
      <c r="A798" s="25"/>
      <c r="B798" s="25"/>
      <c r="H798" s="25"/>
      <c r="I798" s="25"/>
    </row>
    <row r="799">
      <c r="A799" s="25"/>
      <c r="B799" s="25"/>
      <c r="H799" s="25"/>
      <c r="I799" s="25"/>
    </row>
    <row r="800">
      <c r="A800" s="25"/>
      <c r="B800" s="25"/>
      <c r="H800" s="25"/>
      <c r="I800" s="25"/>
    </row>
    <row r="801">
      <c r="A801" s="25"/>
      <c r="B801" s="25"/>
      <c r="H801" s="25"/>
      <c r="I801" s="25"/>
    </row>
    <row r="802">
      <c r="A802" s="25"/>
      <c r="B802" s="25"/>
      <c r="H802" s="25"/>
      <c r="I802" s="25"/>
    </row>
    <row r="803">
      <c r="A803" s="25"/>
      <c r="B803" s="25"/>
      <c r="H803" s="25"/>
      <c r="I803" s="25"/>
    </row>
    <row r="804">
      <c r="A804" s="25"/>
      <c r="B804" s="25"/>
      <c r="H804" s="25"/>
      <c r="I804" s="25"/>
    </row>
    <row r="805">
      <c r="A805" s="25"/>
      <c r="B805" s="25"/>
      <c r="H805" s="25"/>
      <c r="I805" s="25"/>
    </row>
    <row r="806">
      <c r="A806" s="25"/>
      <c r="B806" s="25"/>
      <c r="H806" s="25"/>
      <c r="I806" s="25"/>
    </row>
    <row r="807">
      <c r="A807" s="25"/>
      <c r="B807" s="25"/>
      <c r="H807" s="25"/>
      <c r="I807" s="25"/>
    </row>
    <row r="808">
      <c r="A808" s="25"/>
      <c r="B808" s="25"/>
      <c r="H808" s="25"/>
      <c r="I808" s="25"/>
    </row>
    <row r="809">
      <c r="A809" s="25"/>
      <c r="B809" s="25"/>
      <c r="H809" s="25"/>
      <c r="I809" s="25"/>
    </row>
    <row r="810">
      <c r="A810" s="25"/>
      <c r="B810" s="25"/>
      <c r="H810" s="25"/>
      <c r="I810" s="25"/>
    </row>
    <row r="811">
      <c r="A811" s="25"/>
      <c r="B811" s="25"/>
      <c r="H811" s="25"/>
      <c r="I811" s="25"/>
    </row>
    <row r="812">
      <c r="A812" s="25"/>
      <c r="B812" s="25"/>
      <c r="H812" s="25"/>
      <c r="I812" s="25"/>
    </row>
    <row r="813">
      <c r="A813" s="25"/>
      <c r="B813" s="25"/>
      <c r="H813" s="25"/>
      <c r="I813" s="25"/>
    </row>
    <row r="814">
      <c r="A814" s="25"/>
      <c r="B814" s="25"/>
      <c r="H814" s="25"/>
      <c r="I814" s="25"/>
    </row>
    <row r="815">
      <c r="A815" s="25"/>
      <c r="B815" s="25"/>
      <c r="H815" s="25"/>
      <c r="I815" s="25"/>
    </row>
    <row r="816">
      <c r="A816" s="25"/>
      <c r="B816" s="25"/>
      <c r="H816" s="25"/>
      <c r="I816" s="25"/>
    </row>
    <row r="817">
      <c r="A817" s="25"/>
      <c r="B817" s="25"/>
      <c r="H817" s="25"/>
      <c r="I817" s="25"/>
    </row>
    <row r="818">
      <c r="A818" s="25"/>
      <c r="B818" s="25"/>
      <c r="H818" s="25"/>
      <c r="I818" s="25"/>
    </row>
    <row r="819">
      <c r="A819" s="25"/>
      <c r="B819" s="25"/>
      <c r="H819" s="25"/>
      <c r="I819" s="25"/>
    </row>
    <row r="820">
      <c r="A820" s="25"/>
      <c r="B820" s="25"/>
      <c r="H820" s="25"/>
      <c r="I820" s="25"/>
    </row>
    <row r="821">
      <c r="A821" s="25"/>
      <c r="B821" s="25"/>
      <c r="H821" s="25"/>
      <c r="I821" s="25"/>
    </row>
    <row r="822">
      <c r="A822" s="25"/>
      <c r="B822" s="25"/>
      <c r="H822" s="25"/>
      <c r="I822" s="25"/>
    </row>
    <row r="823">
      <c r="A823" s="25"/>
      <c r="B823" s="25"/>
      <c r="H823" s="25"/>
      <c r="I823" s="25"/>
    </row>
    <row r="824">
      <c r="A824" s="25"/>
      <c r="B824" s="25"/>
      <c r="H824" s="25"/>
      <c r="I824" s="25"/>
    </row>
    <row r="825">
      <c r="A825" s="25"/>
      <c r="B825" s="25"/>
      <c r="H825" s="25"/>
      <c r="I825" s="25"/>
    </row>
    <row r="826">
      <c r="A826" s="25"/>
      <c r="B826" s="25"/>
      <c r="H826" s="25"/>
      <c r="I826" s="25"/>
    </row>
    <row r="827">
      <c r="A827" s="25"/>
      <c r="B827" s="25"/>
      <c r="H827" s="25"/>
      <c r="I827" s="25"/>
    </row>
    <row r="828">
      <c r="A828" s="25"/>
      <c r="B828" s="25"/>
      <c r="H828" s="25"/>
      <c r="I828" s="25"/>
    </row>
    <row r="829">
      <c r="A829" s="25"/>
      <c r="B829" s="25"/>
      <c r="H829" s="25"/>
      <c r="I829" s="25"/>
    </row>
    <row r="830">
      <c r="A830" s="25"/>
      <c r="B830" s="25"/>
      <c r="H830" s="25"/>
      <c r="I830" s="25"/>
    </row>
    <row r="831">
      <c r="A831" s="25"/>
      <c r="B831" s="25"/>
      <c r="H831" s="25"/>
      <c r="I831" s="25"/>
    </row>
    <row r="832">
      <c r="A832" s="25"/>
      <c r="B832" s="25"/>
      <c r="H832" s="25"/>
      <c r="I832" s="25"/>
    </row>
    <row r="833">
      <c r="A833" s="25"/>
      <c r="B833" s="25"/>
      <c r="H833" s="25"/>
      <c r="I833" s="25"/>
    </row>
    <row r="834">
      <c r="A834" s="25"/>
      <c r="B834" s="25"/>
      <c r="H834" s="25"/>
      <c r="I834" s="25"/>
    </row>
    <row r="835">
      <c r="A835" s="25"/>
      <c r="B835" s="25"/>
      <c r="H835" s="25"/>
      <c r="I835" s="25"/>
    </row>
    <row r="836">
      <c r="A836" s="25"/>
      <c r="B836" s="25"/>
      <c r="H836" s="25"/>
      <c r="I836" s="25"/>
    </row>
    <row r="837">
      <c r="A837" s="25"/>
      <c r="B837" s="25"/>
      <c r="H837" s="25"/>
      <c r="I837" s="25"/>
    </row>
    <row r="838">
      <c r="A838" s="25"/>
      <c r="B838" s="25"/>
      <c r="H838" s="25"/>
      <c r="I838" s="25"/>
    </row>
    <row r="839">
      <c r="A839" s="25"/>
      <c r="B839" s="25"/>
      <c r="H839" s="25"/>
      <c r="I839" s="25"/>
    </row>
    <row r="840">
      <c r="A840" s="25"/>
      <c r="B840" s="25"/>
      <c r="H840" s="25"/>
      <c r="I840" s="25"/>
    </row>
    <row r="841">
      <c r="A841" s="25"/>
      <c r="B841" s="25"/>
      <c r="H841" s="25"/>
      <c r="I841" s="25"/>
    </row>
    <row r="842">
      <c r="A842" s="25"/>
      <c r="B842" s="25"/>
      <c r="H842" s="25"/>
      <c r="I842" s="25"/>
    </row>
    <row r="843">
      <c r="A843" s="25"/>
      <c r="B843" s="25"/>
      <c r="H843" s="25"/>
      <c r="I843" s="25"/>
    </row>
    <row r="844">
      <c r="A844" s="25"/>
      <c r="B844" s="25"/>
      <c r="H844" s="25"/>
      <c r="I844" s="25"/>
    </row>
    <row r="845">
      <c r="A845" s="25"/>
      <c r="B845" s="25"/>
      <c r="H845" s="25"/>
      <c r="I845" s="25"/>
    </row>
    <row r="846">
      <c r="A846" s="25"/>
      <c r="B846" s="25"/>
      <c r="H846" s="25"/>
      <c r="I846" s="25"/>
    </row>
    <row r="847">
      <c r="A847" s="25"/>
      <c r="B847" s="25"/>
      <c r="H847" s="25"/>
      <c r="I847" s="25"/>
    </row>
    <row r="848">
      <c r="A848" s="25"/>
      <c r="B848" s="25"/>
      <c r="H848" s="25"/>
      <c r="I848" s="25"/>
    </row>
    <row r="849">
      <c r="A849" s="25"/>
      <c r="B849" s="25"/>
      <c r="H849" s="25"/>
      <c r="I849" s="25"/>
    </row>
    <row r="850">
      <c r="A850" s="25"/>
      <c r="B850" s="25"/>
      <c r="H850" s="25"/>
      <c r="I850" s="25"/>
    </row>
    <row r="851">
      <c r="A851" s="25"/>
      <c r="B851" s="25"/>
      <c r="H851" s="25"/>
      <c r="I851" s="25"/>
    </row>
    <row r="852">
      <c r="A852" s="25"/>
      <c r="B852" s="25"/>
      <c r="H852" s="25"/>
      <c r="I852" s="25"/>
    </row>
    <row r="853">
      <c r="A853" s="25"/>
      <c r="B853" s="25"/>
      <c r="H853" s="25"/>
      <c r="I853" s="25"/>
    </row>
    <row r="854">
      <c r="A854" s="25"/>
      <c r="B854" s="25"/>
      <c r="H854" s="25"/>
      <c r="I854" s="25"/>
    </row>
    <row r="855">
      <c r="A855" s="25"/>
      <c r="B855" s="25"/>
      <c r="H855" s="25"/>
      <c r="I855" s="25"/>
    </row>
    <row r="856">
      <c r="A856" s="25"/>
      <c r="B856" s="25"/>
      <c r="H856" s="25"/>
      <c r="I856" s="25"/>
    </row>
    <row r="857">
      <c r="A857" s="25"/>
      <c r="B857" s="25"/>
      <c r="H857" s="25"/>
      <c r="I857" s="25"/>
    </row>
    <row r="858">
      <c r="A858" s="25"/>
      <c r="B858" s="25"/>
      <c r="H858" s="25"/>
      <c r="I858" s="25"/>
    </row>
    <row r="859">
      <c r="A859" s="25"/>
      <c r="B859" s="25"/>
      <c r="H859" s="25"/>
      <c r="I859" s="25"/>
    </row>
    <row r="860">
      <c r="A860" s="25"/>
      <c r="B860" s="25"/>
      <c r="H860" s="25"/>
      <c r="I860" s="25"/>
    </row>
    <row r="861">
      <c r="A861" s="25"/>
      <c r="B861" s="25"/>
      <c r="H861" s="25"/>
      <c r="I861" s="25"/>
    </row>
    <row r="862">
      <c r="A862" s="25"/>
      <c r="B862" s="25"/>
      <c r="H862" s="25"/>
      <c r="I862" s="25"/>
    </row>
    <row r="863">
      <c r="A863" s="25"/>
      <c r="B863" s="25"/>
      <c r="H863" s="25"/>
      <c r="I863" s="25"/>
    </row>
    <row r="864">
      <c r="A864" s="25"/>
      <c r="B864" s="25"/>
      <c r="H864" s="25"/>
      <c r="I864" s="25"/>
    </row>
    <row r="865">
      <c r="A865" s="25"/>
      <c r="B865" s="25"/>
      <c r="H865" s="25"/>
      <c r="I865" s="25"/>
    </row>
    <row r="866">
      <c r="A866" s="25"/>
      <c r="B866" s="25"/>
      <c r="H866" s="25"/>
      <c r="I866" s="25"/>
    </row>
    <row r="867">
      <c r="A867" s="25"/>
      <c r="B867" s="25"/>
      <c r="H867" s="25"/>
      <c r="I867" s="25"/>
    </row>
    <row r="868">
      <c r="A868" s="25"/>
      <c r="B868" s="25"/>
      <c r="H868" s="25"/>
      <c r="I868" s="25"/>
    </row>
    <row r="869">
      <c r="A869" s="25"/>
      <c r="B869" s="25"/>
      <c r="H869" s="25"/>
      <c r="I869" s="25"/>
    </row>
    <row r="870">
      <c r="A870" s="25"/>
      <c r="B870" s="25"/>
      <c r="H870" s="25"/>
      <c r="I870" s="25"/>
    </row>
    <row r="871">
      <c r="A871" s="25"/>
      <c r="B871" s="25"/>
      <c r="H871" s="25"/>
      <c r="I871" s="25"/>
    </row>
    <row r="872">
      <c r="A872" s="25"/>
      <c r="B872" s="25"/>
      <c r="H872" s="25"/>
      <c r="I872" s="25"/>
    </row>
    <row r="873">
      <c r="A873" s="25"/>
      <c r="B873" s="25"/>
      <c r="H873" s="25"/>
      <c r="I873" s="25"/>
    </row>
    <row r="874">
      <c r="A874" s="25"/>
      <c r="B874" s="25"/>
      <c r="H874" s="25"/>
      <c r="I874" s="25"/>
    </row>
    <row r="875">
      <c r="A875" s="25"/>
      <c r="B875" s="25"/>
      <c r="H875" s="25"/>
      <c r="I875" s="25"/>
    </row>
    <row r="876">
      <c r="A876" s="25"/>
      <c r="B876" s="25"/>
      <c r="H876" s="25"/>
      <c r="I876" s="25"/>
    </row>
    <row r="877">
      <c r="A877" s="25"/>
      <c r="B877" s="25"/>
      <c r="H877" s="25"/>
      <c r="I877" s="25"/>
    </row>
    <row r="878">
      <c r="A878" s="25"/>
      <c r="B878" s="25"/>
      <c r="H878" s="25"/>
      <c r="I878" s="25"/>
    </row>
    <row r="879">
      <c r="A879" s="25"/>
      <c r="B879" s="25"/>
      <c r="H879" s="25"/>
      <c r="I879" s="25"/>
    </row>
    <row r="880">
      <c r="A880" s="25"/>
      <c r="B880" s="25"/>
      <c r="H880" s="25"/>
      <c r="I880" s="25"/>
    </row>
    <row r="881">
      <c r="A881" s="25"/>
      <c r="B881" s="25"/>
      <c r="H881" s="25"/>
      <c r="I881" s="25"/>
    </row>
    <row r="882">
      <c r="A882" s="25"/>
      <c r="B882" s="25"/>
      <c r="H882" s="25"/>
      <c r="I882" s="25"/>
    </row>
    <row r="883">
      <c r="A883" s="25"/>
      <c r="B883" s="25"/>
      <c r="H883" s="25"/>
      <c r="I883" s="25"/>
    </row>
    <row r="884">
      <c r="A884" s="25"/>
      <c r="B884" s="25"/>
      <c r="H884" s="25"/>
      <c r="I884" s="25"/>
    </row>
    <row r="885">
      <c r="A885" s="25"/>
      <c r="B885" s="25"/>
      <c r="H885" s="25"/>
      <c r="I885" s="25"/>
    </row>
    <row r="886">
      <c r="A886" s="25"/>
      <c r="B886" s="25"/>
      <c r="H886" s="25"/>
      <c r="I886" s="25"/>
    </row>
    <row r="887">
      <c r="A887" s="25"/>
      <c r="B887" s="25"/>
      <c r="H887" s="25"/>
      <c r="I887" s="25"/>
    </row>
    <row r="888">
      <c r="A888" s="25"/>
      <c r="B888" s="25"/>
      <c r="H888" s="25"/>
      <c r="I888" s="25"/>
    </row>
    <row r="889">
      <c r="A889" s="25"/>
      <c r="B889" s="25"/>
      <c r="H889" s="25"/>
      <c r="I889" s="25"/>
    </row>
    <row r="890">
      <c r="A890" s="25"/>
      <c r="B890" s="25"/>
      <c r="H890" s="25"/>
      <c r="I890" s="25"/>
    </row>
    <row r="891">
      <c r="A891" s="25"/>
      <c r="B891" s="25"/>
      <c r="H891" s="25"/>
      <c r="I891" s="25"/>
    </row>
    <row r="892">
      <c r="A892" s="25"/>
      <c r="B892" s="25"/>
      <c r="H892" s="25"/>
      <c r="I892" s="25"/>
    </row>
    <row r="893">
      <c r="A893" s="25"/>
      <c r="B893" s="25"/>
      <c r="H893" s="25"/>
      <c r="I893" s="25"/>
    </row>
    <row r="894">
      <c r="A894" s="25"/>
      <c r="B894" s="25"/>
      <c r="H894" s="25"/>
      <c r="I894" s="25"/>
    </row>
    <row r="895">
      <c r="A895" s="25"/>
      <c r="B895" s="25"/>
      <c r="H895" s="25"/>
      <c r="I895" s="25"/>
    </row>
    <row r="896">
      <c r="A896" s="25"/>
      <c r="B896" s="25"/>
      <c r="H896" s="25"/>
      <c r="I896" s="25"/>
    </row>
    <row r="897">
      <c r="A897" s="25"/>
      <c r="B897" s="25"/>
      <c r="H897" s="25"/>
      <c r="I897" s="25"/>
    </row>
    <row r="898">
      <c r="A898" s="25"/>
      <c r="B898" s="25"/>
      <c r="H898" s="25"/>
      <c r="I898" s="25"/>
    </row>
    <row r="899">
      <c r="A899" s="25"/>
      <c r="B899" s="25"/>
      <c r="H899" s="25"/>
      <c r="I899" s="25"/>
    </row>
    <row r="900">
      <c r="A900" s="25"/>
      <c r="B900" s="25"/>
      <c r="H900" s="25"/>
      <c r="I900" s="25"/>
    </row>
    <row r="901">
      <c r="A901" s="25"/>
      <c r="B901" s="25"/>
      <c r="H901" s="25"/>
      <c r="I901" s="25"/>
    </row>
    <row r="902">
      <c r="A902" s="25"/>
      <c r="B902" s="25"/>
      <c r="H902" s="25"/>
      <c r="I902" s="25"/>
    </row>
    <row r="903">
      <c r="A903" s="25"/>
      <c r="B903" s="25"/>
      <c r="H903" s="25"/>
      <c r="I903" s="25"/>
    </row>
    <row r="904">
      <c r="A904" s="25"/>
      <c r="B904" s="25"/>
      <c r="H904" s="25"/>
      <c r="I904" s="25"/>
    </row>
    <row r="905">
      <c r="A905" s="25"/>
      <c r="B905" s="25"/>
      <c r="H905" s="25"/>
      <c r="I905" s="25"/>
    </row>
    <row r="906">
      <c r="A906" s="25"/>
      <c r="B906" s="25"/>
      <c r="H906" s="25"/>
      <c r="I906" s="25"/>
    </row>
    <row r="907">
      <c r="A907" s="25"/>
      <c r="B907" s="25"/>
      <c r="H907" s="25"/>
      <c r="I907" s="25"/>
    </row>
    <row r="908">
      <c r="A908" s="25"/>
      <c r="B908" s="25"/>
      <c r="H908" s="25"/>
      <c r="I908" s="25"/>
    </row>
    <row r="909">
      <c r="A909" s="25"/>
      <c r="B909" s="25"/>
      <c r="H909" s="25"/>
      <c r="I909" s="25"/>
    </row>
    <row r="910">
      <c r="A910" s="25"/>
      <c r="B910" s="25"/>
      <c r="H910" s="25"/>
      <c r="I910" s="25"/>
    </row>
    <row r="911">
      <c r="A911" s="25"/>
      <c r="B911" s="25"/>
      <c r="H911" s="25"/>
      <c r="I911" s="25"/>
    </row>
    <row r="912">
      <c r="A912" s="25"/>
      <c r="B912" s="25"/>
      <c r="H912" s="25"/>
      <c r="I912" s="25"/>
    </row>
    <row r="913">
      <c r="A913" s="25"/>
      <c r="B913" s="25"/>
      <c r="H913" s="25"/>
      <c r="I913" s="25"/>
    </row>
    <row r="914">
      <c r="A914" s="25"/>
      <c r="B914" s="25"/>
      <c r="H914" s="25"/>
      <c r="I914" s="25"/>
    </row>
    <row r="915">
      <c r="A915" s="25"/>
      <c r="B915" s="25"/>
      <c r="H915" s="25"/>
      <c r="I915" s="25"/>
    </row>
    <row r="916">
      <c r="A916" s="25"/>
      <c r="B916" s="25"/>
      <c r="H916" s="25"/>
      <c r="I916" s="25"/>
    </row>
    <row r="917">
      <c r="A917" s="25"/>
      <c r="B917" s="25"/>
      <c r="H917" s="25"/>
      <c r="I917" s="25"/>
    </row>
    <row r="918">
      <c r="A918" s="25"/>
      <c r="B918" s="25"/>
      <c r="H918" s="25"/>
      <c r="I918" s="25"/>
    </row>
    <row r="919">
      <c r="A919" s="25"/>
      <c r="B919" s="25"/>
      <c r="H919" s="25"/>
      <c r="I919" s="25"/>
    </row>
    <row r="920">
      <c r="A920" s="25"/>
      <c r="B920" s="25"/>
      <c r="H920" s="25"/>
      <c r="I920" s="25"/>
    </row>
    <row r="921">
      <c r="A921" s="25"/>
      <c r="B921" s="25"/>
      <c r="H921" s="25"/>
      <c r="I921" s="25"/>
    </row>
    <row r="922">
      <c r="A922" s="25"/>
      <c r="B922" s="25"/>
      <c r="H922" s="25"/>
      <c r="I922" s="25"/>
    </row>
    <row r="923">
      <c r="A923" s="25"/>
      <c r="B923" s="25"/>
      <c r="H923" s="25"/>
      <c r="I923" s="25"/>
    </row>
    <row r="924">
      <c r="A924" s="25"/>
      <c r="B924" s="25"/>
      <c r="H924" s="25"/>
      <c r="I924" s="25"/>
    </row>
    <row r="925">
      <c r="A925" s="25"/>
      <c r="B925" s="25"/>
      <c r="H925" s="25"/>
      <c r="I925" s="25"/>
    </row>
    <row r="926">
      <c r="A926" s="25"/>
      <c r="B926" s="25"/>
      <c r="H926" s="25"/>
      <c r="I926" s="25"/>
    </row>
    <row r="927">
      <c r="A927" s="25"/>
      <c r="B927" s="25"/>
      <c r="H927" s="25"/>
      <c r="I927" s="25"/>
    </row>
    <row r="928">
      <c r="A928" s="25"/>
      <c r="B928" s="25"/>
      <c r="H928" s="25"/>
      <c r="I928" s="25"/>
    </row>
    <row r="929">
      <c r="A929" s="25"/>
      <c r="B929" s="25"/>
      <c r="H929" s="25"/>
      <c r="I929" s="25"/>
    </row>
    <row r="930">
      <c r="A930" s="25"/>
      <c r="B930" s="25"/>
      <c r="H930" s="25"/>
      <c r="I930" s="25"/>
    </row>
    <row r="931">
      <c r="A931" s="25"/>
      <c r="B931" s="25"/>
      <c r="H931" s="25"/>
      <c r="I931" s="25"/>
    </row>
    <row r="932">
      <c r="A932" s="25"/>
      <c r="B932" s="25"/>
      <c r="H932" s="25"/>
      <c r="I932" s="25"/>
    </row>
    <row r="933">
      <c r="A933" s="25"/>
      <c r="B933" s="25"/>
      <c r="H933" s="25"/>
      <c r="I933" s="25"/>
    </row>
    <row r="934">
      <c r="A934" s="25"/>
      <c r="B934" s="25"/>
      <c r="H934" s="25"/>
      <c r="I934" s="25"/>
    </row>
    <row r="935">
      <c r="A935" s="25"/>
      <c r="B935" s="25"/>
      <c r="H935" s="25"/>
      <c r="I935" s="25"/>
    </row>
    <row r="936">
      <c r="A936" s="25"/>
      <c r="B936" s="25"/>
      <c r="H936" s="25"/>
      <c r="I936" s="25"/>
    </row>
    <row r="937">
      <c r="A937" s="25"/>
      <c r="B937" s="25"/>
      <c r="H937" s="25"/>
      <c r="I937" s="25"/>
    </row>
    <row r="938">
      <c r="A938" s="25"/>
      <c r="B938" s="25"/>
      <c r="H938" s="25"/>
      <c r="I938" s="25"/>
    </row>
    <row r="939">
      <c r="A939" s="25"/>
      <c r="B939" s="25"/>
      <c r="H939" s="25"/>
      <c r="I939" s="25"/>
    </row>
    <row r="940">
      <c r="A940" s="25"/>
      <c r="B940" s="25"/>
      <c r="H940" s="25"/>
      <c r="I940" s="25"/>
    </row>
    <row r="941">
      <c r="A941" s="25"/>
      <c r="B941" s="25"/>
      <c r="H941" s="25"/>
      <c r="I941" s="25"/>
    </row>
    <row r="942">
      <c r="A942" s="25"/>
      <c r="B942" s="25"/>
      <c r="H942" s="25"/>
      <c r="I942" s="25"/>
    </row>
    <row r="943">
      <c r="A943" s="25"/>
      <c r="B943" s="25"/>
      <c r="H943" s="25"/>
      <c r="I943" s="25"/>
    </row>
    <row r="944">
      <c r="A944" s="25"/>
      <c r="B944" s="25"/>
      <c r="H944" s="25"/>
      <c r="I944" s="25"/>
    </row>
    <row r="945">
      <c r="A945" s="25"/>
      <c r="B945" s="25"/>
      <c r="H945" s="25"/>
      <c r="I945" s="25"/>
    </row>
    <row r="946">
      <c r="A946" s="25"/>
      <c r="B946" s="25"/>
      <c r="H946" s="25"/>
      <c r="I946" s="25"/>
    </row>
    <row r="947">
      <c r="A947" s="25"/>
      <c r="B947" s="25"/>
      <c r="H947" s="25"/>
      <c r="I947" s="25"/>
    </row>
    <row r="948">
      <c r="A948" s="25"/>
      <c r="B948" s="25"/>
      <c r="H948" s="25"/>
      <c r="I948" s="25"/>
    </row>
    <row r="949">
      <c r="A949" s="25"/>
      <c r="B949" s="25"/>
      <c r="H949" s="25"/>
      <c r="I949" s="25"/>
    </row>
    <row r="950">
      <c r="A950" s="25"/>
      <c r="B950" s="25"/>
      <c r="H950" s="25"/>
      <c r="I950" s="25"/>
    </row>
    <row r="951">
      <c r="A951" s="25"/>
      <c r="B951" s="25"/>
      <c r="H951" s="25"/>
      <c r="I951" s="25"/>
    </row>
    <row r="952">
      <c r="A952" s="25"/>
      <c r="B952" s="25"/>
      <c r="H952" s="25"/>
      <c r="I952" s="25"/>
    </row>
    <row r="953">
      <c r="A953" s="25"/>
      <c r="B953" s="25"/>
      <c r="H953" s="25"/>
      <c r="I953" s="25"/>
    </row>
    <row r="954">
      <c r="A954" s="25"/>
      <c r="B954" s="25"/>
      <c r="H954" s="25"/>
      <c r="I954" s="25"/>
    </row>
    <row r="955">
      <c r="A955" s="25"/>
      <c r="B955" s="25"/>
      <c r="H955" s="25"/>
      <c r="I955" s="25"/>
    </row>
    <row r="956">
      <c r="A956" s="25"/>
      <c r="B956" s="25"/>
      <c r="H956" s="25"/>
      <c r="I956" s="25"/>
    </row>
    <row r="957">
      <c r="A957" s="25"/>
      <c r="B957" s="25"/>
      <c r="H957" s="25"/>
      <c r="I957" s="25"/>
    </row>
    <row r="958">
      <c r="A958" s="25"/>
      <c r="B958" s="25"/>
      <c r="H958" s="25"/>
      <c r="I958" s="25"/>
    </row>
    <row r="959">
      <c r="A959" s="25"/>
      <c r="B959" s="25"/>
      <c r="H959" s="25"/>
      <c r="I959" s="25"/>
    </row>
    <row r="960">
      <c r="A960" s="25"/>
      <c r="B960" s="25"/>
      <c r="H960" s="25"/>
      <c r="I960" s="25"/>
    </row>
    <row r="961">
      <c r="A961" s="25"/>
      <c r="B961" s="25"/>
      <c r="H961" s="25"/>
      <c r="I961" s="25"/>
    </row>
    <row r="962">
      <c r="A962" s="25"/>
      <c r="B962" s="25"/>
      <c r="H962" s="25"/>
      <c r="I962" s="25"/>
    </row>
    <row r="963">
      <c r="A963" s="25"/>
      <c r="B963" s="25"/>
      <c r="H963" s="25"/>
      <c r="I963" s="25"/>
    </row>
    <row r="964">
      <c r="A964" s="25"/>
      <c r="B964" s="25"/>
      <c r="H964" s="25"/>
      <c r="I964" s="25"/>
    </row>
    <row r="965">
      <c r="A965" s="25"/>
      <c r="B965" s="25"/>
      <c r="H965" s="25"/>
      <c r="I965" s="25"/>
    </row>
    <row r="966">
      <c r="A966" s="25"/>
      <c r="B966" s="25"/>
      <c r="H966" s="25"/>
      <c r="I966" s="25"/>
    </row>
    <row r="967">
      <c r="A967" s="25"/>
      <c r="B967" s="25"/>
      <c r="H967" s="25"/>
      <c r="I967" s="25"/>
    </row>
    <row r="968">
      <c r="A968" s="25"/>
      <c r="B968" s="25"/>
      <c r="H968" s="25"/>
      <c r="I968" s="25"/>
    </row>
    <row r="969">
      <c r="A969" s="25"/>
      <c r="B969" s="25"/>
      <c r="H969" s="25"/>
      <c r="I969" s="25"/>
    </row>
    <row r="970">
      <c r="A970" s="25"/>
      <c r="B970" s="25"/>
      <c r="H970" s="25"/>
      <c r="I970" s="25"/>
    </row>
    <row r="971">
      <c r="A971" s="25"/>
      <c r="B971" s="25"/>
      <c r="H971" s="25"/>
      <c r="I971" s="25"/>
    </row>
    <row r="972">
      <c r="A972" s="25"/>
      <c r="B972" s="25"/>
      <c r="H972" s="25"/>
      <c r="I972" s="25"/>
    </row>
    <row r="973">
      <c r="A973" s="25"/>
      <c r="B973" s="25"/>
      <c r="H973" s="25"/>
      <c r="I973" s="25"/>
    </row>
    <row r="974">
      <c r="A974" s="25"/>
      <c r="B974" s="25"/>
      <c r="H974" s="25"/>
      <c r="I974" s="25"/>
    </row>
    <row r="975">
      <c r="A975" s="25"/>
      <c r="B975" s="25"/>
      <c r="H975" s="25"/>
      <c r="I975" s="25"/>
    </row>
    <row r="976">
      <c r="A976" s="25"/>
      <c r="B976" s="25"/>
      <c r="H976" s="25"/>
      <c r="I976" s="25"/>
    </row>
    <row r="977">
      <c r="A977" s="25"/>
      <c r="B977" s="25"/>
      <c r="H977" s="25"/>
      <c r="I977" s="25"/>
    </row>
    <row r="978">
      <c r="A978" s="25"/>
      <c r="B978" s="25"/>
      <c r="H978" s="25"/>
      <c r="I978" s="25"/>
    </row>
    <row r="979">
      <c r="A979" s="25"/>
      <c r="B979" s="25"/>
      <c r="H979" s="25"/>
      <c r="I979" s="25"/>
    </row>
    <row r="980">
      <c r="A980" s="25"/>
      <c r="B980" s="25"/>
      <c r="H980" s="25"/>
      <c r="I980" s="25"/>
    </row>
    <row r="981">
      <c r="A981" s="25"/>
      <c r="B981" s="25"/>
      <c r="H981" s="25"/>
      <c r="I981" s="25"/>
    </row>
    <row r="982">
      <c r="A982" s="25"/>
      <c r="B982" s="25"/>
      <c r="H982" s="25"/>
      <c r="I982" s="25"/>
    </row>
    <row r="983">
      <c r="A983" s="25"/>
      <c r="B983" s="25"/>
      <c r="H983" s="25"/>
      <c r="I983" s="25"/>
    </row>
    <row r="984">
      <c r="A984" s="25"/>
      <c r="B984" s="25"/>
      <c r="H984" s="25"/>
      <c r="I984" s="25"/>
    </row>
    <row r="985">
      <c r="A985" s="25"/>
      <c r="B985" s="25"/>
      <c r="H985" s="25"/>
      <c r="I985" s="25"/>
    </row>
    <row r="986">
      <c r="A986" s="25"/>
      <c r="B986" s="25"/>
      <c r="H986" s="25"/>
      <c r="I986" s="25"/>
    </row>
    <row r="987">
      <c r="A987" s="25"/>
      <c r="B987" s="25"/>
      <c r="H987" s="25"/>
      <c r="I987" s="25"/>
    </row>
    <row r="988">
      <c r="A988" s="25"/>
      <c r="B988" s="25"/>
      <c r="H988" s="25"/>
      <c r="I988" s="25"/>
    </row>
    <row r="989">
      <c r="A989" s="25"/>
      <c r="B989" s="25"/>
      <c r="H989" s="25"/>
      <c r="I989" s="25"/>
    </row>
    <row r="990">
      <c r="A990" s="25"/>
      <c r="B990" s="25"/>
      <c r="H990" s="25"/>
      <c r="I990" s="25"/>
    </row>
    <row r="991">
      <c r="A991" s="25"/>
      <c r="B991" s="25"/>
      <c r="H991" s="25"/>
      <c r="I991" s="25"/>
    </row>
    <row r="992">
      <c r="A992" s="25"/>
      <c r="B992" s="25"/>
      <c r="H992" s="25"/>
      <c r="I992" s="25"/>
    </row>
    <row r="993">
      <c r="A993" s="25"/>
      <c r="B993" s="25"/>
      <c r="H993" s="25"/>
      <c r="I993" s="25"/>
    </row>
    <row r="994">
      <c r="A994" s="25"/>
      <c r="B994" s="25"/>
      <c r="H994" s="25"/>
      <c r="I994" s="25"/>
    </row>
    <row r="995">
      <c r="A995" s="25"/>
      <c r="B995" s="25"/>
      <c r="H995" s="25"/>
      <c r="I995" s="25"/>
    </row>
    <row r="996">
      <c r="A996" s="25"/>
      <c r="B996" s="25"/>
      <c r="H996" s="25"/>
      <c r="I996" s="25"/>
    </row>
    <row r="997">
      <c r="A997" s="25"/>
      <c r="B997" s="25"/>
      <c r="H997" s="25"/>
      <c r="I997" s="25"/>
    </row>
    <row r="998">
      <c r="A998" s="25"/>
      <c r="B998" s="25"/>
      <c r="H998" s="25"/>
      <c r="I998" s="25"/>
    </row>
    <row r="999">
      <c r="A999" s="25"/>
      <c r="B999" s="25"/>
      <c r="H999" s="25"/>
      <c r="I999" s="25"/>
    </row>
    <row r="1000">
      <c r="A1000" s="25"/>
      <c r="B1000" s="25"/>
      <c r="H1000" s="25"/>
      <c r="I1000" s="25"/>
    </row>
    <row r="1001">
      <c r="A1001" s="25"/>
      <c r="B1001" s="25"/>
      <c r="H1001" s="25"/>
      <c r="I1001" s="25"/>
    </row>
    <row r="1002">
      <c r="A1002" s="25"/>
      <c r="B1002" s="25"/>
      <c r="H1002" s="25"/>
      <c r="I1002" s="25"/>
    </row>
  </sheetData>
  <autoFilter ref="$A$1:$AB$1002"/>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18.13"/>
  </cols>
  <sheetData>
    <row r="1">
      <c r="A1" s="5" t="s">
        <v>24</v>
      </c>
      <c r="B1" s="14">
        <v>1460.0</v>
      </c>
      <c r="C1" s="17" t="s">
        <v>40</v>
      </c>
    </row>
    <row r="2">
      <c r="A2" s="21">
        <v>409164.0</v>
      </c>
      <c r="B2" s="35">
        <f t="shared" ref="B2:B292" si="1">A2*$B$1</f>
        <v>597379440</v>
      </c>
      <c r="C2" s="37"/>
      <c r="D2" s="37"/>
      <c r="E2" s="37"/>
    </row>
    <row r="3">
      <c r="A3" s="21">
        <v>23580.8</v>
      </c>
      <c r="B3" s="35">
        <f t="shared" si="1"/>
        <v>34427968</v>
      </c>
      <c r="C3" s="37"/>
      <c r="D3" s="37"/>
      <c r="E3" s="37"/>
    </row>
    <row r="4">
      <c r="A4" s="21">
        <v>406700.0</v>
      </c>
      <c r="B4" s="35">
        <f t="shared" si="1"/>
        <v>593782000</v>
      </c>
      <c r="C4" s="37"/>
      <c r="D4" s="37"/>
      <c r="E4" s="37"/>
    </row>
    <row r="5">
      <c r="A5" s="21">
        <v>270900.0</v>
      </c>
      <c r="B5" s="35">
        <f t="shared" si="1"/>
        <v>395514000</v>
      </c>
      <c r="C5" s="37"/>
      <c r="D5" s="37"/>
      <c r="E5" s="37"/>
    </row>
    <row r="6">
      <c r="A6" s="21">
        <v>41930.0</v>
      </c>
      <c r="B6" s="35">
        <f t="shared" si="1"/>
        <v>61217800</v>
      </c>
      <c r="C6" s="37"/>
      <c r="D6" s="37"/>
      <c r="E6" s="37"/>
    </row>
    <row r="7">
      <c r="A7" s="21">
        <v>21000.0</v>
      </c>
      <c r="B7" s="35">
        <f t="shared" si="1"/>
        <v>30660000</v>
      </c>
      <c r="C7" s="37"/>
      <c r="D7" s="37"/>
      <c r="E7" s="37"/>
    </row>
    <row r="8">
      <c r="A8" s="21">
        <v>298462.5</v>
      </c>
      <c r="B8" s="35">
        <f t="shared" si="1"/>
        <v>435755250</v>
      </c>
      <c r="C8" s="37"/>
      <c r="D8" s="37"/>
      <c r="E8" s="37"/>
    </row>
    <row r="9">
      <c r="A9" s="21">
        <v>577850.0</v>
      </c>
      <c r="B9" s="35">
        <f t="shared" si="1"/>
        <v>843661000</v>
      </c>
      <c r="C9" s="37"/>
      <c r="D9" s="37"/>
      <c r="E9" s="37"/>
    </row>
    <row r="10">
      <c r="A10" s="21">
        <v>273000.0</v>
      </c>
      <c r="B10" s="35">
        <f t="shared" si="1"/>
        <v>398580000</v>
      </c>
      <c r="C10" s="37"/>
      <c r="D10" s="37"/>
      <c r="E10" s="37"/>
    </row>
    <row r="11">
      <c r="A11" s="21">
        <v>10150.63</v>
      </c>
      <c r="B11" s="35">
        <f t="shared" si="1"/>
        <v>14819919.8</v>
      </c>
      <c r="C11" s="37"/>
      <c r="D11" s="37"/>
      <c r="E11" s="37"/>
    </row>
    <row r="12">
      <c r="A12" s="21">
        <v>22800.34</v>
      </c>
      <c r="B12" s="35">
        <f t="shared" si="1"/>
        <v>33288496.4</v>
      </c>
      <c r="C12" s="37"/>
      <c r="D12" s="37"/>
      <c r="E12" s="37"/>
    </row>
    <row r="13">
      <c r="A13" s="21">
        <v>39412.74</v>
      </c>
      <c r="B13" s="35">
        <f t="shared" si="1"/>
        <v>57542600.4</v>
      </c>
      <c r="C13" s="37"/>
      <c r="D13" s="37"/>
      <c r="E13" s="37"/>
    </row>
    <row r="14">
      <c r="A14" s="21">
        <v>16688.24</v>
      </c>
      <c r="B14" s="35">
        <f t="shared" si="1"/>
        <v>24364830.4</v>
      </c>
      <c r="C14" s="37"/>
      <c r="D14" s="37"/>
      <c r="E14" s="37"/>
    </row>
    <row r="15">
      <c r="A15" s="21">
        <v>18200.0</v>
      </c>
      <c r="B15" s="35">
        <f t="shared" si="1"/>
        <v>26572000</v>
      </c>
      <c r="C15" s="37"/>
      <c r="D15" s="37"/>
      <c r="E15" s="37"/>
    </row>
    <row r="16">
      <c r="A16" s="21">
        <v>278600.0</v>
      </c>
      <c r="B16" s="35">
        <f t="shared" si="1"/>
        <v>406756000</v>
      </c>
      <c r="C16" s="37"/>
      <c r="D16" s="37"/>
      <c r="E16" s="37"/>
    </row>
    <row r="17">
      <c r="A17" s="21">
        <v>196000.0</v>
      </c>
      <c r="B17" s="35">
        <f t="shared" si="1"/>
        <v>286160000</v>
      </c>
      <c r="C17" s="37"/>
      <c r="D17" s="37"/>
      <c r="E17" s="37"/>
    </row>
    <row r="18">
      <c r="A18" s="21">
        <v>15841.29</v>
      </c>
      <c r="B18" s="35">
        <f t="shared" si="1"/>
        <v>23128283.4</v>
      </c>
      <c r="C18" s="37"/>
      <c r="D18" s="37"/>
      <c r="E18" s="37"/>
    </row>
    <row r="19">
      <c r="A19" s="21">
        <v>11364.19</v>
      </c>
      <c r="B19" s="35">
        <f t="shared" si="1"/>
        <v>16591717.4</v>
      </c>
      <c r="C19" s="37"/>
      <c r="D19" s="37"/>
      <c r="E19" s="37"/>
    </row>
    <row r="20">
      <c r="A20" s="21">
        <v>4016.65</v>
      </c>
      <c r="B20" s="35">
        <f t="shared" si="1"/>
        <v>5864309</v>
      </c>
      <c r="C20" s="37"/>
      <c r="D20" s="37"/>
      <c r="E20" s="37"/>
    </row>
    <row r="21">
      <c r="A21" s="21">
        <v>57044.95</v>
      </c>
      <c r="B21" s="35">
        <f t="shared" si="1"/>
        <v>83285627</v>
      </c>
      <c r="C21" s="37"/>
      <c r="D21" s="37"/>
      <c r="E21" s="37"/>
    </row>
    <row r="22">
      <c r="A22" s="21">
        <v>24445.47</v>
      </c>
      <c r="B22" s="35">
        <f t="shared" si="1"/>
        <v>35690386.2</v>
      </c>
      <c r="C22" s="37"/>
      <c r="D22" s="37"/>
      <c r="E22" s="37"/>
    </row>
    <row r="23">
      <c r="A23" s="21">
        <v>82417.13</v>
      </c>
      <c r="B23" s="35">
        <f t="shared" si="1"/>
        <v>120329009.8</v>
      </c>
      <c r="C23" s="37"/>
      <c r="D23" s="37"/>
      <c r="E23" s="37"/>
    </row>
    <row r="24">
      <c r="A24" s="21">
        <v>449365.0</v>
      </c>
      <c r="B24" s="35">
        <f t="shared" si="1"/>
        <v>656072900</v>
      </c>
      <c r="C24" s="37"/>
      <c r="D24" s="37"/>
      <c r="E24" s="37"/>
    </row>
    <row r="25">
      <c r="A25" s="21">
        <v>80858.36</v>
      </c>
      <c r="B25" s="35">
        <f t="shared" si="1"/>
        <v>118053205.6</v>
      </c>
      <c r="C25" s="37"/>
      <c r="D25" s="37"/>
      <c r="E25" s="37"/>
    </row>
    <row r="26">
      <c r="A26" s="43">
        <v>144900.0</v>
      </c>
      <c r="B26" s="35">
        <f t="shared" si="1"/>
        <v>211554000</v>
      </c>
      <c r="C26" s="37"/>
      <c r="D26" s="37"/>
      <c r="E26" s="37"/>
    </row>
    <row r="27">
      <c r="A27" s="45">
        <v>7517.457053506404</v>
      </c>
      <c r="B27" s="35">
        <f t="shared" si="1"/>
        <v>10975487.3</v>
      </c>
      <c r="C27" s="37"/>
      <c r="D27" s="37"/>
      <c r="E27" s="37"/>
    </row>
    <row r="28">
      <c r="A28" s="45">
        <v>20771.16</v>
      </c>
      <c r="B28" s="35">
        <f t="shared" si="1"/>
        <v>30325893.6</v>
      </c>
      <c r="C28" s="37"/>
      <c r="D28" s="37"/>
      <c r="E28" s="37"/>
    </row>
    <row r="29">
      <c r="A29" s="45">
        <v>405860.0</v>
      </c>
      <c r="B29" s="35">
        <f t="shared" si="1"/>
        <v>592555600</v>
      </c>
      <c r="C29" s="37"/>
      <c r="D29" s="37"/>
      <c r="E29" s="37"/>
    </row>
    <row r="30">
      <c r="A30" s="21">
        <v>35576.76</v>
      </c>
      <c r="B30" s="35">
        <f t="shared" si="1"/>
        <v>51942069.6</v>
      </c>
      <c r="C30" s="37"/>
      <c r="D30" s="37"/>
      <c r="E30" s="37"/>
    </row>
    <row r="31">
      <c r="A31" s="45">
        <v>27521.54</v>
      </c>
      <c r="B31" s="35">
        <f t="shared" si="1"/>
        <v>40181448.4</v>
      </c>
      <c r="C31" s="37"/>
      <c r="D31" s="37"/>
      <c r="E31" s="37"/>
    </row>
    <row r="32">
      <c r="A32" s="45">
        <v>10229.671892557562</v>
      </c>
      <c r="B32" s="35">
        <f t="shared" si="1"/>
        <v>14935320.96</v>
      </c>
      <c r="C32" s="37"/>
      <c r="D32" s="37"/>
      <c r="E32" s="37"/>
    </row>
    <row r="33">
      <c r="A33" s="48">
        <v>259504.0</v>
      </c>
      <c r="B33" s="35">
        <f t="shared" si="1"/>
        <v>378875840</v>
      </c>
      <c r="C33" s="37"/>
      <c r="D33" s="37"/>
      <c r="E33" s="37"/>
    </row>
    <row r="34">
      <c r="A34" s="49">
        <v>185010.0</v>
      </c>
      <c r="B34" s="35">
        <f t="shared" si="1"/>
        <v>270114600</v>
      </c>
      <c r="C34" s="37"/>
      <c r="D34" s="37"/>
      <c r="E34" s="37"/>
    </row>
    <row r="35">
      <c r="A35" s="21">
        <v>14280.11</v>
      </c>
      <c r="B35" s="35">
        <f t="shared" si="1"/>
        <v>20848960.6</v>
      </c>
      <c r="C35" s="37"/>
      <c r="D35" s="37"/>
      <c r="E35" s="37"/>
    </row>
    <row r="36">
      <c r="A36" s="49">
        <v>102203.5</v>
      </c>
      <c r="B36" s="35">
        <f t="shared" si="1"/>
        <v>149217110</v>
      </c>
      <c r="C36" s="37"/>
      <c r="D36" s="37"/>
      <c r="E36" s="37"/>
    </row>
    <row r="37">
      <c r="A37" s="48">
        <v>9892.347977887694</v>
      </c>
      <c r="B37" s="35">
        <f t="shared" si="1"/>
        <v>14442828.05</v>
      </c>
      <c r="C37" s="37"/>
      <c r="D37" s="37"/>
      <c r="E37" s="37"/>
    </row>
    <row r="38">
      <c r="A38" s="49">
        <v>143500.0</v>
      </c>
      <c r="B38" s="35">
        <f t="shared" si="1"/>
        <v>209510000</v>
      </c>
      <c r="C38" s="37"/>
      <c r="D38" s="37"/>
      <c r="E38" s="37"/>
    </row>
    <row r="39">
      <c r="A39" s="49">
        <v>108500.0</v>
      </c>
      <c r="B39" s="35">
        <f t="shared" si="1"/>
        <v>158410000</v>
      </c>
      <c r="C39" s="37"/>
      <c r="D39" s="37"/>
      <c r="E39" s="37"/>
    </row>
    <row r="40">
      <c r="A40" s="21">
        <v>10920.09</v>
      </c>
      <c r="B40" s="35">
        <f t="shared" si="1"/>
        <v>15943331.4</v>
      </c>
      <c r="C40" s="37"/>
      <c r="D40" s="37"/>
      <c r="E40" s="37"/>
    </row>
    <row r="41">
      <c r="A41" s="49">
        <v>82110.0</v>
      </c>
      <c r="B41" s="35">
        <f t="shared" si="1"/>
        <v>119880600</v>
      </c>
      <c r="C41" s="37"/>
      <c r="D41" s="37"/>
      <c r="E41" s="37"/>
    </row>
    <row r="42">
      <c r="A42" s="45">
        <v>8109.913176223643</v>
      </c>
      <c r="B42" s="35">
        <f t="shared" si="1"/>
        <v>11840473.24</v>
      </c>
      <c r="C42" s="37"/>
      <c r="D42" s="37"/>
      <c r="E42" s="37"/>
    </row>
    <row r="43">
      <c r="A43" s="49">
        <v>425600.0</v>
      </c>
      <c r="B43" s="35">
        <f t="shared" si="1"/>
        <v>621376000</v>
      </c>
      <c r="C43" s="37"/>
      <c r="D43" s="37"/>
      <c r="E43" s="37"/>
    </row>
    <row r="44">
      <c r="A44" s="21">
        <v>128100.0</v>
      </c>
      <c r="B44" s="35">
        <f t="shared" si="1"/>
        <v>187026000</v>
      </c>
      <c r="C44" s="37"/>
      <c r="D44" s="37"/>
      <c r="E44" s="37"/>
    </row>
    <row r="45">
      <c r="A45" s="21">
        <v>25150.85</v>
      </c>
      <c r="B45" s="35">
        <f t="shared" si="1"/>
        <v>36720241</v>
      </c>
      <c r="C45" s="37"/>
      <c r="D45" s="37"/>
      <c r="E45" s="37"/>
    </row>
    <row r="46">
      <c r="A46" s="49">
        <v>8214.59</v>
      </c>
      <c r="B46" s="35">
        <f t="shared" si="1"/>
        <v>11993301.4</v>
      </c>
      <c r="C46" s="37"/>
      <c r="D46" s="37"/>
      <c r="E46" s="37"/>
    </row>
    <row r="47">
      <c r="A47" s="49">
        <v>270200.0</v>
      </c>
      <c r="B47" s="35">
        <f t="shared" si="1"/>
        <v>394492000</v>
      </c>
      <c r="C47" s="37"/>
      <c r="D47" s="37"/>
      <c r="E47" s="37"/>
    </row>
    <row r="48">
      <c r="A48" s="21">
        <v>91703.5</v>
      </c>
      <c r="B48" s="35">
        <f t="shared" si="1"/>
        <v>133887110</v>
      </c>
      <c r="C48" s="37"/>
      <c r="D48" s="37"/>
      <c r="E48" s="37"/>
    </row>
    <row r="49">
      <c r="A49" s="21">
        <v>40250.0</v>
      </c>
      <c r="B49" s="35">
        <f t="shared" si="1"/>
        <v>58765000</v>
      </c>
      <c r="C49" s="37"/>
      <c r="D49" s="37"/>
      <c r="E49" s="37"/>
    </row>
    <row r="50">
      <c r="A50" s="21">
        <v>148400.0</v>
      </c>
      <c r="B50" s="35">
        <f t="shared" si="1"/>
        <v>216664000</v>
      </c>
      <c r="C50" s="37"/>
      <c r="D50" s="37"/>
      <c r="E50" s="37"/>
    </row>
    <row r="51">
      <c r="A51" s="21">
        <v>16090.81</v>
      </c>
      <c r="B51" s="35">
        <f t="shared" si="1"/>
        <v>23492582.6</v>
      </c>
      <c r="C51" s="37"/>
      <c r="D51" s="37"/>
      <c r="E51" s="37"/>
    </row>
    <row r="52">
      <c r="A52" s="21">
        <v>14601.51</v>
      </c>
      <c r="B52" s="35">
        <f t="shared" si="1"/>
        <v>21318204.6</v>
      </c>
      <c r="C52" s="37"/>
      <c r="D52" s="37"/>
      <c r="E52" s="37"/>
    </row>
    <row r="53">
      <c r="A53" s="21">
        <v>8711.69</v>
      </c>
      <c r="B53" s="35">
        <f t="shared" si="1"/>
        <v>12719067.4</v>
      </c>
      <c r="C53" s="37"/>
      <c r="D53" s="37"/>
      <c r="E53" s="37"/>
    </row>
    <row r="54">
      <c r="A54" s="21">
        <v>9864.71</v>
      </c>
      <c r="B54" s="35">
        <f t="shared" si="1"/>
        <v>14402476.6</v>
      </c>
      <c r="C54" s="37"/>
      <c r="D54" s="37"/>
      <c r="E54" s="37"/>
    </row>
    <row r="55">
      <c r="A55" s="21">
        <v>4688.94</v>
      </c>
      <c r="B55" s="35">
        <f t="shared" si="1"/>
        <v>6845852.4</v>
      </c>
      <c r="C55" s="37"/>
      <c r="D55" s="37"/>
      <c r="E55" s="37"/>
    </row>
    <row r="56">
      <c r="A56" s="21">
        <v>51479.11</v>
      </c>
      <c r="B56" s="35">
        <f t="shared" si="1"/>
        <v>75159500.6</v>
      </c>
      <c r="C56" s="37"/>
      <c r="D56" s="37"/>
      <c r="E56" s="37"/>
    </row>
    <row r="57">
      <c r="A57" s="21">
        <v>16033.25</v>
      </c>
      <c r="B57" s="35">
        <f t="shared" si="1"/>
        <v>23408545</v>
      </c>
      <c r="C57" s="37"/>
      <c r="D57" s="37"/>
      <c r="E57" s="37"/>
    </row>
    <row r="58">
      <c r="A58" s="21">
        <v>218610.0</v>
      </c>
      <c r="B58" s="35">
        <f t="shared" si="1"/>
        <v>319170600</v>
      </c>
      <c r="C58" s="37"/>
      <c r="D58" s="37"/>
      <c r="E58" s="37"/>
    </row>
    <row r="59">
      <c r="A59" s="21">
        <v>216440.0</v>
      </c>
      <c r="B59" s="35">
        <f t="shared" si="1"/>
        <v>316002400</v>
      </c>
      <c r="C59" s="37"/>
      <c r="D59" s="37"/>
      <c r="E59" s="37"/>
    </row>
    <row r="60">
      <c r="A60" s="21">
        <v>268100.0</v>
      </c>
      <c r="B60" s="35">
        <f t="shared" si="1"/>
        <v>391426000</v>
      </c>
      <c r="C60" s="37"/>
      <c r="D60" s="37"/>
      <c r="E60" s="37"/>
    </row>
    <row r="61">
      <c r="A61" s="21">
        <v>26927.05</v>
      </c>
      <c r="B61" s="35">
        <f t="shared" si="1"/>
        <v>39313493</v>
      </c>
      <c r="C61" s="37"/>
      <c r="D61" s="37"/>
      <c r="E61" s="37"/>
    </row>
    <row r="62">
      <c r="A62" s="21">
        <v>164570.0</v>
      </c>
      <c r="B62" s="35">
        <f t="shared" si="1"/>
        <v>240272200</v>
      </c>
      <c r="C62" s="37"/>
      <c r="D62" s="37"/>
      <c r="E62" s="37"/>
    </row>
    <row r="63">
      <c r="A63" s="21">
        <v>58800.0</v>
      </c>
      <c r="B63" s="35">
        <f t="shared" si="1"/>
        <v>85848000</v>
      </c>
      <c r="C63" s="37"/>
      <c r="D63" s="37"/>
      <c r="E63" s="37"/>
    </row>
    <row r="64">
      <c r="A64" s="21">
        <v>465780.0</v>
      </c>
      <c r="B64" s="35">
        <f t="shared" si="1"/>
        <v>680038800</v>
      </c>
      <c r="C64" s="37"/>
      <c r="D64" s="37"/>
      <c r="E64" s="37"/>
    </row>
    <row r="65">
      <c r="A65" s="21">
        <v>412125.0</v>
      </c>
      <c r="B65" s="35">
        <f t="shared" si="1"/>
        <v>601702500</v>
      </c>
      <c r="C65" s="37"/>
      <c r="D65" s="37"/>
      <c r="E65" s="37"/>
    </row>
    <row r="66">
      <c r="A66" s="21">
        <v>22418.53</v>
      </c>
      <c r="B66" s="35">
        <f t="shared" si="1"/>
        <v>32731053.8</v>
      </c>
      <c r="C66" s="37"/>
      <c r="D66" s="37"/>
      <c r="E66" s="37"/>
    </row>
    <row r="67">
      <c r="A67" s="21">
        <v>7559.34</v>
      </c>
      <c r="B67" s="35">
        <f t="shared" si="1"/>
        <v>11036636.4</v>
      </c>
      <c r="C67" s="37"/>
      <c r="D67" s="37"/>
      <c r="E67" s="37"/>
    </row>
    <row r="68">
      <c r="A68" s="21">
        <v>213570.0</v>
      </c>
      <c r="B68" s="35">
        <f t="shared" si="1"/>
        <v>311812200</v>
      </c>
      <c r="C68" s="37"/>
      <c r="D68" s="37"/>
      <c r="E68" s="37"/>
    </row>
    <row r="69">
      <c r="A69" s="21">
        <v>10235.25</v>
      </c>
      <c r="B69" s="35">
        <f t="shared" si="1"/>
        <v>14943465</v>
      </c>
      <c r="C69" s="37"/>
      <c r="D69" s="37"/>
      <c r="E69" s="37"/>
    </row>
    <row r="70">
      <c r="A70" s="21">
        <v>183260.0</v>
      </c>
      <c r="B70" s="35">
        <f t="shared" si="1"/>
        <v>267559600</v>
      </c>
      <c r="C70" s="37"/>
      <c r="D70" s="37"/>
      <c r="E70" s="37"/>
    </row>
    <row r="71">
      <c r="A71" s="21">
        <v>53095.0</v>
      </c>
      <c r="B71" s="35">
        <f t="shared" si="1"/>
        <v>77518700</v>
      </c>
      <c r="C71" s="37"/>
      <c r="D71" s="37"/>
      <c r="E71" s="37"/>
    </row>
    <row r="72">
      <c r="A72" s="21">
        <v>384335.0</v>
      </c>
      <c r="B72" s="35">
        <f t="shared" si="1"/>
        <v>561129100</v>
      </c>
      <c r="C72" s="37"/>
      <c r="D72" s="37"/>
      <c r="E72" s="37"/>
    </row>
    <row r="73">
      <c r="A73" s="21">
        <v>420700.0</v>
      </c>
      <c r="B73" s="35">
        <f t="shared" si="1"/>
        <v>614222000</v>
      </c>
      <c r="C73" s="37"/>
      <c r="D73" s="37"/>
      <c r="E73" s="37"/>
    </row>
    <row r="74">
      <c r="A74" s="21">
        <v>174370.0</v>
      </c>
      <c r="B74" s="35">
        <f t="shared" si="1"/>
        <v>254580200</v>
      </c>
      <c r="C74" s="37"/>
      <c r="D74" s="37"/>
      <c r="E74" s="37"/>
    </row>
    <row r="75">
      <c r="A75" s="21">
        <v>296800.0</v>
      </c>
      <c r="B75" s="35">
        <f t="shared" si="1"/>
        <v>433328000</v>
      </c>
      <c r="C75" s="37"/>
      <c r="D75" s="37"/>
      <c r="E75" s="37"/>
    </row>
    <row r="76">
      <c r="A76" s="21">
        <v>211400.0</v>
      </c>
      <c r="B76" s="35">
        <f t="shared" si="1"/>
        <v>308644000</v>
      </c>
      <c r="C76" s="37"/>
      <c r="D76" s="37"/>
      <c r="E76" s="37"/>
    </row>
    <row r="77">
      <c r="A77" s="21">
        <v>201250.0</v>
      </c>
      <c r="B77" s="35">
        <f t="shared" si="1"/>
        <v>293825000</v>
      </c>
      <c r="C77" s="37"/>
      <c r="D77" s="37"/>
      <c r="E77" s="37"/>
    </row>
    <row r="78">
      <c r="A78" s="21">
        <v>262290.0</v>
      </c>
      <c r="B78" s="35">
        <f t="shared" si="1"/>
        <v>382943400</v>
      </c>
      <c r="C78" s="37"/>
      <c r="D78" s="37"/>
      <c r="E78" s="37"/>
    </row>
    <row r="79">
      <c r="A79" s="21">
        <v>11317.64</v>
      </c>
      <c r="B79" s="35">
        <f t="shared" si="1"/>
        <v>16523754.4</v>
      </c>
      <c r="C79" s="37"/>
      <c r="D79" s="37"/>
      <c r="E79" s="37"/>
    </row>
    <row r="80">
      <c r="A80" s="21">
        <v>14235.81</v>
      </c>
      <c r="B80" s="35">
        <f t="shared" si="1"/>
        <v>20784282.6</v>
      </c>
      <c r="C80" s="37"/>
      <c r="D80" s="37"/>
      <c r="E80" s="37"/>
    </row>
    <row r="81">
      <c r="A81" s="21">
        <v>5533.89</v>
      </c>
      <c r="B81" s="35">
        <f t="shared" si="1"/>
        <v>8079479.4</v>
      </c>
      <c r="C81" s="37"/>
      <c r="D81" s="37"/>
      <c r="E81" s="37"/>
    </row>
    <row r="82">
      <c r="A82" s="21">
        <v>145600.0</v>
      </c>
      <c r="B82" s="35">
        <f t="shared" si="1"/>
        <v>212576000</v>
      </c>
      <c r="C82" s="37"/>
      <c r="D82" s="37"/>
      <c r="E82" s="37"/>
    </row>
    <row r="83">
      <c r="A83" s="21">
        <v>7691.22</v>
      </c>
      <c r="B83" s="35">
        <f t="shared" si="1"/>
        <v>11229181.2</v>
      </c>
      <c r="C83" s="37"/>
      <c r="D83" s="37"/>
      <c r="E83" s="37"/>
    </row>
    <row r="84">
      <c r="A84" s="21">
        <v>19156.38</v>
      </c>
      <c r="B84" s="35">
        <f t="shared" si="1"/>
        <v>27968314.8</v>
      </c>
      <c r="C84" s="37"/>
      <c r="D84" s="37"/>
      <c r="E84" s="37"/>
    </row>
    <row r="85">
      <c r="A85" s="21">
        <v>89880.0</v>
      </c>
      <c r="B85" s="35">
        <f t="shared" si="1"/>
        <v>131224800</v>
      </c>
      <c r="C85" s="37"/>
      <c r="D85" s="37"/>
      <c r="E85" s="37"/>
    </row>
    <row r="86">
      <c r="A86" s="21">
        <v>61967.5</v>
      </c>
      <c r="B86" s="35">
        <f t="shared" si="1"/>
        <v>90472550</v>
      </c>
      <c r="C86" s="37"/>
      <c r="D86" s="37"/>
      <c r="E86" s="37"/>
    </row>
    <row r="87">
      <c r="A87" s="21">
        <v>110040.0</v>
      </c>
      <c r="B87" s="35">
        <f t="shared" si="1"/>
        <v>160658400</v>
      </c>
      <c r="C87" s="37"/>
      <c r="D87" s="37"/>
      <c r="E87" s="37"/>
    </row>
    <row r="88">
      <c r="A88" s="21">
        <v>31357.46</v>
      </c>
      <c r="B88" s="35">
        <f t="shared" si="1"/>
        <v>45781891.6</v>
      </c>
      <c r="C88" s="37"/>
      <c r="D88" s="37"/>
      <c r="E88" s="37"/>
    </row>
    <row r="89">
      <c r="A89" s="21">
        <v>277340.0</v>
      </c>
      <c r="B89" s="35">
        <f t="shared" si="1"/>
        <v>404916400</v>
      </c>
      <c r="C89" s="37"/>
      <c r="D89" s="37"/>
      <c r="E89" s="37"/>
    </row>
    <row r="90">
      <c r="A90" s="21">
        <v>245000.0</v>
      </c>
      <c r="B90" s="35">
        <f t="shared" si="1"/>
        <v>357700000</v>
      </c>
      <c r="C90" s="37"/>
      <c r="D90" s="37"/>
      <c r="E90" s="37"/>
    </row>
    <row r="91">
      <c r="A91" s="21">
        <v>98280.0</v>
      </c>
      <c r="B91" s="35">
        <f t="shared" si="1"/>
        <v>143488800</v>
      </c>
      <c r="C91" s="37"/>
      <c r="D91" s="37"/>
      <c r="E91" s="37"/>
    </row>
    <row r="92">
      <c r="A92" s="21">
        <v>211680.0</v>
      </c>
      <c r="B92" s="35">
        <f t="shared" si="1"/>
        <v>309052800</v>
      </c>
      <c r="C92" s="37"/>
      <c r="D92" s="37"/>
      <c r="E92" s="37"/>
    </row>
    <row r="93">
      <c r="A93" s="21">
        <v>420000.0</v>
      </c>
      <c r="B93" s="35">
        <f t="shared" si="1"/>
        <v>613200000</v>
      </c>
      <c r="C93" s="37"/>
      <c r="D93" s="37"/>
      <c r="E93" s="37"/>
    </row>
    <row r="94">
      <c r="A94" s="21">
        <v>317240.0</v>
      </c>
      <c r="B94" s="35">
        <f t="shared" si="1"/>
        <v>463170400</v>
      </c>
      <c r="C94" s="37"/>
      <c r="D94" s="37"/>
      <c r="E94" s="37"/>
    </row>
    <row r="95">
      <c r="A95" s="21">
        <v>1093400.0</v>
      </c>
      <c r="B95" s="35">
        <f t="shared" si="1"/>
        <v>1596364000</v>
      </c>
      <c r="C95" s="37"/>
      <c r="D95" s="37"/>
      <c r="E95" s="37"/>
    </row>
    <row r="96">
      <c r="A96" s="21">
        <v>392000.0</v>
      </c>
      <c r="B96" s="35">
        <f t="shared" si="1"/>
        <v>572320000</v>
      </c>
      <c r="C96" s="37"/>
      <c r="D96" s="37"/>
      <c r="E96" s="37"/>
    </row>
    <row r="97">
      <c r="A97" s="21">
        <v>248920.0</v>
      </c>
      <c r="B97" s="35">
        <f t="shared" si="1"/>
        <v>363423200</v>
      </c>
      <c r="C97" s="37"/>
      <c r="D97" s="37"/>
      <c r="E97" s="37"/>
    </row>
    <row r="98">
      <c r="A98" s="21">
        <v>9840.46</v>
      </c>
      <c r="B98" s="35">
        <f t="shared" si="1"/>
        <v>14367071.6</v>
      </c>
      <c r="C98" s="37"/>
      <c r="D98" s="37"/>
      <c r="E98" s="37"/>
    </row>
    <row r="99">
      <c r="A99" s="21">
        <v>275450.0</v>
      </c>
      <c r="B99" s="35">
        <f t="shared" si="1"/>
        <v>402157000</v>
      </c>
      <c r="C99" s="37"/>
      <c r="D99" s="37"/>
      <c r="E99" s="37"/>
    </row>
    <row r="100">
      <c r="A100" s="21">
        <v>78610.0</v>
      </c>
      <c r="B100" s="35">
        <f t="shared" si="1"/>
        <v>114770600</v>
      </c>
      <c r="C100" s="37"/>
      <c r="D100" s="37"/>
      <c r="E100" s="37"/>
    </row>
    <row r="101">
      <c r="A101" s="21">
        <v>960575.0</v>
      </c>
      <c r="B101" s="35">
        <f t="shared" si="1"/>
        <v>1402439500</v>
      </c>
      <c r="C101" s="37"/>
      <c r="D101" s="37"/>
      <c r="E101" s="37"/>
    </row>
    <row r="102">
      <c r="A102" s="21">
        <v>310800.0</v>
      </c>
      <c r="B102" s="35">
        <f t="shared" si="1"/>
        <v>453768000</v>
      </c>
      <c r="C102" s="37"/>
      <c r="D102" s="37"/>
      <c r="E102" s="37"/>
    </row>
    <row r="103">
      <c r="A103" s="21">
        <v>5320.67</v>
      </c>
      <c r="B103" s="35">
        <f t="shared" si="1"/>
        <v>7768178.2</v>
      </c>
      <c r="C103" s="37"/>
      <c r="D103" s="37"/>
      <c r="E103" s="37"/>
    </row>
    <row r="104">
      <c r="A104" s="21">
        <v>722750.0</v>
      </c>
      <c r="B104" s="35">
        <f t="shared" si="1"/>
        <v>1055215000</v>
      </c>
      <c r="C104" s="37"/>
      <c r="D104" s="37"/>
      <c r="E104" s="37"/>
    </row>
    <row r="105">
      <c r="A105" s="21">
        <v>23183.57</v>
      </c>
      <c r="B105" s="35">
        <f t="shared" si="1"/>
        <v>33848012.2</v>
      </c>
      <c r="C105" s="37"/>
      <c r="D105" s="37"/>
      <c r="E105" s="37"/>
    </row>
    <row r="106">
      <c r="A106" s="21">
        <v>12779.1</v>
      </c>
      <c r="B106" s="35">
        <f t="shared" si="1"/>
        <v>18657486</v>
      </c>
      <c r="C106" s="37"/>
      <c r="D106" s="37"/>
      <c r="E106" s="37"/>
    </row>
    <row r="107">
      <c r="A107" s="21">
        <v>13708.97</v>
      </c>
      <c r="B107" s="35">
        <f t="shared" si="1"/>
        <v>20015096.2</v>
      </c>
      <c r="C107" s="37"/>
      <c r="D107" s="37"/>
      <c r="E107" s="37"/>
    </row>
    <row r="108">
      <c r="A108" s="21">
        <v>68600.0</v>
      </c>
      <c r="B108" s="35">
        <f t="shared" si="1"/>
        <v>100156000</v>
      </c>
      <c r="C108" s="37"/>
      <c r="D108" s="37"/>
      <c r="E108" s="37"/>
    </row>
    <row r="109">
      <c r="A109" s="21">
        <v>109200.0</v>
      </c>
      <c r="B109" s="35">
        <f t="shared" si="1"/>
        <v>159432000</v>
      </c>
      <c r="C109" s="37"/>
      <c r="D109" s="37"/>
      <c r="E109" s="37"/>
    </row>
    <row r="110">
      <c r="A110" s="65">
        <v>23512.79</v>
      </c>
      <c r="B110" s="35">
        <f t="shared" si="1"/>
        <v>34328673.4</v>
      </c>
      <c r="C110" s="37"/>
      <c r="D110" s="37"/>
      <c r="E110" s="37"/>
    </row>
    <row r="111">
      <c r="A111" s="67">
        <v>259000.0</v>
      </c>
      <c r="B111" s="35">
        <f t="shared" si="1"/>
        <v>378140000</v>
      </c>
      <c r="C111" s="37"/>
      <c r="D111" s="37"/>
      <c r="E111" s="37"/>
    </row>
    <row r="112">
      <c r="A112" s="45">
        <v>15369.368740621838</v>
      </c>
      <c r="B112" s="35">
        <f t="shared" si="1"/>
        <v>22439278.36</v>
      </c>
      <c r="C112" s="37"/>
      <c r="D112" s="37"/>
      <c r="E112" s="37"/>
    </row>
    <row r="113">
      <c r="A113" s="45">
        <v>47814.04</v>
      </c>
      <c r="B113" s="35">
        <f t="shared" si="1"/>
        <v>69808498.4</v>
      </c>
      <c r="C113" s="37"/>
      <c r="D113" s="37"/>
      <c r="E113" s="37"/>
    </row>
    <row r="114">
      <c r="A114" s="49">
        <v>126000.0</v>
      </c>
      <c r="B114" s="35">
        <f t="shared" si="1"/>
        <v>183960000</v>
      </c>
      <c r="C114" s="37"/>
      <c r="D114" s="37"/>
      <c r="E114" s="37"/>
    </row>
    <row r="115">
      <c r="A115" s="45">
        <v>5600.044800358403</v>
      </c>
      <c r="B115" s="35">
        <f t="shared" si="1"/>
        <v>8176065.409</v>
      </c>
      <c r="C115" s="37"/>
      <c r="D115" s="37"/>
      <c r="E115" s="37"/>
    </row>
    <row r="116">
      <c r="A116" s="45">
        <v>11200.089600716807</v>
      </c>
      <c r="B116" s="35">
        <f t="shared" si="1"/>
        <v>16352130.82</v>
      </c>
      <c r="C116" s="37"/>
      <c r="D116" s="37"/>
      <c r="E116" s="37"/>
    </row>
    <row r="117">
      <c r="A117" s="45">
        <v>19600.934860645586</v>
      </c>
      <c r="B117" s="35">
        <f t="shared" si="1"/>
        <v>28617364.9</v>
      </c>
      <c r="C117" s="37"/>
      <c r="D117" s="37"/>
      <c r="E117" s="37"/>
    </row>
    <row r="118">
      <c r="A118" s="45">
        <v>6471.332382564705</v>
      </c>
      <c r="B118" s="35">
        <f t="shared" si="1"/>
        <v>9448145.279</v>
      </c>
      <c r="C118" s="37"/>
      <c r="D118" s="37"/>
      <c r="E118" s="37"/>
    </row>
    <row r="119">
      <c r="A119" s="49">
        <v>373100.0</v>
      </c>
      <c r="B119" s="35">
        <f t="shared" si="1"/>
        <v>544726000</v>
      </c>
      <c r="C119" s="37"/>
      <c r="D119" s="37"/>
      <c r="E119" s="37"/>
    </row>
    <row r="120">
      <c r="A120" s="43">
        <v>156100.0</v>
      </c>
      <c r="B120" s="35">
        <f t="shared" si="1"/>
        <v>227906000</v>
      </c>
      <c r="C120" s="37"/>
      <c r="D120" s="37"/>
      <c r="E120" s="37"/>
    </row>
    <row r="121">
      <c r="A121" s="49">
        <v>222250.0</v>
      </c>
      <c r="B121" s="35">
        <f t="shared" si="1"/>
        <v>324485000</v>
      </c>
      <c r="C121" s="37"/>
      <c r="D121" s="37"/>
      <c r="E121" s="37"/>
    </row>
    <row r="122">
      <c r="A122" s="43">
        <v>217840.0</v>
      </c>
      <c r="B122" s="35">
        <f t="shared" si="1"/>
        <v>318046400</v>
      </c>
      <c r="C122" s="37"/>
      <c r="D122" s="37"/>
      <c r="E122" s="37"/>
    </row>
    <row r="123">
      <c r="A123" s="49">
        <v>282268.0</v>
      </c>
      <c r="B123" s="35">
        <f t="shared" si="1"/>
        <v>412111280</v>
      </c>
      <c r="C123" s="37"/>
      <c r="D123" s="37"/>
      <c r="E123" s="37"/>
    </row>
    <row r="124">
      <c r="A124" s="69">
        <v>151060.0</v>
      </c>
      <c r="B124" s="35">
        <f t="shared" si="1"/>
        <v>220547600</v>
      </c>
      <c r="C124" s="37"/>
      <c r="D124" s="37"/>
      <c r="E124" s="37"/>
    </row>
    <row r="125">
      <c r="A125" s="45">
        <v>10569.502784018756</v>
      </c>
      <c r="B125" s="35">
        <f t="shared" si="1"/>
        <v>15431474.06</v>
      </c>
      <c r="C125" s="37"/>
      <c r="D125" s="37"/>
      <c r="E125" s="37"/>
    </row>
    <row r="126">
      <c r="A126" s="49">
        <v>220500.0</v>
      </c>
      <c r="B126" s="35">
        <f t="shared" si="1"/>
        <v>321930000</v>
      </c>
      <c r="C126" s="37"/>
      <c r="D126" s="37"/>
      <c r="E126" s="37"/>
    </row>
    <row r="127">
      <c r="A127" s="45">
        <v>9880.0482858378</v>
      </c>
      <c r="B127" s="35">
        <f t="shared" si="1"/>
        <v>14424870.5</v>
      </c>
      <c r="C127" s="37"/>
      <c r="D127" s="37"/>
      <c r="E127" s="37"/>
    </row>
    <row r="128">
      <c r="A128" s="21">
        <v>124740.0</v>
      </c>
      <c r="B128" s="35">
        <f t="shared" si="1"/>
        <v>182120400</v>
      </c>
      <c r="C128" s="37"/>
      <c r="D128" s="37"/>
      <c r="E128" s="37"/>
    </row>
    <row r="129">
      <c r="A129" s="21">
        <v>33915.0</v>
      </c>
      <c r="B129" s="35">
        <f t="shared" si="1"/>
        <v>49515900</v>
      </c>
      <c r="C129" s="37"/>
      <c r="D129" s="37"/>
      <c r="E129" s="37"/>
    </row>
    <row r="130">
      <c r="A130" s="49">
        <v>204400.0</v>
      </c>
      <c r="B130" s="35">
        <f t="shared" si="1"/>
        <v>298424000</v>
      </c>
      <c r="C130" s="37"/>
      <c r="D130" s="37"/>
      <c r="E130" s="37"/>
    </row>
    <row r="131">
      <c r="A131" s="49">
        <v>240800.0</v>
      </c>
      <c r="B131" s="35">
        <f t="shared" si="1"/>
        <v>351568000</v>
      </c>
      <c r="C131" s="37"/>
      <c r="D131" s="37"/>
      <c r="E131" s="37"/>
    </row>
    <row r="132">
      <c r="A132" s="21">
        <v>22683.87</v>
      </c>
      <c r="B132" s="35">
        <f t="shared" si="1"/>
        <v>33118450.2</v>
      </c>
      <c r="C132" s="37"/>
      <c r="D132" s="37"/>
      <c r="E132" s="37"/>
    </row>
    <row r="133">
      <c r="A133" s="21">
        <v>6804.53</v>
      </c>
      <c r="B133" s="35">
        <f t="shared" si="1"/>
        <v>9934613.8</v>
      </c>
      <c r="C133" s="37"/>
      <c r="D133" s="37"/>
      <c r="E133" s="37"/>
    </row>
    <row r="134">
      <c r="A134" s="21">
        <v>211610.0</v>
      </c>
      <c r="B134" s="35">
        <f t="shared" si="1"/>
        <v>308950600</v>
      </c>
      <c r="C134" s="37"/>
      <c r="D134" s="37"/>
      <c r="E134" s="37"/>
    </row>
    <row r="135">
      <c r="A135" s="45">
        <v>10369.057925785733</v>
      </c>
      <c r="B135" s="35">
        <f t="shared" si="1"/>
        <v>15138824.57</v>
      </c>
      <c r="C135" s="37"/>
      <c r="D135" s="37"/>
      <c r="E135" s="37"/>
    </row>
    <row r="136">
      <c r="A136" s="45">
        <v>5436.205126140093</v>
      </c>
      <c r="B136" s="35">
        <f t="shared" si="1"/>
        <v>7936859.484</v>
      </c>
      <c r="C136" s="37"/>
      <c r="D136" s="37"/>
      <c r="E136" s="37"/>
    </row>
    <row r="137">
      <c r="A137" s="21">
        <v>15357.76</v>
      </c>
      <c r="B137" s="35">
        <f t="shared" si="1"/>
        <v>22422329.6</v>
      </c>
      <c r="C137" s="37"/>
      <c r="D137" s="37"/>
      <c r="E137" s="37"/>
    </row>
    <row r="138">
      <c r="A138" s="21">
        <v>304220.0</v>
      </c>
      <c r="B138" s="35">
        <f t="shared" si="1"/>
        <v>444161200</v>
      </c>
      <c r="C138" s="37"/>
      <c r="D138" s="37"/>
      <c r="E138" s="37"/>
    </row>
    <row r="139">
      <c r="A139" s="21">
        <v>248451.0</v>
      </c>
      <c r="B139" s="35">
        <f t="shared" si="1"/>
        <v>362738460</v>
      </c>
      <c r="C139" s="37"/>
      <c r="D139" s="37"/>
      <c r="E139" s="37"/>
    </row>
    <row r="140">
      <c r="A140" s="21">
        <v>29296.79</v>
      </c>
      <c r="B140" s="35">
        <f t="shared" si="1"/>
        <v>42773313.4</v>
      </c>
      <c r="C140" s="37"/>
      <c r="D140" s="37"/>
      <c r="E140" s="37"/>
    </row>
    <row r="141">
      <c r="A141" s="21">
        <v>147000.0</v>
      </c>
      <c r="B141" s="35">
        <f t="shared" si="1"/>
        <v>214620000</v>
      </c>
      <c r="C141" s="37"/>
      <c r="D141" s="37"/>
      <c r="E141" s="37"/>
    </row>
    <row r="142">
      <c r="A142" s="21">
        <v>6033.7</v>
      </c>
      <c r="B142" s="35">
        <f t="shared" si="1"/>
        <v>8809202</v>
      </c>
      <c r="C142" s="37"/>
      <c r="D142" s="37"/>
      <c r="E142" s="37"/>
    </row>
    <row r="143">
      <c r="A143" s="21">
        <v>294000.0</v>
      </c>
      <c r="B143" s="35">
        <f t="shared" si="1"/>
        <v>429240000</v>
      </c>
      <c r="C143" s="37"/>
      <c r="D143" s="37"/>
      <c r="E143" s="37"/>
    </row>
    <row r="144">
      <c r="A144" s="21">
        <v>76763.06</v>
      </c>
      <c r="B144" s="35">
        <f t="shared" si="1"/>
        <v>112074067.6</v>
      </c>
      <c r="C144" s="37"/>
      <c r="D144" s="37"/>
      <c r="E144" s="37"/>
    </row>
    <row r="145">
      <c r="A145" s="21">
        <v>350000.0</v>
      </c>
      <c r="B145" s="35">
        <f t="shared" si="1"/>
        <v>511000000</v>
      </c>
      <c r="C145" s="37"/>
      <c r="D145" s="37"/>
      <c r="E145" s="37"/>
    </row>
    <row r="146">
      <c r="A146" s="21">
        <v>18848.49</v>
      </c>
      <c r="B146" s="35">
        <f t="shared" si="1"/>
        <v>27518795.4</v>
      </c>
      <c r="C146" s="37"/>
      <c r="D146" s="37"/>
      <c r="E146" s="37"/>
    </row>
    <row r="147">
      <c r="A147" s="21">
        <v>272230.0</v>
      </c>
      <c r="B147" s="35">
        <f t="shared" si="1"/>
        <v>397455800</v>
      </c>
      <c r="C147" s="37"/>
      <c r="D147" s="37"/>
      <c r="E147" s="37"/>
    </row>
    <row r="148">
      <c r="A148" s="21">
        <v>11168.24</v>
      </c>
      <c r="B148" s="35">
        <f t="shared" si="1"/>
        <v>16305630.4</v>
      </c>
      <c r="C148" s="37"/>
      <c r="D148" s="37"/>
      <c r="E148" s="37"/>
    </row>
    <row r="149">
      <c r="A149" s="21">
        <v>324068.5</v>
      </c>
      <c r="B149" s="35">
        <f t="shared" si="1"/>
        <v>473140010</v>
      </c>
      <c r="C149" s="37"/>
      <c r="D149" s="37"/>
      <c r="E149" s="37"/>
    </row>
    <row r="150">
      <c r="A150" s="21">
        <v>285250.0</v>
      </c>
      <c r="B150" s="35">
        <f t="shared" si="1"/>
        <v>416465000</v>
      </c>
      <c r="C150" s="37"/>
      <c r="D150" s="37"/>
      <c r="E150" s="37"/>
    </row>
    <row r="151">
      <c r="A151" s="21">
        <v>200900.0</v>
      </c>
      <c r="B151" s="35">
        <f t="shared" si="1"/>
        <v>293314000</v>
      </c>
      <c r="C151" s="37"/>
      <c r="D151" s="37"/>
      <c r="E151" s="37"/>
    </row>
    <row r="152">
      <c r="A152" s="21">
        <v>41417.48</v>
      </c>
      <c r="B152" s="35">
        <f t="shared" si="1"/>
        <v>60469520.8</v>
      </c>
      <c r="C152" s="37"/>
      <c r="D152" s="37"/>
      <c r="E152" s="37"/>
    </row>
    <row r="153">
      <c r="A153" s="21">
        <v>10632.08</v>
      </c>
      <c r="B153" s="35">
        <f t="shared" si="1"/>
        <v>15522836.8</v>
      </c>
      <c r="C153" s="37"/>
      <c r="D153" s="37"/>
      <c r="E153" s="37"/>
    </row>
    <row r="154">
      <c r="A154" s="21">
        <v>10632.08</v>
      </c>
      <c r="B154" s="35">
        <f t="shared" si="1"/>
        <v>15522836.8</v>
      </c>
      <c r="C154" s="37"/>
      <c r="D154" s="37"/>
      <c r="E154" s="37"/>
    </row>
    <row r="155">
      <c r="A155" s="21">
        <v>21264.15</v>
      </c>
      <c r="B155" s="35">
        <f t="shared" si="1"/>
        <v>31045659</v>
      </c>
      <c r="C155" s="37"/>
      <c r="D155" s="37"/>
      <c r="E155" s="37"/>
    </row>
    <row r="156">
      <c r="A156" s="21">
        <v>21264.0</v>
      </c>
      <c r="B156" s="35">
        <f t="shared" si="1"/>
        <v>31045440</v>
      </c>
      <c r="C156" s="37"/>
      <c r="D156" s="37"/>
      <c r="E156" s="37"/>
    </row>
    <row r="157">
      <c r="A157" s="49">
        <v>183122.8</v>
      </c>
      <c r="B157" s="35">
        <f t="shared" si="1"/>
        <v>267359288</v>
      </c>
      <c r="C157" s="37"/>
      <c r="D157" s="37"/>
      <c r="E157" s="37"/>
    </row>
    <row r="158">
      <c r="A158" s="21">
        <v>13006.32</v>
      </c>
      <c r="B158" s="35">
        <f t="shared" si="1"/>
        <v>18989227.2</v>
      </c>
      <c r="C158" s="37"/>
      <c r="D158" s="37"/>
      <c r="E158" s="37"/>
    </row>
    <row r="159">
      <c r="A159" s="21">
        <v>14491.6</v>
      </c>
      <c r="B159" s="35">
        <f t="shared" si="1"/>
        <v>21157736</v>
      </c>
      <c r="C159" s="37"/>
      <c r="D159" s="37"/>
      <c r="E159" s="37"/>
    </row>
    <row r="160">
      <c r="A160" s="21">
        <v>5617.47</v>
      </c>
      <c r="B160" s="35">
        <f t="shared" si="1"/>
        <v>8201506.2</v>
      </c>
      <c r="C160" s="37"/>
      <c r="D160" s="37"/>
      <c r="E160" s="37"/>
    </row>
    <row r="161">
      <c r="A161" s="21">
        <v>108703.0</v>
      </c>
      <c r="B161" s="35">
        <f t="shared" si="1"/>
        <v>158706380</v>
      </c>
      <c r="C161" s="37"/>
      <c r="D161" s="37"/>
      <c r="E161" s="37"/>
    </row>
    <row r="162">
      <c r="A162" s="21">
        <v>126840.0</v>
      </c>
      <c r="B162" s="35">
        <f t="shared" si="1"/>
        <v>185186400</v>
      </c>
      <c r="C162" s="37"/>
      <c r="D162" s="37"/>
      <c r="E162" s="37"/>
    </row>
    <row r="163">
      <c r="A163" s="21">
        <v>176400.0</v>
      </c>
      <c r="B163" s="35">
        <f t="shared" si="1"/>
        <v>257544000</v>
      </c>
      <c r="C163" s="37"/>
      <c r="D163" s="37"/>
      <c r="E163" s="37"/>
    </row>
    <row r="164">
      <c r="A164" s="21">
        <v>309400.0</v>
      </c>
      <c r="B164" s="35">
        <f t="shared" si="1"/>
        <v>451724000</v>
      </c>
      <c r="C164" s="37"/>
      <c r="D164" s="37"/>
      <c r="E164" s="37"/>
    </row>
    <row r="165">
      <c r="A165" s="21">
        <v>12261.25</v>
      </c>
      <c r="B165" s="35">
        <f t="shared" si="1"/>
        <v>17901425</v>
      </c>
      <c r="C165" s="37"/>
      <c r="D165" s="37"/>
      <c r="E165" s="37"/>
    </row>
    <row r="166">
      <c r="A166" s="49">
        <v>253470.0</v>
      </c>
      <c r="B166" s="35">
        <f t="shared" si="1"/>
        <v>370066200</v>
      </c>
      <c r="C166" s="37"/>
      <c r="D166" s="37"/>
      <c r="E166" s="37"/>
    </row>
    <row r="167">
      <c r="A167" s="21">
        <v>71053.5</v>
      </c>
      <c r="B167" s="35">
        <f t="shared" si="1"/>
        <v>103738110</v>
      </c>
      <c r="C167" s="37"/>
      <c r="D167" s="37"/>
      <c r="E167" s="37"/>
    </row>
    <row r="168">
      <c r="A168" s="21">
        <v>155341.9</v>
      </c>
      <c r="B168" s="35">
        <f t="shared" si="1"/>
        <v>226799174</v>
      </c>
      <c r="C168" s="37"/>
      <c r="D168" s="37"/>
      <c r="E168" s="37"/>
    </row>
    <row r="169">
      <c r="A169" s="21">
        <v>45353.7</v>
      </c>
      <c r="B169" s="35">
        <f t="shared" si="1"/>
        <v>66216402</v>
      </c>
      <c r="C169" s="37"/>
      <c r="D169" s="37"/>
      <c r="E169" s="37"/>
    </row>
    <row r="170">
      <c r="A170" s="21">
        <v>13392.99</v>
      </c>
      <c r="B170" s="35">
        <f t="shared" si="1"/>
        <v>19553765.4</v>
      </c>
      <c r="C170" s="37"/>
      <c r="D170" s="37"/>
      <c r="E170" s="37"/>
    </row>
    <row r="171">
      <c r="A171" s="21">
        <v>302253.0</v>
      </c>
      <c r="B171" s="35">
        <f t="shared" si="1"/>
        <v>441289380</v>
      </c>
      <c r="C171" s="37"/>
      <c r="D171" s="37"/>
      <c r="E171" s="37"/>
    </row>
    <row r="172">
      <c r="A172" s="21">
        <v>247100.0</v>
      </c>
      <c r="B172" s="35">
        <f t="shared" si="1"/>
        <v>360766000</v>
      </c>
      <c r="C172" s="37"/>
      <c r="D172" s="37"/>
      <c r="E172" s="37"/>
    </row>
    <row r="173">
      <c r="A173" s="21">
        <v>250600.0</v>
      </c>
      <c r="B173" s="35">
        <f t="shared" si="1"/>
        <v>365876000</v>
      </c>
      <c r="C173" s="37"/>
      <c r="D173" s="37"/>
      <c r="E173" s="37"/>
    </row>
    <row r="174">
      <c r="A174" s="45">
        <v>18485.823878114858</v>
      </c>
      <c r="B174" s="35">
        <f t="shared" si="1"/>
        <v>26989302.86</v>
      </c>
      <c r="C174" s="37"/>
      <c r="D174" s="37"/>
      <c r="E174" s="37"/>
    </row>
    <row r="175">
      <c r="A175" s="21">
        <v>8641.7</v>
      </c>
      <c r="B175" s="35">
        <f t="shared" si="1"/>
        <v>12616882</v>
      </c>
      <c r="C175" s="37"/>
      <c r="D175" s="37"/>
      <c r="E175" s="37"/>
    </row>
    <row r="176">
      <c r="A176" s="21">
        <v>307300.0</v>
      </c>
      <c r="B176" s="35">
        <f t="shared" si="1"/>
        <v>448658000</v>
      </c>
      <c r="C176" s="37"/>
      <c r="D176" s="37"/>
      <c r="E176" s="37"/>
    </row>
    <row r="177">
      <c r="A177" s="21">
        <v>247100.0</v>
      </c>
      <c r="B177" s="35">
        <f t="shared" si="1"/>
        <v>360766000</v>
      </c>
      <c r="C177" s="37"/>
      <c r="D177" s="37"/>
      <c r="E177" s="37"/>
    </row>
    <row r="178">
      <c r="A178" s="21">
        <v>189000.0</v>
      </c>
      <c r="B178" s="35">
        <f t="shared" si="1"/>
        <v>275940000</v>
      </c>
      <c r="C178" s="37"/>
      <c r="D178" s="37"/>
      <c r="E178" s="37"/>
    </row>
    <row r="179">
      <c r="A179" s="21">
        <v>6463.01</v>
      </c>
      <c r="B179" s="35">
        <f t="shared" si="1"/>
        <v>9435994.6</v>
      </c>
      <c r="C179" s="37"/>
      <c r="D179" s="37"/>
      <c r="E179" s="37"/>
    </row>
    <row r="180">
      <c r="A180" s="21">
        <v>21767.42</v>
      </c>
      <c r="B180" s="35">
        <f t="shared" si="1"/>
        <v>31780433.2</v>
      </c>
      <c r="C180" s="37"/>
      <c r="D180" s="37"/>
      <c r="E180" s="37"/>
    </row>
    <row r="181">
      <c r="A181" s="21">
        <v>105000.0</v>
      </c>
      <c r="B181" s="35">
        <f t="shared" si="1"/>
        <v>153300000</v>
      </c>
      <c r="C181" s="37"/>
      <c r="D181" s="37"/>
      <c r="E181" s="37"/>
    </row>
    <row r="182">
      <c r="A182" s="21">
        <v>171640.0</v>
      </c>
      <c r="B182" s="35">
        <f t="shared" si="1"/>
        <v>250594400</v>
      </c>
      <c r="C182" s="37"/>
      <c r="D182" s="37"/>
      <c r="E182" s="37"/>
    </row>
    <row r="183">
      <c r="A183" s="21">
        <v>13838.29</v>
      </c>
      <c r="B183" s="35">
        <f t="shared" si="1"/>
        <v>20203903.4</v>
      </c>
      <c r="C183" s="37"/>
      <c r="D183" s="37"/>
      <c r="E183" s="37"/>
    </row>
    <row r="184">
      <c r="A184" s="21">
        <v>22179.79</v>
      </c>
      <c r="B184" s="35">
        <f t="shared" si="1"/>
        <v>32382493.4</v>
      </c>
      <c r="C184" s="37"/>
      <c r="D184" s="37"/>
      <c r="E184" s="37"/>
    </row>
    <row r="185">
      <c r="A185" s="21">
        <v>334600.0</v>
      </c>
      <c r="B185" s="35">
        <f t="shared" si="1"/>
        <v>488516000</v>
      </c>
      <c r="C185" s="37"/>
      <c r="D185" s="37"/>
      <c r="E185" s="37"/>
    </row>
    <row r="186">
      <c r="A186" s="21">
        <v>29299.95</v>
      </c>
      <c r="B186" s="35">
        <f t="shared" si="1"/>
        <v>42777927</v>
      </c>
      <c r="C186" s="37"/>
      <c r="D186" s="37"/>
      <c r="E186" s="37"/>
    </row>
    <row r="187">
      <c r="A187" s="21">
        <v>10207.63</v>
      </c>
      <c r="B187" s="35">
        <f t="shared" si="1"/>
        <v>14903139.8</v>
      </c>
      <c r="C187" s="37"/>
      <c r="D187" s="37"/>
      <c r="E187" s="37"/>
    </row>
    <row r="188">
      <c r="A188" s="21">
        <v>218295.0</v>
      </c>
      <c r="B188" s="35">
        <f t="shared" si="1"/>
        <v>318710700</v>
      </c>
      <c r="C188" s="37"/>
      <c r="D188" s="37"/>
      <c r="E188" s="37"/>
    </row>
    <row r="189">
      <c r="A189" s="21">
        <v>12333.33</v>
      </c>
      <c r="B189" s="35">
        <f t="shared" si="1"/>
        <v>18006661.8</v>
      </c>
      <c r="C189" s="37"/>
      <c r="D189" s="37"/>
      <c r="E189" s="37"/>
    </row>
    <row r="190">
      <c r="A190" s="21">
        <v>15151.1</v>
      </c>
      <c r="B190" s="35">
        <f t="shared" si="1"/>
        <v>22120606</v>
      </c>
      <c r="C190" s="37"/>
      <c r="D190" s="37"/>
      <c r="E190" s="37"/>
    </row>
    <row r="191">
      <c r="A191" s="21">
        <v>17155.4</v>
      </c>
      <c r="B191" s="35">
        <f t="shared" si="1"/>
        <v>25046884</v>
      </c>
      <c r="C191" s="37"/>
      <c r="D191" s="37"/>
      <c r="E191" s="37"/>
    </row>
    <row r="192">
      <c r="A192" s="21">
        <v>141400.0</v>
      </c>
      <c r="B192" s="35">
        <f t="shared" si="1"/>
        <v>206444000</v>
      </c>
      <c r="C192" s="37"/>
      <c r="D192" s="37"/>
      <c r="E192" s="37"/>
    </row>
    <row r="193">
      <c r="A193" s="21">
        <v>14041.22</v>
      </c>
      <c r="B193" s="35">
        <f t="shared" si="1"/>
        <v>20500181.2</v>
      </c>
      <c r="C193" s="37"/>
      <c r="D193" s="37"/>
      <c r="E193" s="37"/>
    </row>
    <row r="194">
      <c r="A194" s="21">
        <v>78652.0</v>
      </c>
      <c r="B194" s="35">
        <f t="shared" si="1"/>
        <v>114831920</v>
      </c>
      <c r="C194" s="37"/>
      <c r="D194" s="37"/>
      <c r="E194" s="37"/>
    </row>
    <row r="195">
      <c r="A195" s="21">
        <v>206640.0</v>
      </c>
      <c r="B195" s="35">
        <f t="shared" si="1"/>
        <v>301694400</v>
      </c>
      <c r="C195" s="37"/>
      <c r="D195" s="37"/>
      <c r="E195" s="37"/>
    </row>
    <row r="196">
      <c r="A196" s="21">
        <v>441000.0</v>
      </c>
      <c r="B196" s="35">
        <f t="shared" si="1"/>
        <v>643860000</v>
      </c>
      <c r="C196" s="37"/>
      <c r="D196" s="37"/>
      <c r="E196" s="37"/>
    </row>
    <row r="197">
      <c r="A197" s="21">
        <v>15974.53</v>
      </c>
      <c r="B197" s="35">
        <f t="shared" si="1"/>
        <v>23322813.8</v>
      </c>
      <c r="C197" s="37"/>
      <c r="D197" s="37"/>
      <c r="E197" s="37"/>
    </row>
    <row r="198">
      <c r="A198" s="21">
        <v>19847.79</v>
      </c>
      <c r="B198" s="35">
        <f t="shared" si="1"/>
        <v>28977773.4</v>
      </c>
      <c r="C198" s="37"/>
      <c r="D198" s="37"/>
      <c r="E198" s="37"/>
    </row>
    <row r="199">
      <c r="A199" s="21">
        <v>424550.0</v>
      </c>
      <c r="B199" s="35">
        <f t="shared" si="1"/>
        <v>619843000</v>
      </c>
      <c r="C199" s="37"/>
      <c r="D199" s="37"/>
      <c r="E199" s="37"/>
    </row>
    <row r="200">
      <c r="A200" s="21">
        <v>44263.44</v>
      </c>
      <c r="B200" s="35">
        <f t="shared" si="1"/>
        <v>64624622.4</v>
      </c>
      <c r="C200" s="37"/>
      <c r="D200" s="37"/>
      <c r="E200" s="37"/>
    </row>
    <row r="201">
      <c r="A201" s="21">
        <v>3298.0</v>
      </c>
      <c r="B201" s="35">
        <f t="shared" si="1"/>
        <v>4815080</v>
      </c>
      <c r="C201" s="37"/>
      <c r="D201" s="37"/>
      <c r="E201" s="37"/>
    </row>
    <row r="202">
      <c r="A202" s="21">
        <v>2569.17</v>
      </c>
      <c r="B202" s="35">
        <f t="shared" si="1"/>
        <v>3750988.2</v>
      </c>
      <c r="C202" s="37"/>
      <c r="D202" s="37"/>
      <c r="E202" s="37"/>
    </row>
    <row r="203">
      <c r="A203" s="21">
        <v>550900.0</v>
      </c>
      <c r="B203" s="35">
        <f t="shared" si="1"/>
        <v>804314000</v>
      </c>
      <c r="C203" s="37"/>
      <c r="D203" s="37"/>
      <c r="E203" s="37"/>
    </row>
    <row r="204">
      <c r="A204" s="21">
        <v>747600.0</v>
      </c>
      <c r="B204" s="35">
        <f t="shared" si="1"/>
        <v>1091496000</v>
      </c>
      <c r="C204" s="37"/>
      <c r="D204" s="37"/>
      <c r="E204" s="37"/>
    </row>
    <row r="205">
      <c r="A205" s="21">
        <v>183750.0</v>
      </c>
      <c r="B205" s="35">
        <f t="shared" si="1"/>
        <v>268275000</v>
      </c>
      <c r="C205" s="37"/>
      <c r="D205" s="37"/>
      <c r="E205" s="37"/>
    </row>
    <row r="206">
      <c r="A206" s="21">
        <v>16751.07</v>
      </c>
      <c r="B206" s="35">
        <f t="shared" si="1"/>
        <v>24456562.2</v>
      </c>
      <c r="C206" s="37"/>
      <c r="D206" s="37"/>
      <c r="E206" s="37"/>
    </row>
    <row r="207">
      <c r="A207" s="21">
        <v>11352.89</v>
      </c>
      <c r="B207" s="35">
        <f t="shared" si="1"/>
        <v>16575219.4</v>
      </c>
      <c r="C207" s="37"/>
      <c r="D207" s="37"/>
      <c r="E207" s="37"/>
    </row>
    <row r="208">
      <c r="A208" s="21">
        <v>25136.69</v>
      </c>
      <c r="B208" s="35">
        <f t="shared" si="1"/>
        <v>36699567.4</v>
      </c>
      <c r="C208" s="37"/>
      <c r="D208" s="37"/>
      <c r="E208" s="37"/>
    </row>
    <row r="209">
      <c r="A209" s="21">
        <v>101500.0</v>
      </c>
      <c r="B209" s="35">
        <f t="shared" si="1"/>
        <v>148190000</v>
      </c>
      <c r="C209" s="37"/>
      <c r="D209" s="37"/>
      <c r="E209" s="37"/>
    </row>
    <row r="210">
      <c r="A210" s="21">
        <v>639800.0</v>
      </c>
      <c r="B210" s="35">
        <f t="shared" si="1"/>
        <v>934108000</v>
      </c>
      <c r="C210" s="37"/>
      <c r="D210" s="37"/>
      <c r="E210" s="37"/>
    </row>
    <row r="211">
      <c r="A211" s="21">
        <v>454300.0</v>
      </c>
      <c r="B211" s="35">
        <f t="shared" si="1"/>
        <v>663278000</v>
      </c>
      <c r="C211" s="37"/>
      <c r="D211" s="37"/>
      <c r="E211" s="37"/>
    </row>
    <row r="212">
      <c r="A212" s="21">
        <v>268380.0</v>
      </c>
      <c r="B212" s="35">
        <f t="shared" si="1"/>
        <v>391834800</v>
      </c>
      <c r="C212" s="37"/>
      <c r="D212" s="37"/>
      <c r="E212" s="37"/>
    </row>
    <row r="213">
      <c r="A213" s="21">
        <v>26611.0</v>
      </c>
      <c r="B213" s="35">
        <f t="shared" si="1"/>
        <v>38852060</v>
      </c>
      <c r="C213" s="37"/>
      <c r="D213" s="37"/>
      <c r="E213" s="37"/>
    </row>
    <row r="214">
      <c r="A214" s="21">
        <v>417361.0</v>
      </c>
      <c r="B214" s="35">
        <f t="shared" si="1"/>
        <v>609347060</v>
      </c>
      <c r="C214" s="37"/>
      <c r="D214" s="37"/>
      <c r="E214" s="37"/>
    </row>
    <row r="215">
      <c r="A215" s="21">
        <v>4803.73</v>
      </c>
      <c r="B215" s="35">
        <f t="shared" si="1"/>
        <v>7013445.8</v>
      </c>
      <c r="C215" s="37"/>
      <c r="D215" s="37"/>
      <c r="E215" s="37"/>
    </row>
    <row r="216">
      <c r="A216" s="21">
        <v>314790.0</v>
      </c>
      <c r="B216" s="35">
        <f t="shared" si="1"/>
        <v>459593400</v>
      </c>
      <c r="C216" s="37"/>
      <c r="D216" s="37"/>
      <c r="E216" s="37"/>
    </row>
    <row r="217">
      <c r="A217" s="21">
        <v>128100.0</v>
      </c>
      <c r="B217" s="35">
        <f t="shared" si="1"/>
        <v>187026000</v>
      </c>
      <c r="C217" s="37"/>
      <c r="D217" s="37"/>
      <c r="E217" s="37"/>
    </row>
    <row r="218">
      <c r="A218" s="21">
        <v>122150.0</v>
      </c>
      <c r="B218" s="35">
        <f t="shared" si="1"/>
        <v>178339000</v>
      </c>
      <c r="C218" s="37"/>
      <c r="D218" s="37"/>
      <c r="E218" s="37"/>
    </row>
    <row r="219">
      <c r="A219" s="21">
        <v>279347.6</v>
      </c>
      <c r="B219" s="35">
        <f t="shared" si="1"/>
        <v>407847496</v>
      </c>
      <c r="C219" s="37"/>
      <c r="D219" s="37"/>
      <c r="E219" s="37"/>
    </row>
    <row r="220">
      <c r="A220" s="21">
        <v>8571.62</v>
      </c>
      <c r="B220" s="35">
        <f t="shared" si="1"/>
        <v>12514565.2</v>
      </c>
      <c r="C220" s="37"/>
      <c r="D220" s="37"/>
      <c r="E220" s="37"/>
    </row>
    <row r="221">
      <c r="A221" s="21">
        <v>342300.76</v>
      </c>
      <c r="B221" s="35">
        <f t="shared" si="1"/>
        <v>499759109.6</v>
      </c>
      <c r="C221" s="37"/>
      <c r="D221" s="37"/>
      <c r="E221" s="37"/>
    </row>
    <row r="222">
      <c r="A222" s="21">
        <v>255313.56</v>
      </c>
      <c r="B222" s="35">
        <f t="shared" si="1"/>
        <v>372757797.6</v>
      </c>
      <c r="C222" s="37"/>
      <c r="D222" s="37"/>
      <c r="E222" s="37"/>
    </row>
    <row r="223">
      <c r="A223" s="21">
        <v>176831.92</v>
      </c>
      <c r="B223" s="35">
        <f t="shared" si="1"/>
        <v>258174603.2</v>
      </c>
      <c r="C223" s="37"/>
      <c r="D223" s="37"/>
      <c r="E223" s="37"/>
    </row>
    <row r="224">
      <c r="A224" s="21">
        <v>189000.0</v>
      </c>
      <c r="B224" s="35">
        <f t="shared" si="1"/>
        <v>275940000</v>
      </c>
      <c r="C224" s="37"/>
      <c r="D224" s="37"/>
      <c r="E224" s="37"/>
    </row>
    <row r="225">
      <c r="A225" s="21">
        <v>9107.78</v>
      </c>
      <c r="B225" s="35">
        <f t="shared" si="1"/>
        <v>13297358.8</v>
      </c>
      <c r="C225" s="37"/>
      <c r="D225" s="37"/>
      <c r="E225" s="37"/>
    </row>
    <row r="226">
      <c r="A226" s="21">
        <v>5469.32</v>
      </c>
      <c r="B226" s="35">
        <f t="shared" si="1"/>
        <v>7985207.2</v>
      </c>
      <c r="C226" s="37"/>
      <c r="D226" s="37"/>
      <c r="E226" s="37"/>
    </row>
    <row r="227">
      <c r="A227" s="21">
        <v>10325.74</v>
      </c>
      <c r="B227" s="35">
        <f t="shared" si="1"/>
        <v>15075580.4</v>
      </c>
      <c r="C227" s="37"/>
      <c r="D227" s="37"/>
      <c r="E227" s="37"/>
    </row>
    <row r="228">
      <c r="A228" s="21">
        <v>253260.0</v>
      </c>
      <c r="B228" s="35">
        <f t="shared" si="1"/>
        <v>369759600</v>
      </c>
      <c r="C228" s="37"/>
      <c r="D228" s="37"/>
      <c r="E228" s="37"/>
    </row>
    <row r="229">
      <c r="A229" s="21">
        <v>31313.43</v>
      </c>
      <c r="B229" s="35">
        <f t="shared" si="1"/>
        <v>45717607.8</v>
      </c>
      <c r="C229" s="37"/>
      <c r="D229" s="37"/>
      <c r="E229" s="37"/>
    </row>
    <row r="230">
      <c r="A230" s="21">
        <v>3913.89</v>
      </c>
      <c r="B230" s="35">
        <f t="shared" si="1"/>
        <v>5714279.4</v>
      </c>
      <c r="C230" s="37"/>
      <c r="D230" s="37"/>
      <c r="E230" s="37"/>
    </row>
    <row r="231">
      <c r="A231" s="21">
        <v>27048.95</v>
      </c>
      <c r="B231" s="35">
        <f t="shared" si="1"/>
        <v>39491467</v>
      </c>
      <c r="C231" s="37"/>
      <c r="D231" s="37"/>
      <c r="E231" s="37"/>
    </row>
    <row r="232">
      <c r="A232" s="49">
        <v>261534.0</v>
      </c>
      <c r="B232" s="35">
        <f t="shared" si="1"/>
        <v>381839640</v>
      </c>
      <c r="C232" s="37"/>
      <c r="D232" s="37"/>
      <c r="E232" s="37"/>
    </row>
    <row r="233">
      <c r="A233" s="21">
        <v>20995.72</v>
      </c>
      <c r="B233" s="35">
        <f t="shared" si="1"/>
        <v>30653751.2</v>
      </c>
      <c r="C233" s="37"/>
      <c r="D233" s="37"/>
      <c r="E233" s="37"/>
    </row>
    <row r="234">
      <c r="A234" s="21">
        <v>266910.0</v>
      </c>
      <c r="B234" s="35">
        <f t="shared" si="1"/>
        <v>389688600</v>
      </c>
      <c r="C234" s="37"/>
      <c r="D234" s="37"/>
      <c r="E234" s="37"/>
    </row>
    <row r="235">
      <c r="A235" s="21">
        <v>17703.09</v>
      </c>
      <c r="B235" s="35">
        <f t="shared" si="1"/>
        <v>25846511.4</v>
      </c>
      <c r="C235" s="37"/>
      <c r="D235" s="37"/>
      <c r="E235" s="37"/>
    </row>
    <row r="236">
      <c r="A236" s="21">
        <v>259350.0</v>
      </c>
      <c r="B236" s="35">
        <f t="shared" si="1"/>
        <v>378651000</v>
      </c>
      <c r="C236" s="37"/>
      <c r="D236" s="37"/>
      <c r="E236" s="37"/>
    </row>
    <row r="237">
      <c r="A237" s="21">
        <v>196000.0</v>
      </c>
      <c r="B237" s="35">
        <f t="shared" si="1"/>
        <v>286160000</v>
      </c>
      <c r="C237" s="37"/>
      <c r="D237" s="37"/>
      <c r="E237" s="37"/>
    </row>
    <row r="238">
      <c r="A238" s="21">
        <v>38893.96</v>
      </c>
      <c r="B238" s="35">
        <f t="shared" si="1"/>
        <v>56785181.6</v>
      </c>
      <c r="C238" s="37"/>
      <c r="D238" s="37"/>
      <c r="E238" s="37"/>
    </row>
    <row r="239">
      <c r="A239" s="21">
        <v>217700.0</v>
      </c>
      <c r="B239" s="35">
        <f t="shared" si="1"/>
        <v>317842000</v>
      </c>
      <c r="C239" s="37"/>
      <c r="D239" s="37"/>
      <c r="E239" s="37"/>
    </row>
    <row r="240">
      <c r="A240" s="21">
        <v>25750.25</v>
      </c>
      <c r="B240" s="35">
        <f t="shared" si="1"/>
        <v>37595365</v>
      </c>
      <c r="C240" s="37"/>
      <c r="D240" s="37"/>
      <c r="E240" s="37"/>
    </row>
    <row r="241">
      <c r="A241" s="45">
        <v>10632.076976237307</v>
      </c>
      <c r="B241" s="35">
        <f t="shared" si="1"/>
        <v>15522832.39</v>
      </c>
      <c r="C241" s="37"/>
      <c r="D241" s="37"/>
      <c r="E241" s="37"/>
    </row>
    <row r="242">
      <c r="A242" s="21">
        <v>23644.56</v>
      </c>
      <c r="B242" s="35">
        <f t="shared" si="1"/>
        <v>34521057.6</v>
      </c>
      <c r="C242" s="37"/>
      <c r="D242" s="37"/>
      <c r="E242" s="37"/>
    </row>
    <row r="243">
      <c r="A243" s="21">
        <v>277060.0</v>
      </c>
      <c r="B243" s="35">
        <f t="shared" si="1"/>
        <v>404507600</v>
      </c>
      <c r="C243" s="37"/>
      <c r="D243" s="37"/>
      <c r="E243" s="37"/>
    </row>
    <row r="244">
      <c r="A244" s="21">
        <v>313810.0</v>
      </c>
      <c r="B244" s="35">
        <f t="shared" si="1"/>
        <v>458162600</v>
      </c>
      <c r="C244" s="37"/>
      <c r="D244" s="37"/>
      <c r="E244" s="37"/>
    </row>
    <row r="245">
      <c r="A245" s="21">
        <v>299600.0</v>
      </c>
      <c r="B245" s="35">
        <f t="shared" si="1"/>
        <v>437416000</v>
      </c>
      <c r="C245" s="37"/>
      <c r="D245" s="37"/>
      <c r="E245" s="37"/>
    </row>
    <row r="246">
      <c r="A246" s="21">
        <v>180320.0</v>
      </c>
      <c r="B246" s="35">
        <f t="shared" si="1"/>
        <v>263267200</v>
      </c>
      <c r="C246" s="37"/>
      <c r="D246" s="37"/>
      <c r="E246" s="37"/>
    </row>
    <row r="247">
      <c r="A247" s="21">
        <v>435890.0</v>
      </c>
      <c r="B247" s="35">
        <f t="shared" si="1"/>
        <v>636399400</v>
      </c>
      <c r="C247" s="37"/>
      <c r="D247" s="37"/>
      <c r="E247" s="37"/>
    </row>
    <row r="248">
      <c r="A248" s="21">
        <v>277270.0</v>
      </c>
      <c r="B248" s="35">
        <f t="shared" si="1"/>
        <v>404814200</v>
      </c>
      <c r="C248" s="37"/>
      <c r="D248" s="37"/>
      <c r="E248" s="37"/>
    </row>
    <row r="249">
      <c r="A249" s="21">
        <v>9781.51</v>
      </c>
      <c r="B249" s="35">
        <f t="shared" si="1"/>
        <v>14281004.6</v>
      </c>
      <c r="C249" s="37"/>
      <c r="D249" s="37"/>
      <c r="E249" s="37"/>
    </row>
    <row r="250">
      <c r="A250" s="21">
        <v>6805.49</v>
      </c>
      <c r="B250" s="35">
        <f t="shared" si="1"/>
        <v>9936015.4</v>
      </c>
      <c r="C250" s="37"/>
      <c r="D250" s="37"/>
      <c r="E250" s="37"/>
    </row>
    <row r="251">
      <c r="A251" s="21">
        <v>21264.15</v>
      </c>
      <c r="B251" s="35">
        <f t="shared" si="1"/>
        <v>31045659</v>
      </c>
      <c r="C251" s="37"/>
      <c r="D251" s="37"/>
      <c r="E251" s="37"/>
    </row>
    <row r="252">
      <c r="A252" s="21">
        <v>140000.0</v>
      </c>
      <c r="B252" s="35">
        <f t="shared" si="1"/>
        <v>204400000</v>
      </c>
      <c r="C252" s="37"/>
      <c r="D252" s="37"/>
      <c r="E252" s="37"/>
    </row>
    <row r="253">
      <c r="A253" s="21">
        <v>15119.29</v>
      </c>
      <c r="B253" s="35">
        <f t="shared" si="1"/>
        <v>22074163.4</v>
      </c>
      <c r="C253" s="37"/>
      <c r="D253" s="37"/>
      <c r="E253" s="37"/>
    </row>
    <row r="254">
      <c r="A254" s="21">
        <v>13944.24</v>
      </c>
      <c r="B254" s="35">
        <f t="shared" si="1"/>
        <v>20358590.4</v>
      </c>
      <c r="C254" s="37"/>
      <c r="D254" s="37"/>
      <c r="E254" s="37"/>
    </row>
    <row r="255">
      <c r="A255" s="21">
        <v>11816.87</v>
      </c>
      <c r="B255" s="35">
        <f t="shared" si="1"/>
        <v>17252630.2</v>
      </c>
      <c r="C255" s="37"/>
      <c r="D255" s="37"/>
      <c r="E255" s="37"/>
    </row>
    <row r="256">
      <c r="A256" s="21">
        <v>10632.08</v>
      </c>
      <c r="B256" s="35">
        <f t="shared" si="1"/>
        <v>15522836.8</v>
      </c>
      <c r="C256" s="37"/>
      <c r="D256" s="37"/>
      <c r="E256" s="37"/>
    </row>
    <row r="257">
      <c r="A257" s="43">
        <v>368900.0</v>
      </c>
      <c r="B257" s="35">
        <f t="shared" si="1"/>
        <v>538594000</v>
      </c>
      <c r="C257" s="37"/>
      <c r="D257" s="37"/>
      <c r="E257" s="37"/>
    </row>
    <row r="258">
      <c r="A258" s="21">
        <v>165900.0</v>
      </c>
      <c r="B258" s="35">
        <f t="shared" si="1"/>
        <v>242214000</v>
      </c>
      <c r="C258" s="37"/>
      <c r="D258" s="37"/>
      <c r="E258" s="37"/>
    </row>
    <row r="259">
      <c r="A259" s="21">
        <v>10632.08</v>
      </c>
      <c r="B259" s="35">
        <f t="shared" si="1"/>
        <v>15522836.8</v>
      </c>
      <c r="C259" s="37"/>
      <c r="D259" s="37"/>
      <c r="E259" s="37"/>
    </row>
    <row r="260">
      <c r="A260" s="21">
        <v>21264.15</v>
      </c>
      <c r="B260" s="35">
        <f t="shared" si="1"/>
        <v>31045659</v>
      </c>
      <c r="C260" s="37"/>
      <c r="D260" s="37"/>
      <c r="E260" s="37"/>
    </row>
    <row r="261">
      <c r="A261" s="21">
        <v>140000.0</v>
      </c>
      <c r="B261" s="35">
        <f t="shared" si="1"/>
        <v>204400000</v>
      </c>
      <c r="C261" s="37"/>
      <c r="D261" s="37"/>
      <c r="E261" s="37"/>
    </row>
    <row r="262">
      <c r="A262" s="21">
        <v>14910.93</v>
      </c>
      <c r="B262" s="35">
        <f t="shared" si="1"/>
        <v>21769957.8</v>
      </c>
      <c r="C262" s="37"/>
      <c r="D262" s="37"/>
      <c r="E262" s="37"/>
    </row>
    <row r="263">
      <c r="A263" s="21">
        <v>40181.2</v>
      </c>
      <c r="B263" s="35">
        <f t="shared" si="1"/>
        <v>58664552</v>
      </c>
      <c r="C263" s="37"/>
      <c r="D263" s="37"/>
      <c r="E263" s="37"/>
    </row>
    <row r="264">
      <c r="A264" s="21">
        <v>191660.0</v>
      </c>
      <c r="B264" s="35">
        <f t="shared" si="1"/>
        <v>279823600</v>
      </c>
      <c r="C264" s="37"/>
      <c r="D264" s="37"/>
      <c r="E264" s="37"/>
    </row>
    <row r="265">
      <c r="A265" s="21">
        <v>13301.66</v>
      </c>
      <c r="B265" s="35">
        <f t="shared" si="1"/>
        <v>19420423.6</v>
      </c>
      <c r="C265" s="37"/>
      <c r="D265" s="37"/>
      <c r="E265" s="37"/>
    </row>
    <row r="266">
      <c r="A266" s="21">
        <v>9949.05</v>
      </c>
      <c r="B266" s="35">
        <f t="shared" si="1"/>
        <v>14525613</v>
      </c>
      <c r="C266" s="37"/>
      <c r="D266" s="37"/>
      <c r="E266" s="37"/>
    </row>
    <row r="267">
      <c r="A267" s="21">
        <v>80850.0</v>
      </c>
      <c r="B267" s="35">
        <f t="shared" si="1"/>
        <v>118041000</v>
      </c>
      <c r="C267" s="37"/>
      <c r="D267" s="37"/>
      <c r="E267" s="37"/>
    </row>
    <row r="268">
      <c r="A268" s="21">
        <v>58100.0</v>
      </c>
      <c r="B268" s="35">
        <f t="shared" si="1"/>
        <v>84826000</v>
      </c>
      <c r="C268" s="37"/>
      <c r="D268" s="37"/>
      <c r="E268" s="37"/>
    </row>
    <row r="269">
      <c r="A269" s="21">
        <v>480879.0</v>
      </c>
      <c r="B269" s="35">
        <f t="shared" si="1"/>
        <v>702083340</v>
      </c>
      <c r="C269" s="37"/>
      <c r="D269" s="37"/>
      <c r="E269" s="37"/>
    </row>
    <row r="270">
      <c r="A270" s="21">
        <v>130102.0</v>
      </c>
      <c r="B270" s="35">
        <f t="shared" si="1"/>
        <v>189948920</v>
      </c>
      <c r="C270" s="37"/>
      <c r="D270" s="37"/>
      <c r="E270" s="37"/>
    </row>
    <row r="271">
      <c r="A271" s="21">
        <v>24246.0</v>
      </c>
      <c r="B271" s="35">
        <f t="shared" si="1"/>
        <v>35399160</v>
      </c>
      <c r="C271" s="37"/>
      <c r="D271" s="37"/>
      <c r="E271" s="37"/>
    </row>
    <row r="272">
      <c r="A272" s="21">
        <v>215250.0</v>
      </c>
      <c r="B272" s="35">
        <f t="shared" si="1"/>
        <v>314265000</v>
      </c>
      <c r="C272" s="37"/>
      <c r="D272" s="37"/>
      <c r="E272" s="37"/>
    </row>
    <row r="273">
      <c r="A273" s="21">
        <v>10109.64</v>
      </c>
      <c r="B273" s="35">
        <f t="shared" si="1"/>
        <v>14760074.4</v>
      </c>
      <c r="C273" s="37"/>
      <c r="D273" s="37"/>
      <c r="E273" s="37"/>
    </row>
    <row r="274">
      <c r="A274" s="21">
        <v>23155.48</v>
      </c>
      <c r="B274" s="35">
        <f t="shared" si="1"/>
        <v>33807000.8</v>
      </c>
      <c r="C274" s="37"/>
      <c r="D274" s="37"/>
      <c r="E274" s="37"/>
    </row>
    <row r="275">
      <c r="A275" s="21">
        <v>240800.0</v>
      </c>
      <c r="B275" s="35">
        <f t="shared" si="1"/>
        <v>351568000</v>
      </c>
      <c r="C275" s="37"/>
      <c r="D275" s="37"/>
      <c r="E275" s="37"/>
    </row>
    <row r="276">
      <c r="A276" s="21">
        <v>10094.1</v>
      </c>
      <c r="B276" s="35">
        <f t="shared" si="1"/>
        <v>14737386</v>
      </c>
      <c r="C276" s="37"/>
      <c r="D276" s="37"/>
      <c r="E276" s="37"/>
    </row>
    <row r="277">
      <c r="A277" s="21">
        <v>18850.0</v>
      </c>
      <c r="B277" s="35">
        <f t="shared" si="1"/>
        <v>27521000</v>
      </c>
      <c r="C277" s="37"/>
      <c r="D277" s="37"/>
      <c r="E277" s="37"/>
    </row>
    <row r="278">
      <c r="A278" s="21">
        <v>371441.0</v>
      </c>
      <c r="B278" s="35">
        <f t="shared" si="1"/>
        <v>542303860</v>
      </c>
      <c r="C278" s="37"/>
      <c r="D278" s="37"/>
      <c r="E278" s="37"/>
    </row>
    <row r="279">
      <c r="A279" s="21">
        <v>8911.17</v>
      </c>
      <c r="B279" s="35">
        <f t="shared" si="1"/>
        <v>13010308.2</v>
      </c>
      <c r="C279" s="37"/>
      <c r="D279" s="37"/>
      <c r="E279" s="37"/>
    </row>
    <row r="280">
      <c r="A280" s="21">
        <v>288750.0</v>
      </c>
      <c r="B280" s="35">
        <f t="shared" si="1"/>
        <v>421575000</v>
      </c>
      <c r="C280" s="37"/>
      <c r="D280" s="37"/>
      <c r="E280" s="37"/>
    </row>
    <row r="281">
      <c r="A281" s="21">
        <v>331100.0</v>
      </c>
      <c r="B281" s="35">
        <f t="shared" si="1"/>
        <v>483406000</v>
      </c>
      <c r="C281" s="37"/>
      <c r="D281" s="37"/>
      <c r="E281" s="37"/>
    </row>
    <row r="282">
      <c r="A282" s="21">
        <v>13906.71</v>
      </c>
      <c r="B282" s="35">
        <f t="shared" si="1"/>
        <v>20303796.6</v>
      </c>
      <c r="C282" s="37"/>
      <c r="D282" s="37"/>
      <c r="E282" s="37"/>
    </row>
    <row r="283">
      <c r="A283" s="21">
        <v>442400.0</v>
      </c>
      <c r="B283" s="35">
        <f t="shared" si="1"/>
        <v>645904000</v>
      </c>
      <c r="C283" s="37"/>
      <c r="D283" s="37"/>
      <c r="E283" s="37"/>
    </row>
    <row r="284">
      <c r="A284" s="21">
        <v>178220.0</v>
      </c>
      <c r="B284" s="35">
        <f t="shared" si="1"/>
        <v>260201200</v>
      </c>
      <c r="C284" s="37"/>
      <c r="D284" s="37"/>
      <c r="E284" s="37"/>
    </row>
    <row r="285">
      <c r="A285" s="21">
        <v>139300.0</v>
      </c>
      <c r="B285" s="35">
        <f t="shared" si="1"/>
        <v>203378000</v>
      </c>
    </row>
    <row r="286">
      <c r="A286" s="21">
        <v>141400.0</v>
      </c>
      <c r="B286" s="35">
        <f t="shared" si="1"/>
        <v>206444000</v>
      </c>
    </row>
    <row r="287">
      <c r="A287" s="21">
        <v>700000.0</v>
      </c>
      <c r="B287" s="35">
        <f t="shared" si="1"/>
        <v>1022000000</v>
      </c>
    </row>
    <row r="288">
      <c r="A288" s="21">
        <v>430500.0</v>
      </c>
      <c r="B288" s="35">
        <f t="shared" si="1"/>
        <v>628530000</v>
      </c>
    </row>
    <row r="289">
      <c r="A289" s="21">
        <v>44688.0</v>
      </c>
      <c r="B289" s="35">
        <f t="shared" si="1"/>
        <v>65244480</v>
      </c>
    </row>
    <row r="290">
      <c r="A290" s="21">
        <v>368900.0</v>
      </c>
      <c r="B290" s="35">
        <f t="shared" si="1"/>
        <v>538594000</v>
      </c>
    </row>
    <row r="291">
      <c r="A291" s="21">
        <v>592475.1</v>
      </c>
      <c r="B291" s="35">
        <f t="shared" si="1"/>
        <v>865013646</v>
      </c>
    </row>
    <row r="292">
      <c r="A292" s="21">
        <v>65262.42</v>
      </c>
      <c r="B292" s="35">
        <f t="shared" si="1"/>
        <v>95283133.2</v>
      </c>
    </row>
    <row r="293">
      <c r="A293" s="21"/>
    </row>
    <row r="294">
      <c r="A294" s="21"/>
    </row>
    <row r="295">
      <c r="A295" s="21"/>
    </row>
    <row r="296">
      <c r="A296" s="21"/>
    </row>
    <row r="297">
      <c r="A297" s="21"/>
    </row>
    <row r="298">
      <c r="A298" s="21"/>
    </row>
    <row r="299">
      <c r="A299" s="21"/>
    </row>
    <row r="300">
      <c r="A300" s="21"/>
    </row>
    <row r="301">
      <c r="A301" s="21"/>
    </row>
    <row r="302">
      <c r="A302" s="21"/>
    </row>
    <row r="303">
      <c r="A303" s="21"/>
    </row>
    <row r="304">
      <c r="A304" s="21"/>
    </row>
    <row r="305">
      <c r="A305" s="21"/>
    </row>
    <row r="306">
      <c r="A306" s="21"/>
    </row>
    <row r="307">
      <c r="A307" s="21"/>
    </row>
    <row r="308">
      <c r="A308" s="21"/>
    </row>
    <row r="309">
      <c r="A309" s="21"/>
    </row>
    <row r="310">
      <c r="A310" s="21"/>
    </row>
    <row r="311">
      <c r="A311" s="21"/>
    </row>
    <row r="312">
      <c r="A312" s="21"/>
    </row>
    <row r="313">
      <c r="A313" s="21"/>
    </row>
    <row r="314">
      <c r="A314" s="21"/>
    </row>
    <row r="315">
      <c r="A315" s="21"/>
    </row>
    <row r="316">
      <c r="A316" s="21"/>
    </row>
    <row r="317">
      <c r="A317" s="21"/>
    </row>
    <row r="318">
      <c r="A318" s="21"/>
    </row>
    <row r="319">
      <c r="A319" s="21"/>
    </row>
    <row r="320">
      <c r="A320" s="21"/>
    </row>
    <row r="321">
      <c r="A321" s="21"/>
    </row>
    <row r="322">
      <c r="A322" s="21"/>
    </row>
    <row r="323">
      <c r="A323" s="21"/>
    </row>
    <row r="324">
      <c r="A324" s="21"/>
    </row>
    <row r="325">
      <c r="A325" s="21"/>
    </row>
    <row r="326">
      <c r="A326" s="21"/>
    </row>
    <row r="327">
      <c r="A327" s="21"/>
    </row>
    <row r="328">
      <c r="A328" s="21"/>
    </row>
    <row r="329">
      <c r="A329" s="21"/>
    </row>
    <row r="330">
      <c r="A330" s="21"/>
    </row>
    <row r="331">
      <c r="A331" s="21"/>
    </row>
    <row r="332">
      <c r="A332" s="21"/>
    </row>
    <row r="333">
      <c r="A333" s="21"/>
    </row>
    <row r="334">
      <c r="A334" s="21"/>
    </row>
    <row r="335">
      <c r="A335" s="21"/>
    </row>
    <row r="336">
      <c r="A336" s="21"/>
    </row>
    <row r="337">
      <c r="A337" s="21"/>
    </row>
    <row r="338">
      <c r="A338" s="21"/>
    </row>
    <row r="339">
      <c r="A339" s="21"/>
    </row>
    <row r="340">
      <c r="A340" s="21"/>
    </row>
    <row r="341">
      <c r="A341" s="21"/>
    </row>
    <row r="342">
      <c r="A342" s="21"/>
    </row>
    <row r="343">
      <c r="A343" s="21"/>
    </row>
    <row r="344">
      <c r="A344" s="21"/>
    </row>
    <row r="345">
      <c r="A345" s="21"/>
    </row>
    <row r="346">
      <c r="A346" s="21"/>
    </row>
    <row r="347">
      <c r="A347" s="21"/>
    </row>
    <row r="348">
      <c r="A348" s="21"/>
    </row>
    <row r="349">
      <c r="A349" s="21"/>
    </row>
    <row r="350">
      <c r="A350" s="21"/>
    </row>
    <row r="351">
      <c r="A351" s="21"/>
    </row>
    <row r="352">
      <c r="A352" s="21"/>
    </row>
    <row r="353">
      <c r="A353" s="21"/>
    </row>
    <row r="354">
      <c r="A354" s="21"/>
    </row>
    <row r="355">
      <c r="A355" s="21"/>
    </row>
    <row r="356">
      <c r="A356" s="21"/>
    </row>
    <row r="357">
      <c r="A357" s="21"/>
    </row>
    <row r="358">
      <c r="A358" s="21"/>
    </row>
    <row r="359">
      <c r="A359" s="21"/>
    </row>
    <row r="360">
      <c r="A360" s="21"/>
    </row>
    <row r="361">
      <c r="A361" s="21"/>
    </row>
    <row r="362">
      <c r="A362" s="21"/>
    </row>
    <row r="363">
      <c r="A363" s="21"/>
    </row>
    <row r="364">
      <c r="A364" s="21"/>
    </row>
    <row r="365">
      <c r="A365" s="21"/>
    </row>
    <row r="366">
      <c r="A366" s="21"/>
    </row>
    <row r="367">
      <c r="A367" s="21"/>
    </row>
    <row r="368">
      <c r="A368" s="21"/>
    </row>
    <row r="369">
      <c r="A369" s="21"/>
    </row>
    <row r="370">
      <c r="A370" s="21"/>
    </row>
    <row r="371">
      <c r="A371" s="21"/>
    </row>
    <row r="372">
      <c r="A372" s="21"/>
    </row>
    <row r="373">
      <c r="A373" s="21"/>
    </row>
    <row r="374">
      <c r="A374" s="21"/>
    </row>
    <row r="375">
      <c r="A375" s="21"/>
    </row>
    <row r="376">
      <c r="A376" s="21"/>
    </row>
    <row r="377">
      <c r="A377" s="21"/>
    </row>
    <row r="378">
      <c r="A378" s="21"/>
    </row>
    <row r="379">
      <c r="A379" s="21"/>
    </row>
    <row r="380">
      <c r="A380" s="21"/>
    </row>
    <row r="381">
      <c r="A381" s="21"/>
    </row>
    <row r="382">
      <c r="A382" s="21"/>
    </row>
    <row r="383">
      <c r="A383" s="21"/>
    </row>
    <row r="384">
      <c r="A384" s="21"/>
    </row>
    <row r="385">
      <c r="A385" s="21"/>
    </row>
    <row r="386">
      <c r="A386" s="21"/>
    </row>
    <row r="387">
      <c r="A387" s="21"/>
    </row>
    <row r="388">
      <c r="A388" s="21"/>
    </row>
    <row r="389">
      <c r="A389" s="21"/>
    </row>
    <row r="390">
      <c r="A390" s="21"/>
    </row>
    <row r="391">
      <c r="A391" s="21"/>
    </row>
    <row r="392">
      <c r="A392" s="21"/>
    </row>
    <row r="393">
      <c r="A393" s="21"/>
    </row>
    <row r="394">
      <c r="A394" s="21"/>
    </row>
    <row r="395">
      <c r="A395" s="21"/>
    </row>
    <row r="396">
      <c r="A396" s="21"/>
    </row>
    <row r="397">
      <c r="A397" s="21"/>
    </row>
    <row r="398">
      <c r="A398" s="21"/>
    </row>
    <row r="399">
      <c r="A399" s="21"/>
    </row>
    <row r="400">
      <c r="A400" s="21"/>
    </row>
    <row r="401">
      <c r="A401" s="21"/>
    </row>
    <row r="402">
      <c r="A402" s="21"/>
    </row>
    <row r="403">
      <c r="A403" s="21"/>
    </row>
    <row r="404">
      <c r="A404" s="21"/>
    </row>
    <row r="405">
      <c r="A405" s="21"/>
    </row>
    <row r="406">
      <c r="A406" s="21"/>
    </row>
    <row r="407">
      <c r="A407" s="21"/>
    </row>
    <row r="408">
      <c r="A408" s="21"/>
    </row>
    <row r="409">
      <c r="A409" s="21"/>
    </row>
    <row r="410">
      <c r="A410" s="21"/>
    </row>
    <row r="411">
      <c r="A411" s="21"/>
    </row>
    <row r="412">
      <c r="A412" s="21"/>
    </row>
    <row r="413">
      <c r="A413" s="21"/>
    </row>
    <row r="414">
      <c r="A414" s="21"/>
    </row>
    <row r="415">
      <c r="A415" s="21"/>
    </row>
    <row r="416">
      <c r="A416" s="21"/>
    </row>
    <row r="417">
      <c r="A417" s="21"/>
    </row>
    <row r="418">
      <c r="A418" s="21"/>
    </row>
    <row r="419">
      <c r="A419" s="21"/>
    </row>
    <row r="420">
      <c r="A420" s="21"/>
    </row>
    <row r="421">
      <c r="A421" s="21"/>
    </row>
    <row r="422">
      <c r="A422" s="21"/>
    </row>
    <row r="423">
      <c r="A423" s="21"/>
    </row>
    <row r="424">
      <c r="A424" s="21"/>
    </row>
    <row r="425">
      <c r="A425" s="21"/>
    </row>
    <row r="426">
      <c r="A426" s="21"/>
    </row>
    <row r="427">
      <c r="A427" s="21"/>
    </row>
    <row r="428">
      <c r="A428" s="21"/>
    </row>
    <row r="429">
      <c r="A429" s="21"/>
    </row>
    <row r="430">
      <c r="A430" s="21"/>
    </row>
    <row r="431">
      <c r="A431" s="21"/>
    </row>
    <row r="432">
      <c r="A432" s="21"/>
    </row>
    <row r="433">
      <c r="A433" s="21"/>
    </row>
    <row r="434">
      <c r="A434" s="21"/>
    </row>
    <row r="435">
      <c r="A435" s="21"/>
    </row>
    <row r="436">
      <c r="A436" s="21"/>
    </row>
    <row r="437">
      <c r="A437" s="21"/>
    </row>
    <row r="438">
      <c r="A438" s="21"/>
    </row>
    <row r="439">
      <c r="A439" s="21"/>
    </row>
    <row r="440">
      <c r="A440" s="21"/>
    </row>
    <row r="441">
      <c r="A441" s="21"/>
    </row>
    <row r="442">
      <c r="A442" s="21"/>
    </row>
    <row r="443">
      <c r="A443" s="21"/>
    </row>
    <row r="444">
      <c r="A444" s="21"/>
    </row>
    <row r="445">
      <c r="A445" s="21"/>
    </row>
    <row r="446">
      <c r="A446" s="21"/>
    </row>
    <row r="447">
      <c r="A447" s="21"/>
    </row>
    <row r="448">
      <c r="A448" s="21"/>
    </row>
    <row r="449">
      <c r="A449" s="21"/>
    </row>
    <row r="450">
      <c r="A450" s="21"/>
    </row>
    <row r="451">
      <c r="A451" s="21"/>
    </row>
    <row r="452">
      <c r="A452" s="21"/>
    </row>
    <row r="453">
      <c r="A453" s="21"/>
    </row>
    <row r="454">
      <c r="A454" s="21"/>
    </row>
    <row r="455">
      <c r="A455" s="21"/>
    </row>
    <row r="456">
      <c r="A456" s="21"/>
    </row>
    <row r="457">
      <c r="A457" s="21"/>
    </row>
    <row r="458">
      <c r="A458" s="21"/>
    </row>
    <row r="459">
      <c r="A459" s="21"/>
    </row>
    <row r="460">
      <c r="A460" s="21"/>
    </row>
    <row r="461">
      <c r="A461" s="21"/>
    </row>
    <row r="462">
      <c r="A462" s="21"/>
    </row>
    <row r="463">
      <c r="A463" s="21"/>
    </row>
    <row r="464">
      <c r="A464" s="21"/>
    </row>
    <row r="465">
      <c r="A465" s="21"/>
    </row>
    <row r="466">
      <c r="A466" s="21"/>
    </row>
    <row r="467">
      <c r="A467" s="21"/>
    </row>
    <row r="468">
      <c r="A468" s="21"/>
    </row>
    <row r="469">
      <c r="A469" s="21"/>
    </row>
    <row r="470">
      <c r="A470" s="21"/>
    </row>
    <row r="471">
      <c r="A471" s="21"/>
    </row>
    <row r="472">
      <c r="A472" s="21"/>
    </row>
    <row r="473">
      <c r="A473" s="21"/>
    </row>
    <row r="474">
      <c r="A474" s="21"/>
    </row>
    <row r="475">
      <c r="A475" s="21"/>
    </row>
    <row r="476">
      <c r="A476" s="21"/>
    </row>
    <row r="477">
      <c r="A477" s="21"/>
    </row>
    <row r="478">
      <c r="A478" s="21"/>
    </row>
    <row r="479">
      <c r="A479" s="21"/>
    </row>
    <row r="480">
      <c r="A480" s="21"/>
    </row>
    <row r="481">
      <c r="A481" s="21"/>
    </row>
    <row r="482">
      <c r="A482" s="21"/>
    </row>
    <row r="483">
      <c r="A483" s="21"/>
    </row>
    <row r="484">
      <c r="A484" s="21"/>
    </row>
    <row r="485">
      <c r="A485" s="21"/>
    </row>
    <row r="486">
      <c r="A486" s="21"/>
    </row>
    <row r="487">
      <c r="A487" s="21"/>
    </row>
    <row r="488">
      <c r="A488" s="21"/>
    </row>
    <row r="489">
      <c r="A489" s="21"/>
    </row>
    <row r="490">
      <c r="A490" s="21"/>
    </row>
    <row r="491">
      <c r="A491" s="21"/>
    </row>
    <row r="492">
      <c r="A492" s="21"/>
    </row>
    <row r="493">
      <c r="A493" s="21"/>
    </row>
    <row r="494">
      <c r="A494" s="21"/>
    </row>
    <row r="495">
      <c r="A495" s="21"/>
    </row>
    <row r="496">
      <c r="A496" s="21"/>
    </row>
    <row r="497">
      <c r="A497" s="21"/>
    </row>
    <row r="498">
      <c r="A498" s="21"/>
    </row>
    <row r="499">
      <c r="A499" s="21"/>
    </row>
    <row r="500">
      <c r="A500" s="21"/>
    </row>
    <row r="501">
      <c r="A501" s="21"/>
    </row>
    <row r="502">
      <c r="A502" s="21"/>
    </row>
    <row r="503">
      <c r="A503" s="21"/>
    </row>
    <row r="504">
      <c r="A504" s="21"/>
    </row>
    <row r="505">
      <c r="A505" s="21"/>
    </row>
    <row r="506">
      <c r="A506" s="21"/>
    </row>
    <row r="507">
      <c r="A507" s="21"/>
    </row>
    <row r="508">
      <c r="A508" s="21"/>
    </row>
    <row r="509">
      <c r="A509" s="21"/>
    </row>
    <row r="510">
      <c r="A510" s="21"/>
    </row>
    <row r="511">
      <c r="A511" s="21"/>
    </row>
    <row r="512">
      <c r="A512" s="21"/>
    </row>
    <row r="513">
      <c r="A513" s="21"/>
    </row>
    <row r="514">
      <c r="A514" s="21"/>
    </row>
    <row r="515">
      <c r="A515" s="21"/>
    </row>
    <row r="516">
      <c r="A516" s="21"/>
    </row>
    <row r="517">
      <c r="A517" s="21"/>
    </row>
    <row r="518">
      <c r="A518" s="21"/>
    </row>
    <row r="519">
      <c r="A519" s="21"/>
    </row>
    <row r="520">
      <c r="A520" s="21"/>
    </row>
    <row r="521">
      <c r="A521" s="21"/>
    </row>
    <row r="522">
      <c r="A522" s="21"/>
    </row>
    <row r="523">
      <c r="A523" s="21"/>
    </row>
    <row r="524">
      <c r="A524" s="21"/>
    </row>
    <row r="525">
      <c r="A525" s="21"/>
    </row>
    <row r="526">
      <c r="A526" s="21"/>
    </row>
    <row r="527">
      <c r="A527" s="21"/>
    </row>
    <row r="528">
      <c r="A528" s="21"/>
    </row>
    <row r="529">
      <c r="A529" s="21"/>
    </row>
    <row r="530">
      <c r="A530" s="21"/>
    </row>
    <row r="531">
      <c r="A531" s="21"/>
    </row>
    <row r="532">
      <c r="A532" s="21"/>
    </row>
    <row r="533">
      <c r="A533" s="21"/>
    </row>
    <row r="534">
      <c r="A534" s="21"/>
    </row>
    <row r="535">
      <c r="A535" s="21"/>
    </row>
    <row r="536">
      <c r="A536" s="21"/>
    </row>
    <row r="537">
      <c r="A537" s="21"/>
    </row>
    <row r="538">
      <c r="A538" s="21"/>
    </row>
    <row r="539">
      <c r="A539" s="21"/>
    </row>
    <row r="540">
      <c r="A540" s="21"/>
    </row>
    <row r="541">
      <c r="A541" s="21"/>
    </row>
    <row r="542">
      <c r="A542" s="21"/>
    </row>
    <row r="543">
      <c r="A543" s="21"/>
    </row>
    <row r="544">
      <c r="A544" s="21"/>
    </row>
    <row r="545">
      <c r="A545" s="21"/>
    </row>
    <row r="546">
      <c r="A546" s="21"/>
    </row>
    <row r="547">
      <c r="A547" s="21"/>
    </row>
    <row r="548">
      <c r="A548" s="21"/>
    </row>
    <row r="549">
      <c r="A549" s="21"/>
    </row>
    <row r="550">
      <c r="A550" s="21"/>
    </row>
    <row r="551">
      <c r="A551" s="21"/>
    </row>
    <row r="552">
      <c r="A552" s="21"/>
    </row>
    <row r="553">
      <c r="A553" s="21"/>
    </row>
    <row r="554">
      <c r="A554" s="21"/>
    </row>
    <row r="555">
      <c r="A555" s="21"/>
    </row>
    <row r="556">
      <c r="A556" s="21"/>
    </row>
    <row r="557">
      <c r="A557" s="21"/>
    </row>
    <row r="558">
      <c r="A558" s="21"/>
    </row>
    <row r="559">
      <c r="A559" s="21"/>
    </row>
    <row r="560">
      <c r="A560" s="21"/>
    </row>
    <row r="561">
      <c r="A561" s="21"/>
    </row>
    <row r="562">
      <c r="A562" s="21"/>
    </row>
    <row r="563">
      <c r="A563" s="21"/>
    </row>
    <row r="564">
      <c r="A564" s="21"/>
    </row>
    <row r="565">
      <c r="A565" s="21"/>
    </row>
    <row r="566">
      <c r="A566" s="21"/>
    </row>
    <row r="567">
      <c r="A567" s="21"/>
    </row>
    <row r="568">
      <c r="A568" s="21"/>
    </row>
    <row r="569">
      <c r="A569" s="21"/>
    </row>
    <row r="570">
      <c r="A570" s="21"/>
    </row>
    <row r="571">
      <c r="A571" s="21"/>
    </row>
    <row r="572">
      <c r="A572" s="21"/>
    </row>
    <row r="573">
      <c r="A573" s="21"/>
    </row>
    <row r="574">
      <c r="A574" s="21"/>
    </row>
    <row r="575">
      <c r="A575" s="21"/>
    </row>
    <row r="576">
      <c r="A576" s="21"/>
    </row>
    <row r="577">
      <c r="A577" s="21"/>
    </row>
    <row r="578">
      <c r="A578" s="21"/>
    </row>
    <row r="579">
      <c r="A579" s="21"/>
    </row>
    <row r="580">
      <c r="A580" s="21"/>
    </row>
    <row r="581">
      <c r="A581" s="21"/>
    </row>
    <row r="582">
      <c r="A582" s="21"/>
    </row>
    <row r="583">
      <c r="A583" s="21"/>
    </row>
    <row r="584">
      <c r="A584" s="21"/>
    </row>
    <row r="585">
      <c r="A585" s="21"/>
    </row>
    <row r="586">
      <c r="A586" s="21"/>
    </row>
    <row r="587">
      <c r="A587" s="21"/>
    </row>
    <row r="588">
      <c r="A588" s="21"/>
    </row>
    <row r="589">
      <c r="A589" s="21"/>
    </row>
    <row r="590">
      <c r="A590" s="21"/>
    </row>
    <row r="591">
      <c r="A591" s="21"/>
    </row>
    <row r="592">
      <c r="A592" s="21"/>
    </row>
    <row r="593">
      <c r="A593" s="21"/>
    </row>
    <row r="594">
      <c r="A594" s="21"/>
    </row>
    <row r="595">
      <c r="A595" s="21"/>
    </row>
    <row r="596">
      <c r="A596" s="21"/>
    </row>
    <row r="597">
      <c r="A597" s="21"/>
    </row>
    <row r="598">
      <c r="A598" s="21"/>
    </row>
    <row r="599">
      <c r="A599" s="21"/>
    </row>
    <row r="600">
      <c r="A600" s="21"/>
    </row>
    <row r="601">
      <c r="A601" s="21"/>
    </row>
    <row r="602">
      <c r="A602" s="21"/>
    </row>
    <row r="603">
      <c r="A603" s="21"/>
    </row>
    <row r="604">
      <c r="A604" s="21"/>
    </row>
    <row r="605">
      <c r="A605" s="21"/>
    </row>
    <row r="606">
      <c r="A606" s="21"/>
    </row>
    <row r="607">
      <c r="A607" s="21"/>
    </row>
    <row r="608">
      <c r="A608" s="21"/>
    </row>
    <row r="609">
      <c r="A609" s="21"/>
    </row>
    <row r="610">
      <c r="A610" s="21"/>
    </row>
    <row r="611">
      <c r="A611" s="21"/>
    </row>
    <row r="612">
      <c r="A612" s="21"/>
    </row>
    <row r="613">
      <c r="A613" s="21"/>
    </row>
    <row r="614">
      <c r="A614" s="21"/>
    </row>
    <row r="615">
      <c r="A615" s="21"/>
    </row>
    <row r="616">
      <c r="A616" s="21"/>
    </row>
    <row r="617">
      <c r="A617" s="21"/>
    </row>
    <row r="618">
      <c r="A618" s="21"/>
    </row>
    <row r="619">
      <c r="A619" s="21"/>
    </row>
    <row r="620">
      <c r="A620" s="21"/>
    </row>
    <row r="621">
      <c r="A621" s="21"/>
    </row>
    <row r="622">
      <c r="A622" s="21"/>
    </row>
    <row r="623">
      <c r="A623" s="21"/>
    </row>
    <row r="624">
      <c r="A624" s="21"/>
    </row>
    <row r="625">
      <c r="A625" s="21"/>
    </row>
    <row r="626">
      <c r="A626" s="21"/>
    </row>
    <row r="627">
      <c r="A627" s="21"/>
    </row>
    <row r="628">
      <c r="A628" s="21"/>
    </row>
    <row r="629">
      <c r="A629" s="21"/>
    </row>
    <row r="630">
      <c r="A630" s="21"/>
    </row>
    <row r="631">
      <c r="A631" s="21"/>
    </row>
    <row r="632">
      <c r="A632" s="21"/>
    </row>
    <row r="633">
      <c r="A633" s="21"/>
    </row>
    <row r="634">
      <c r="A634" s="21"/>
    </row>
    <row r="635">
      <c r="A635" s="21"/>
    </row>
    <row r="636">
      <c r="A636" s="21"/>
    </row>
    <row r="637">
      <c r="A637" s="21"/>
    </row>
    <row r="638">
      <c r="A638" s="21"/>
    </row>
    <row r="639">
      <c r="A639" s="21"/>
    </row>
    <row r="640">
      <c r="A640" s="21"/>
    </row>
    <row r="641">
      <c r="A641" s="21"/>
    </row>
    <row r="642">
      <c r="A642" s="21"/>
    </row>
    <row r="643">
      <c r="A643" s="21"/>
    </row>
    <row r="644">
      <c r="A644" s="21"/>
    </row>
    <row r="645">
      <c r="A645" s="21"/>
    </row>
    <row r="646">
      <c r="A646" s="21"/>
    </row>
    <row r="647">
      <c r="A647" s="21"/>
    </row>
    <row r="648">
      <c r="A648" s="21"/>
    </row>
    <row r="649">
      <c r="A649" s="21"/>
    </row>
    <row r="650">
      <c r="A650" s="21"/>
    </row>
    <row r="651">
      <c r="A651" s="21"/>
    </row>
    <row r="652">
      <c r="A652" s="21"/>
    </row>
    <row r="653">
      <c r="A653" s="21"/>
    </row>
    <row r="654">
      <c r="A654" s="21"/>
    </row>
    <row r="655">
      <c r="A655" s="21"/>
    </row>
    <row r="656">
      <c r="A656" s="21"/>
    </row>
    <row r="657">
      <c r="A657" s="21"/>
    </row>
    <row r="658">
      <c r="A658" s="21"/>
    </row>
    <row r="659">
      <c r="A659" s="21"/>
    </row>
    <row r="660">
      <c r="A660" s="21"/>
    </row>
    <row r="661">
      <c r="A661" s="21"/>
    </row>
    <row r="662">
      <c r="A662" s="21"/>
    </row>
    <row r="663">
      <c r="A663" s="21"/>
    </row>
    <row r="664">
      <c r="A664" s="21"/>
    </row>
    <row r="665">
      <c r="A665" s="21"/>
    </row>
    <row r="666">
      <c r="A666" s="21"/>
    </row>
    <row r="667">
      <c r="A667" s="21"/>
    </row>
    <row r="668">
      <c r="A668" s="21"/>
    </row>
    <row r="669">
      <c r="A669" s="21"/>
    </row>
    <row r="670">
      <c r="A670" s="21"/>
    </row>
    <row r="671">
      <c r="A671" s="21"/>
    </row>
    <row r="672">
      <c r="A672" s="21"/>
    </row>
    <row r="673">
      <c r="A673" s="21"/>
    </row>
    <row r="674">
      <c r="A674" s="21"/>
    </row>
    <row r="675">
      <c r="A675" s="21"/>
    </row>
    <row r="676">
      <c r="A676" s="21"/>
    </row>
    <row r="677">
      <c r="A677" s="21"/>
    </row>
    <row r="678">
      <c r="A678" s="21"/>
    </row>
    <row r="679">
      <c r="A679" s="21"/>
    </row>
    <row r="680">
      <c r="A680" s="21"/>
    </row>
    <row r="681">
      <c r="A681" s="21"/>
    </row>
    <row r="682">
      <c r="A682" s="21"/>
    </row>
    <row r="683">
      <c r="A683" s="21"/>
    </row>
    <row r="684">
      <c r="A684" s="21"/>
    </row>
    <row r="685">
      <c r="A685" s="21"/>
    </row>
    <row r="686">
      <c r="A686" s="21"/>
    </row>
    <row r="687">
      <c r="A687" s="21"/>
    </row>
    <row r="688">
      <c r="A688" s="21"/>
    </row>
    <row r="689">
      <c r="A689" s="21"/>
    </row>
    <row r="690">
      <c r="A690" s="21"/>
    </row>
    <row r="691">
      <c r="A691" s="21"/>
    </row>
    <row r="692">
      <c r="A692" s="21"/>
    </row>
    <row r="693">
      <c r="A693" s="21"/>
    </row>
    <row r="694">
      <c r="A694" s="21"/>
    </row>
    <row r="695">
      <c r="A695" s="21"/>
    </row>
    <row r="696">
      <c r="A696" s="21"/>
    </row>
    <row r="697">
      <c r="A697" s="21"/>
    </row>
    <row r="698">
      <c r="A698" s="21"/>
    </row>
    <row r="699">
      <c r="A699" s="21"/>
    </row>
    <row r="700">
      <c r="A700" s="21"/>
    </row>
    <row r="701">
      <c r="A701" s="21"/>
    </row>
    <row r="702">
      <c r="A702" s="21"/>
    </row>
    <row r="703">
      <c r="A703" s="21"/>
    </row>
    <row r="704">
      <c r="A704" s="21"/>
    </row>
    <row r="705">
      <c r="A705" s="21"/>
    </row>
    <row r="706">
      <c r="A706" s="21"/>
    </row>
    <row r="707">
      <c r="A707" s="21"/>
    </row>
    <row r="708">
      <c r="A708" s="21"/>
    </row>
    <row r="709">
      <c r="A709" s="21"/>
    </row>
    <row r="710">
      <c r="A710" s="21"/>
    </row>
    <row r="711">
      <c r="A711" s="21"/>
    </row>
    <row r="712">
      <c r="A712" s="21"/>
    </row>
    <row r="713">
      <c r="A713" s="21"/>
    </row>
    <row r="714">
      <c r="A714" s="21"/>
    </row>
    <row r="715">
      <c r="A715" s="21"/>
    </row>
    <row r="716">
      <c r="A716" s="21"/>
    </row>
    <row r="717">
      <c r="A717" s="21"/>
    </row>
    <row r="718">
      <c r="A718" s="21"/>
    </row>
    <row r="719">
      <c r="A719" s="21"/>
    </row>
    <row r="720">
      <c r="A720" s="21"/>
    </row>
    <row r="721">
      <c r="A721" s="21"/>
    </row>
    <row r="722">
      <c r="A722" s="21"/>
    </row>
    <row r="723">
      <c r="A723" s="21"/>
    </row>
    <row r="724">
      <c r="A724" s="21"/>
    </row>
    <row r="725">
      <c r="A725" s="21"/>
    </row>
    <row r="726">
      <c r="A726" s="21"/>
    </row>
    <row r="727">
      <c r="A727" s="21"/>
    </row>
    <row r="728">
      <c r="A728" s="21"/>
    </row>
    <row r="729">
      <c r="A729" s="21"/>
    </row>
    <row r="730">
      <c r="A730" s="21"/>
    </row>
    <row r="731">
      <c r="A731" s="21"/>
    </row>
    <row r="732">
      <c r="A732" s="21"/>
    </row>
    <row r="733">
      <c r="A733" s="21"/>
    </row>
    <row r="734">
      <c r="A734" s="21"/>
    </row>
    <row r="735">
      <c r="A735" s="21"/>
    </row>
    <row r="736">
      <c r="A736" s="21"/>
    </row>
    <row r="737">
      <c r="A737" s="21"/>
    </row>
    <row r="738">
      <c r="A738" s="21"/>
    </row>
    <row r="739">
      <c r="A739" s="21"/>
    </row>
    <row r="740">
      <c r="A740" s="21"/>
    </row>
    <row r="741">
      <c r="A741" s="21"/>
    </row>
    <row r="742">
      <c r="A742" s="21"/>
    </row>
    <row r="743">
      <c r="A743" s="21"/>
    </row>
    <row r="744">
      <c r="A744" s="21"/>
    </row>
    <row r="745">
      <c r="A745" s="21"/>
    </row>
    <row r="746">
      <c r="A746" s="21"/>
    </row>
    <row r="747">
      <c r="A747" s="21"/>
    </row>
    <row r="748">
      <c r="A748" s="21"/>
    </row>
    <row r="749">
      <c r="A749" s="21"/>
    </row>
    <row r="750">
      <c r="A750" s="21"/>
    </row>
    <row r="751">
      <c r="A751" s="21"/>
    </row>
    <row r="752">
      <c r="A752" s="21"/>
    </row>
    <row r="753">
      <c r="A753" s="21"/>
    </row>
    <row r="754">
      <c r="A754" s="21"/>
    </row>
    <row r="755">
      <c r="A755" s="21"/>
    </row>
    <row r="756">
      <c r="A756" s="21"/>
    </row>
    <row r="757">
      <c r="A757" s="21"/>
    </row>
    <row r="758">
      <c r="A758" s="21"/>
    </row>
    <row r="759">
      <c r="A759" s="21"/>
    </row>
    <row r="760">
      <c r="A760" s="21"/>
    </row>
    <row r="761">
      <c r="A761" s="21"/>
    </row>
    <row r="762">
      <c r="A762" s="21"/>
    </row>
    <row r="763">
      <c r="A763" s="21"/>
    </row>
    <row r="764">
      <c r="A764" s="21"/>
    </row>
    <row r="765">
      <c r="A765" s="21"/>
    </row>
    <row r="766">
      <c r="A766" s="21"/>
    </row>
    <row r="767">
      <c r="A767" s="21"/>
    </row>
    <row r="768">
      <c r="A768" s="21"/>
    </row>
    <row r="769">
      <c r="A769" s="21"/>
    </row>
    <row r="770">
      <c r="A770" s="21"/>
    </row>
    <row r="771">
      <c r="A771" s="21"/>
    </row>
    <row r="772">
      <c r="A772" s="21"/>
    </row>
    <row r="773">
      <c r="A773" s="21"/>
    </row>
    <row r="774">
      <c r="A774" s="21"/>
    </row>
    <row r="775">
      <c r="A775" s="21"/>
    </row>
    <row r="776">
      <c r="A776" s="21"/>
    </row>
    <row r="777">
      <c r="A777" s="21"/>
    </row>
    <row r="778">
      <c r="A778" s="21"/>
    </row>
    <row r="779">
      <c r="A779" s="21"/>
    </row>
    <row r="780">
      <c r="A780" s="21"/>
    </row>
    <row r="781">
      <c r="A781" s="21"/>
    </row>
    <row r="782">
      <c r="A782" s="21"/>
    </row>
    <row r="783">
      <c r="A783" s="21"/>
    </row>
    <row r="784">
      <c r="A784" s="21"/>
    </row>
    <row r="785">
      <c r="A785" s="21"/>
    </row>
    <row r="786">
      <c r="A786" s="21"/>
    </row>
    <row r="787">
      <c r="A787" s="21"/>
    </row>
    <row r="788">
      <c r="A788" s="21"/>
    </row>
    <row r="789">
      <c r="A789" s="21"/>
    </row>
    <row r="790">
      <c r="A790" s="21"/>
    </row>
    <row r="791">
      <c r="A791" s="21"/>
    </row>
    <row r="792">
      <c r="A792" s="21"/>
    </row>
    <row r="793">
      <c r="A793" s="21"/>
    </row>
    <row r="794">
      <c r="A794" s="21"/>
    </row>
    <row r="795">
      <c r="A795" s="21"/>
    </row>
    <row r="796">
      <c r="A796" s="21"/>
    </row>
    <row r="797">
      <c r="A797" s="21"/>
    </row>
    <row r="798">
      <c r="A798" s="21"/>
    </row>
    <row r="799">
      <c r="A799" s="21"/>
    </row>
    <row r="800">
      <c r="A800" s="21"/>
    </row>
    <row r="801">
      <c r="A801" s="21"/>
    </row>
    <row r="802">
      <c r="A802" s="21"/>
    </row>
    <row r="803">
      <c r="A803" s="21"/>
    </row>
    <row r="804">
      <c r="A804" s="21"/>
    </row>
    <row r="805">
      <c r="A805" s="21"/>
    </row>
    <row r="806">
      <c r="A806" s="21"/>
    </row>
    <row r="807">
      <c r="A807" s="21"/>
    </row>
    <row r="808">
      <c r="A808" s="21"/>
    </row>
    <row r="809">
      <c r="A809" s="21"/>
    </row>
    <row r="810">
      <c r="A810" s="21"/>
    </row>
    <row r="811">
      <c r="A811" s="21"/>
    </row>
    <row r="812">
      <c r="A812" s="21"/>
    </row>
    <row r="813">
      <c r="A813" s="21"/>
    </row>
    <row r="814">
      <c r="A814" s="21"/>
    </row>
    <row r="815">
      <c r="A815" s="21"/>
    </row>
    <row r="816">
      <c r="A816" s="21"/>
    </row>
    <row r="817">
      <c r="A817" s="21"/>
    </row>
    <row r="818">
      <c r="A818" s="21"/>
    </row>
    <row r="819">
      <c r="A819" s="21"/>
    </row>
    <row r="820">
      <c r="A820" s="21"/>
    </row>
    <row r="821">
      <c r="A821" s="21"/>
    </row>
    <row r="822">
      <c r="A822" s="21"/>
    </row>
    <row r="823">
      <c r="A823" s="21"/>
    </row>
    <row r="824">
      <c r="A824" s="21"/>
    </row>
    <row r="825">
      <c r="A825" s="21"/>
    </row>
    <row r="826">
      <c r="A826" s="21"/>
    </row>
    <row r="827">
      <c r="A827" s="21"/>
    </row>
    <row r="828">
      <c r="A828" s="21"/>
    </row>
    <row r="829">
      <c r="A829" s="21"/>
    </row>
    <row r="830">
      <c r="A830" s="21"/>
    </row>
    <row r="831">
      <c r="A831" s="21"/>
    </row>
    <row r="832">
      <c r="A832" s="21"/>
    </row>
    <row r="833">
      <c r="A833" s="21"/>
    </row>
    <row r="834">
      <c r="A834" s="21"/>
    </row>
    <row r="835">
      <c r="A835" s="21"/>
    </row>
    <row r="836">
      <c r="A836" s="21"/>
    </row>
    <row r="837">
      <c r="A837" s="21"/>
    </row>
    <row r="838">
      <c r="A838" s="21"/>
    </row>
    <row r="839">
      <c r="A839" s="21"/>
    </row>
    <row r="840">
      <c r="A840" s="21"/>
    </row>
    <row r="841">
      <c r="A841" s="21"/>
    </row>
    <row r="842">
      <c r="A842" s="21"/>
    </row>
    <row r="843">
      <c r="A843" s="21"/>
    </row>
    <row r="844">
      <c r="A844" s="21"/>
    </row>
    <row r="845">
      <c r="A845" s="21"/>
    </row>
    <row r="846">
      <c r="A846" s="21"/>
    </row>
    <row r="847">
      <c r="A847" s="21"/>
    </row>
    <row r="848">
      <c r="A848" s="21"/>
    </row>
    <row r="849">
      <c r="A849" s="21"/>
    </row>
    <row r="850">
      <c r="A850" s="21"/>
    </row>
    <row r="851">
      <c r="A851" s="21"/>
    </row>
    <row r="852">
      <c r="A852" s="21"/>
    </row>
    <row r="853">
      <c r="A853" s="21"/>
    </row>
    <row r="854">
      <c r="A854" s="21"/>
    </row>
    <row r="855">
      <c r="A855" s="21"/>
    </row>
    <row r="856">
      <c r="A856" s="21"/>
    </row>
    <row r="857">
      <c r="A857" s="21"/>
    </row>
    <row r="858">
      <c r="A858" s="21"/>
    </row>
    <row r="859">
      <c r="A859" s="21"/>
    </row>
    <row r="860">
      <c r="A860" s="21"/>
    </row>
    <row r="861">
      <c r="A861" s="21"/>
    </row>
    <row r="862">
      <c r="A862" s="21"/>
    </row>
    <row r="863">
      <c r="A863" s="21"/>
    </row>
    <row r="864">
      <c r="A864" s="21"/>
    </row>
    <row r="865">
      <c r="A865" s="21"/>
    </row>
    <row r="866">
      <c r="A866" s="21"/>
    </row>
    <row r="867">
      <c r="A867" s="21"/>
    </row>
    <row r="868">
      <c r="A868" s="21"/>
    </row>
    <row r="869">
      <c r="A869" s="21"/>
    </row>
    <row r="870">
      <c r="A870" s="21"/>
    </row>
    <row r="871">
      <c r="A871" s="21"/>
    </row>
    <row r="872">
      <c r="A872" s="21"/>
    </row>
    <row r="873">
      <c r="A873" s="21"/>
    </row>
    <row r="874">
      <c r="A874" s="21"/>
    </row>
    <row r="875">
      <c r="A875" s="21"/>
    </row>
    <row r="876">
      <c r="A876" s="21"/>
    </row>
    <row r="877">
      <c r="A877" s="21"/>
    </row>
    <row r="878">
      <c r="A878" s="21"/>
    </row>
    <row r="879">
      <c r="A879" s="21"/>
    </row>
    <row r="880">
      <c r="A880" s="21"/>
    </row>
    <row r="881">
      <c r="A881" s="21"/>
    </row>
    <row r="882">
      <c r="A882" s="21"/>
    </row>
    <row r="883">
      <c r="A883" s="21"/>
    </row>
    <row r="884">
      <c r="A884" s="21"/>
    </row>
    <row r="885">
      <c r="A885" s="21"/>
    </row>
    <row r="886">
      <c r="A886" s="21"/>
    </row>
    <row r="887">
      <c r="A887" s="21"/>
    </row>
    <row r="888">
      <c r="A888" s="21"/>
    </row>
    <row r="889">
      <c r="A889" s="21"/>
    </row>
    <row r="890">
      <c r="A890" s="21"/>
    </row>
    <row r="891">
      <c r="A891" s="21"/>
    </row>
    <row r="892">
      <c r="A892" s="21"/>
    </row>
    <row r="893">
      <c r="A893" s="21"/>
    </row>
    <row r="894">
      <c r="A894" s="21"/>
    </row>
    <row r="895">
      <c r="A895" s="21"/>
    </row>
    <row r="896">
      <c r="A896" s="21"/>
    </row>
    <row r="897">
      <c r="A897" s="21"/>
    </row>
    <row r="898">
      <c r="A898" s="21"/>
    </row>
    <row r="899">
      <c r="A899" s="21"/>
    </row>
    <row r="900">
      <c r="A900" s="21"/>
    </row>
    <row r="901">
      <c r="A901" s="21"/>
    </row>
    <row r="902">
      <c r="A902" s="21"/>
    </row>
    <row r="903">
      <c r="A903" s="21"/>
    </row>
    <row r="904">
      <c r="A904" s="21"/>
    </row>
    <row r="905">
      <c r="A905" s="21"/>
    </row>
    <row r="906">
      <c r="A906" s="21"/>
    </row>
    <row r="907">
      <c r="A907" s="21"/>
    </row>
    <row r="908">
      <c r="A908" s="21"/>
    </row>
    <row r="909">
      <c r="A909" s="21"/>
    </row>
    <row r="910">
      <c r="A910" s="21"/>
    </row>
    <row r="911">
      <c r="A911" s="21"/>
    </row>
    <row r="912">
      <c r="A912" s="21"/>
    </row>
    <row r="913">
      <c r="A913" s="21"/>
    </row>
    <row r="914">
      <c r="A914" s="21"/>
    </row>
    <row r="915">
      <c r="A915" s="21"/>
    </row>
    <row r="916">
      <c r="A916" s="21"/>
    </row>
    <row r="917">
      <c r="A917" s="21"/>
    </row>
    <row r="918">
      <c r="A918" s="21"/>
    </row>
    <row r="919">
      <c r="A919" s="21"/>
    </row>
    <row r="920">
      <c r="A920" s="21"/>
    </row>
    <row r="921">
      <c r="A921" s="21"/>
    </row>
    <row r="922">
      <c r="A922" s="21"/>
    </row>
    <row r="923">
      <c r="A923" s="21"/>
    </row>
    <row r="924">
      <c r="A924" s="21"/>
    </row>
    <row r="925">
      <c r="A925" s="21"/>
    </row>
    <row r="926">
      <c r="A926" s="21"/>
    </row>
    <row r="927">
      <c r="A927" s="21"/>
    </row>
    <row r="928">
      <c r="A928" s="21"/>
    </row>
    <row r="929">
      <c r="A929" s="21"/>
    </row>
    <row r="930">
      <c r="A930" s="21"/>
    </row>
    <row r="931">
      <c r="A931" s="21"/>
    </row>
    <row r="932">
      <c r="A932" s="21"/>
    </row>
    <row r="933">
      <c r="A933" s="21"/>
    </row>
    <row r="934">
      <c r="A934" s="21"/>
    </row>
    <row r="935">
      <c r="A935" s="21"/>
    </row>
    <row r="936">
      <c r="A936" s="21"/>
    </row>
    <row r="937">
      <c r="A937" s="21"/>
    </row>
    <row r="938">
      <c r="A938" s="21"/>
    </row>
    <row r="939">
      <c r="A939" s="21"/>
    </row>
    <row r="940">
      <c r="A940" s="21"/>
    </row>
    <row r="941">
      <c r="A941" s="21"/>
    </row>
    <row r="942">
      <c r="A942" s="21"/>
    </row>
    <row r="943">
      <c r="A943" s="21"/>
    </row>
    <row r="944">
      <c r="A944" s="21"/>
    </row>
    <row r="945">
      <c r="A945" s="21"/>
    </row>
    <row r="946">
      <c r="A946" s="21"/>
    </row>
    <row r="947">
      <c r="A947" s="21"/>
    </row>
    <row r="948">
      <c r="A948" s="21"/>
    </row>
    <row r="949">
      <c r="A949" s="21"/>
    </row>
    <row r="950">
      <c r="A950" s="21"/>
    </row>
    <row r="951">
      <c r="A951" s="21"/>
    </row>
    <row r="952">
      <c r="A952" s="21"/>
    </row>
    <row r="953">
      <c r="A953" s="21"/>
    </row>
    <row r="954">
      <c r="A954" s="21"/>
    </row>
    <row r="955">
      <c r="A955" s="21"/>
    </row>
    <row r="956">
      <c r="A956" s="21"/>
    </row>
    <row r="957">
      <c r="A957" s="21"/>
    </row>
    <row r="958">
      <c r="A958" s="21"/>
    </row>
    <row r="959">
      <c r="A959" s="21"/>
    </row>
    <row r="960">
      <c r="A960" s="21"/>
    </row>
    <row r="961">
      <c r="A961" s="21"/>
    </row>
    <row r="962">
      <c r="A962" s="21"/>
    </row>
    <row r="963">
      <c r="A963" s="21"/>
    </row>
    <row r="964">
      <c r="A964" s="21"/>
    </row>
    <row r="965">
      <c r="A965" s="21"/>
    </row>
    <row r="966">
      <c r="A966" s="21"/>
    </row>
    <row r="967">
      <c r="A967" s="21"/>
    </row>
    <row r="968">
      <c r="A968" s="21"/>
    </row>
    <row r="969">
      <c r="A969" s="21"/>
    </row>
    <row r="970">
      <c r="A970" s="21"/>
    </row>
    <row r="971">
      <c r="A971" s="21"/>
    </row>
    <row r="972">
      <c r="A972" s="21"/>
    </row>
    <row r="973">
      <c r="A973" s="21"/>
    </row>
    <row r="974">
      <c r="A974" s="21"/>
    </row>
    <row r="975">
      <c r="A975" s="21"/>
    </row>
    <row r="976">
      <c r="A976" s="21"/>
    </row>
    <row r="977">
      <c r="A977" s="21"/>
    </row>
    <row r="978">
      <c r="A978" s="21"/>
    </row>
    <row r="979">
      <c r="A979" s="21"/>
    </row>
    <row r="980">
      <c r="A980" s="21"/>
    </row>
    <row r="981">
      <c r="A981" s="21"/>
    </row>
    <row r="982">
      <c r="A982" s="21"/>
    </row>
    <row r="983">
      <c r="A983" s="21"/>
    </row>
    <row r="984">
      <c r="A984" s="21"/>
    </row>
    <row r="985">
      <c r="A985" s="21"/>
    </row>
    <row r="986">
      <c r="A986" s="21"/>
    </row>
    <row r="987">
      <c r="A987" s="21"/>
    </row>
    <row r="988">
      <c r="A988" s="21"/>
    </row>
    <row r="989">
      <c r="A989" s="21"/>
    </row>
    <row r="990">
      <c r="A990" s="21"/>
    </row>
    <row r="991">
      <c r="A991" s="21"/>
    </row>
    <row r="992">
      <c r="A992" s="21"/>
    </row>
    <row r="993">
      <c r="A993" s="21"/>
    </row>
    <row r="994">
      <c r="A994" s="21"/>
    </row>
    <row r="995">
      <c r="A995" s="21"/>
    </row>
    <row r="996">
      <c r="A996" s="21"/>
    </row>
    <row r="997">
      <c r="A997" s="21"/>
    </row>
    <row r="998">
      <c r="A998" s="21"/>
    </row>
    <row r="999">
      <c r="A999" s="21"/>
    </row>
    <row r="1000">
      <c r="A1000" s="21"/>
    </row>
    <row r="1001">
      <c r="A1001" s="21"/>
    </row>
    <row r="1002">
      <c r="A1002" s="21"/>
    </row>
    <row r="1003">
      <c r="A1003" s="21"/>
    </row>
    <row r="1004">
      <c r="A1004" s="21"/>
    </row>
    <row r="1005">
      <c r="A1005" s="21"/>
    </row>
    <row r="1006">
      <c r="A1006" s="21"/>
    </row>
    <row r="1007">
      <c r="A1007" s="21"/>
    </row>
    <row r="1008">
      <c r="A1008" s="21"/>
    </row>
    <row r="1009">
      <c r="A1009" s="21"/>
    </row>
    <row r="1010">
      <c r="A1010" s="21"/>
    </row>
    <row r="1011">
      <c r="A1011" s="21"/>
    </row>
    <row r="1012">
      <c r="A1012" s="21"/>
    </row>
    <row r="1013">
      <c r="A1013" s="21"/>
    </row>
    <row r="1014">
      <c r="A1014" s="21"/>
    </row>
    <row r="1015">
      <c r="A1015" s="21"/>
    </row>
    <row r="1016">
      <c r="A1016" s="21"/>
    </row>
    <row r="1017">
      <c r="A1017" s="21"/>
    </row>
    <row r="1018">
      <c r="A1018" s="21"/>
    </row>
    <row r="1019">
      <c r="A1019" s="21"/>
    </row>
    <row r="1020">
      <c r="A1020" s="21"/>
    </row>
    <row r="1021">
      <c r="A1021" s="21"/>
    </row>
    <row r="1022">
      <c r="A1022" s="21"/>
    </row>
    <row r="1023">
      <c r="A1023" s="21"/>
    </row>
    <row r="1024">
      <c r="A1024" s="21"/>
    </row>
    <row r="1025">
      <c r="A1025" s="21"/>
    </row>
    <row r="1026">
      <c r="A1026" s="21"/>
    </row>
    <row r="1027">
      <c r="A1027" s="21"/>
    </row>
    <row r="1028">
      <c r="A1028" s="21"/>
    </row>
    <row r="1029">
      <c r="A1029" s="21"/>
    </row>
    <row r="1030">
      <c r="A1030" s="21"/>
    </row>
    <row r="1031">
      <c r="A1031" s="21"/>
    </row>
    <row r="1032">
      <c r="A1032" s="21"/>
    </row>
    <row r="1033">
      <c r="A1033" s="21"/>
    </row>
    <row r="1034">
      <c r="A1034" s="21"/>
    </row>
    <row r="1035">
      <c r="A1035" s="21"/>
    </row>
    <row r="1036">
      <c r="A1036" s="21"/>
    </row>
    <row r="1037">
      <c r="A1037" s="21"/>
    </row>
    <row r="1038">
      <c r="A1038" s="21"/>
    </row>
    <row r="1039">
      <c r="A1039" s="21"/>
    </row>
    <row r="1040">
      <c r="A1040" s="21"/>
    </row>
    <row r="1041">
      <c r="A1041" s="21"/>
    </row>
    <row r="1042">
      <c r="A1042" s="21"/>
    </row>
    <row r="1043">
      <c r="A1043" s="21"/>
    </row>
    <row r="1044">
      <c r="A1044" s="21"/>
    </row>
    <row r="1045">
      <c r="A1045" s="21"/>
    </row>
    <row r="1046">
      <c r="A1046" s="21"/>
    </row>
    <row r="1047">
      <c r="A1047" s="21"/>
    </row>
    <row r="1048">
      <c r="A1048" s="21"/>
    </row>
    <row r="1049">
      <c r="A1049" s="21"/>
    </row>
    <row r="1050">
      <c r="A1050" s="21"/>
    </row>
    <row r="1051">
      <c r="A1051" s="21"/>
    </row>
    <row r="1052">
      <c r="A1052" s="21"/>
    </row>
    <row r="1053">
      <c r="A1053" s="21"/>
    </row>
    <row r="1054">
      <c r="A1054" s="21"/>
    </row>
    <row r="1055">
      <c r="A1055" s="21"/>
    </row>
    <row r="1056">
      <c r="A1056" s="21"/>
    </row>
    <row r="1057">
      <c r="A1057" s="21"/>
    </row>
    <row r="1058">
      <c r="A1058" s="21"/>
    </row>
    <row r="1059">
      <c r="A1059" s="21"/>
    </row>
    <row r="1060">
      <c r="A1060" s="21"/>
    </row>
    <row r="1061">
      <c r="A1061" s="21"/>
    </row>
    <row r="1062">
      <c r="A1062" s="21"/>
    </row>
    <row r="1063">
      <c r="A1063" s="21"/>
    </row>
    <row r="1064">
      <c r="A1064" s="21"/>
    </row>
    <row r="1065">
      <c r="A1065" s="21"/>
    </row>
    <row r="1066">
      <c r="A1066" s="21"/>
    </row>
    <row r="1067">
      <c r="A1067" s="21"/>
    </row>
    <row r="1068">
      <c r="A1068" s="21"/>
    </row>
    <row r="1069">
      <c r="A1069" s="21"/>
    </row>
    <row r="1070">
      <c r="A1070" s="96"/>
    </row>
    <row r="1071">
      <c r="A1071" s="96"/>
    </row>
    <row r="1072">
      <c r="A1072" s="96"/>
    </row>
    <row r="1073">
      <c r="A1073" s="96"/>
    </row>
    <row r="1074">
      <c r="A1074" s="96"/>
    </row>
    <row r="1075">
      <c r="A1075" s="96"/>
    </row>
    <row r="1076">
      <c r="A1076" s="96"/>
    </row>
    <row r="1077">
      <c r="A1077" s="96"/>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19.5"/>
    <col customWidth="1" min="3" max="3" width="19.63"/>
    <col customWidth="1" min="4" max="4" width="16.75"/>
    <col customWidth="1" min="5" max="5" width="25.5"/>
    <col customWidth="1" min="9" max="9" width="35.38"/>
    <col customWidth="1" min="10" max="10" width="23.38"/>
  </cols>
  <sheetData>
    <row r="1">
      <c r="A1" s="78" t="s">
        <v>6</v>
      </c>
      <c r="B1" s="78" t="s">
        <v>10</v>
      </c>
      <c r="C1" s="78" t="s">
        <v>742</v>
      </c>
      <c r="D1" s="78" t="s">
        <v>743</v>
      </c>
      <c r="E1" s="79" t="s">
        <v>744</v>
      </c>
      <c r="I1" s="78" t="s">
        <v>14</v>
      </c>
      <c r="J1" s="78" t="s">
        <v>745</v>
      </c>
      <c r="L1" s="80"/>
      <c r="M1" s="79"/>
    </row>
    <row r="2">
      <c r="A2" s="78" t="s">
        <v>39</v>
      </c>
      <c r="B2" s="78" t="s">
        <v>747</v>
      </c>
      <c r="C2" s="81">
        <v>2.498126574E7</v>
      </c>
      <c r="D2" s="82">
        <v>2.498126574E7</v>
      </c>
      <c r="E2" s="79">
        <v>1.0</v>
      </c>
      <c r="I2" s="78" t="s">
        <v>64</v>
      </c>
      <c r="J2" s="78">
        <v>3.0</v>
      </c>
      <c r="K2" s="84">
        <f t="shared" ref="K2:K10" si="1">J2/$J$10</f>
        <v>0.0110701107</v>
      </c>
      <c r="L2" s="84"/>
      <c r="M2" s="85"/>
    </row>
    <row r="3">
      <c r="B3" s="78" t="s">
        <v>750</v>
      </c>
      <c r="C3" s="81">
        <v>5131453.336438356</v>
      </c>
      <c r="D3" s="82">
        <v>5131453.336438356</v>
      </c>
      <c r="E3" s="79">
        <v>1.0</v>
      </c>
      <c r="I3" s="78" t="s">
        <v>109</v>
      </c>
      <c r="J3" s="78">
        <v>1.0</v>
      </c>
      <c r="K3" s="84">
        <f t="shared" si="1"/>
        <v>0.0036900369</v>
      </c>
      <c r="L3" s="84"/>
      <c r="M3" s="85"/>
    </row>
    <row r="4">
      <c r="B4" s="78" t="s">
        <v>751</v>
      </c>
      <c r="C4" s="81">
        <v>507710.0</v>
      </c>
      <c r="D4" s="82">
        <v>507710.0</v>
      </c>
      <c r="E4" s="79">
        <v>1.0</v>
      </c>
      <c r="I4" s="78" t="s">
        <v>76</v>
      </c>
      <c r="J4" s="78">
        <v>2.0</v>
      </c>
      <c r="K4" s="84">
        <f t="shared" si="1"/>
        <v>0.007380073801</v>
      </c>
      <c r="L4" s="84"/>
      <c r="M4" s="85"/>
    </row>
    <row r="5">
      <c r="B5" s="78" t="s">
        <v>753</v>
      </c>
      <c r="C5" s="81">
        <v>6.770890216669019E7</v>
      </c>
      <c r="D5" s="82">
        <v>1.9083845873749025E7</v>
      </c>
      <c r="E5" s="79">
        <v>0.28185135577545134</v>
      </c>
      <c r="I5" s="78" t="s">
        <v>93</v>
      </c>
      <c r="J5" s="78">
        <v>11.0</v>
      </c>
      <c r="K5" s="84">
        <f t="shared" si="1"/>
        <v>0.0405904059</v>
      </c>
      <c r="L5" s="84"/>
      <c r="M5" s="85"/>
    </row>
    <row r="6">
      <c r="B6" s="78" t="s">
        <v>54</v>
      </c>
      <c r="C6" s="81">
        <v>8.84558471557534E7</v>
      </c>
      <c r="D6" s="82">
        <v>6.038050469E7</v>
      </c>
      <c r="E6" s="79">
        <v>0.682606143420703</v>
      </c>
      <c r="I6" s="78" t="s">
        <v>57</v>
      </c>
      <c r="J6" s="78">
        <v>29.0</v>
      </c>
      <c r="K6" s="84">
        <f t="shared" si="1"/>
        <v>0.1070110701</v>
      </c>
      <c r="L6" s="84"/>
      <c r="M6" s="85"/>
    </row>
    <row r="7">
      <c r="A7" s="78" t="s">
        <v>755</v>
      </c>
      <c r="C7" s="81">
        <v>1.8678517839888203E8</v>
      </c>
      <c r="D7" s="82">
        <v>1.1008477964018735E8</v>
      </c>
      <c r="E7" s="79">
        <v>0.5893657119040782</v>
      </c>
      <c r="I7" s="78" t="s">
        <v>86</v>
      </c>
      <c r="J7" s="78">
        <v>79.0</v>
      </c>
      <c r="K7" s="84">
        <f t="shared" si="1"/>
        <v>0.2915129151</v>
      </c>
      <c r="L7" s="80"/>
      <c r="M7" s="79"/>
    </row>
    <row r="8">
      <c r="A8" s="78" t="s">
        <v>31</v>
      </c>
      <c r="B8" s="78" t="s">
        <v>747</v>
      </c>
      <c r="C8" s="81">
        <v>2112424.6575342463</v>
      </c>
      <c r="D8" s="82">
        <v>0.0</v>
      </c>
      <c r="E8" s="79">
        <v>0.0</v>
      </c>
      <c r="I8" s="78" t="s">
        <v>81</v>
      </c>
      <c r="J8" s="78">
        <v>129.0</v>
      </c>
      <c r="K8" s="84">
        <f t="shared" si="1"/>
        <v>0.4760147601</v>
      </c>
      <c r="L8" s="84"/>
      <c r="M8" s="85"/>
    </row>
    <row r="9">
      <c r="B9" s="78" t="s">
        <v>750</v>
      </c>
      <c r="C9" s="81">
        <v>1.0607712139999999E7</v>
      </c>
      <c r="D9" s="82">
        <v>1.0607712139999999E7</v>
      </c>
      <c r="E9" s="79">
        <v>1.0</v>
      </c>
      <c r="I9" s="78" t="s">
        <v>757</v>
      </c>
      <c r="J9" s="78">
        <v>17.0</v>
      </c>
      <c r="K9" s="84">
        <f t="shared" si="1"/>
        <v>0.06273062731</v>
      </c>
      <c r="L9" s="84"/>
      <c r="M9" s="85"/>
    </row>
    <row r="10">
      <c r="B10" s="78" t="s">
        <v>751</v>
      </c>
      <c r="C10" s="81">
        <v>2149842.8999999994</v>
      </c>
      <c r="D10" s="82">
        <v>2149842.8999999994</v>
      </c>
      <c r="E10" s="79">
        <v>1.0</v>
      </c>
      <c r="I10" s="78" t="s">
        <v>758</v>
      </c>
      <c r="J10" s="78">
        <v>271.0</v>
      </c>
      <c r="K10" s="84">
        <f t="shared" si="1"/>
        <v>1</v>
      </c>
      <c r="L10" s="84"/>
      <c r="M10" s="85"/>
    </row>
    <row r="11">
      <c r="B11" s="78" t="s">
        <v>753</v>
      </c>
      <c r="C11" s="86">
        <v>1.3709589871564832E7</v>
      </c>
      <c r="D11" s="87">
        <v>1.2128041687938724E7</v>
      </c>
      <c r="E11" s="79">
        <v>0.8846392781664162</v>
      </c>
      <c r="L11" s="80"/>
      <c r="M11" s="79"/>
    </row>
    <row r="12">
      <c r="B12" s="78" t="s">
        <v>54</v>
      </c>
      <c r="C12" s="81">
        <v>3.1147140590000004E7</v>
      </c>
      <c r="D12" s="82">
        <v>3.1147140590000004E7</v>
      </c>
      <c r="E12" s="79">
        <v>1.0</v>
      </c>
      <c r="I12" s="78" t="s">
        <v>6</v>
      </c>
      <c r="J12" s="78" t="s">
        <v>745</v>
      </c>
      <c r="K12" s="88"/>
      <c r="L12" s="84"/>
      <c r="M12" s="85"/>
    </row>
    <row r="13">
      <c r="A13" s="78" t="s">
        <v>760</v>
      </c>
      <c r="C13" s="81">
        <v>5.97267101590991E7</v>
      </c>
      <c r="D13" s="82">
        <v>5.6032737317938745E7</v>
      </c>
      <c r="E13" s="79">
        <v>0.9381520791732809</v>
      </c>
      <c r="I13" s="78" t="s">
        <v>39</v>
      </c>
      <c r="J13" s="78">
        <v>36.0</v>
      </c>
      <c r="L13" s="80"/>
      <c r="M13" s="79"/>
    </row>
    <row r="14">
      <c r="A14" s="78" t="s">
        <v>140</v>
      </c>
      <c r="B14" s="78" t="s">
        <v>747</v>
      </c>
      <c r="C14" s="81">
        <v>1.7373402534931507E7</v>
      </c>
      <c r="D14" s="82">
        <v>1.7206169534931507E7</v>
      </c>
      <c r="E14" s="79">
        <v>0.9903741941359065</v>
      </c>
      <c r="I14" s="78" t="s">
        <v>31</v>
      </c>
      <c r="J14" s="78">
        <v>35.0</v>
      </c>
      <c r="K14" s="88"/>
      <c r="L14" s="84"/>
      <c r="M14" s="85"/>
    </row>
    <row r="15">
      <c r="B15" s="78" t="s">
        <v>750</v>
      </c>
      <c r="C15" s="81">
        <v>362975.34246575343</v>
      </c>
      <c r="D15" s="82">
        <v>362975.34246575343</v>
      </c>
      <c r="E15" s="79">
        <v>1.0</v>
      </c>
      <c r="I15" s="78" t="s">
        <v>140</v>
      </c>
      <c r="J15" s="78">
        <v>15.0</v>
      </c>
      <c r="K15" s="88"/>
      <c r="L15" s="84"/>
      <c r="M15" s="85"/>
    </row>
    <row r="16">
      <c r="B16" s="78" t="s">
        <v>751</v>
      </c>
      <c r="C16" s="81">
        <v>802661.15</v>
      </c>
      <c r="D16" s="82">
        <v>802661.15</v>
      </c>
      <c r="E16" s="79">
        <v>1.0</v>
      </c>
      <c r="I16" s="78" t="s">
        <v>101</v>
      </c>
      <c r="J16" s="78">
        <v>9.0</v>
      </c>
      <c r="K16" s="88"/>
      <c r="L16" s="84"/>
      <c r="M16" s="85"/>
    </row>
    <row r="17">
      <c r="B17" s="78" t="s">
        <v>753</v>
      </c>
      <c r="C17" s="81">
        <v>2989492.6470588236</v>
      </c>
      <c r="D17" s="82">
        <v>20047.79411764706</v>
      </c>
      <c r="E17" s="79">
        <v>0.006706085775916137</v>
      </c>
      <c r="I17" s="78" t="s">
        <v>762</v>
      </c>
      <c r="J17" s="78">
        <v>1.0</v>
      </c>
      <c r="K17" s="88"/>
      <c r="L17" s="84"/>
      <c r="M17" s="85"/>
    </row>
    <row r="18">
      <c r="B18" s="78" t="s">
        <v>54</v>
      </c>
      <c r="C18" s="81">
        <v>680030.59</v>
      </c>
      <c r="D18" s="82">
        <v>680030.59</v>
      </c>
      <c r="E18" s="79">
        <v>1.0</v>
      </c>
      <c r="I18" s="78" t="s">
        <v>122</v>
      </c>
      <c r="J18" s="78">
        <v>3.0</v>
      </c>
      <c r="K18" s="88"/>
      <c r="L18" s="84"/>
      <c r="M18" s="85"/>
    </row>
    <row r="19">
      <c r="A19" s="78" t="s">
        <v>763</v>
      </c>
      <c r="C19" s="81">
        <v>2.220856226445609E7</v>
      </c>
      <c r="D19" s="82">
        <v>1.907188441151491E7</v>
      </c>
      <c r="E19" s="79">
        <v>0.8587626783044257</v>
      </c>
      <c r="I19" s="78" t="s">
        <v>90</v>
      </c>
      <c r="J19" s="78">
        <v>12.0</v>
      </c>
      <c r="L19" s="80"/>
      <c r="M19" s="79"/>
    </row>
    <row r="20">
      <c r="A20" s="78" t="s">
        <v>101</v>
      </c>
      <c r="B20" s="78" t="s">
        <v>747</v>
      </c>
      <c r="C20" s="81">
        <v>584903.41</v>
      </c>
      <c r="D20" s="82">
        <v>584903.41</v>
      </c>
      <c r="E20" s="79">
        <v>1.0</v>
      </c>
      <c r="I20" s="78" t="s">
        <v>112</v>
      </c>
      <c r="J20" s="78">
        <v>18.0</v>
      </c>
      <c r="K20" s="88"/>
      <c r="L20" s="84"/>
      <c r="M20" s="85"/>
    </row>
    <row r="21">
      <c r="B21" s="78" t="s">
        <v>753</v>
      </c>
      <c r="C21" s="89">
        <v>133011.02941176473</v>
      </c>
      <c r="D21" s="82">
        <v>20047.79411764706</v>
      </c>
      <c r="E21" s="79">
        <v>0.15072279499156968</v>
      </c>
      <c r="I21" s="78" t="s">
        <v>408</v>
      </c>
      <c r="J21" s="78">
        <v>18.0</v>
      </c>
      <c r="K21" s="88"/>
      <c r="L21" s="84"/>
      <c r="M21" s="85"/>
    </row>
    <row r="22">
      <c r="B22" s="78" t="s">
        <v>54</v>
      </c>
      <c r="C22" s="81">
        <v>4.620312632E7</v>
      </c>
      <c r="D22" s="82">
        <v>4.620312632E7</v>
      </c>
      <c r="E22" s="79">
        <v>1.0</v>
      </c>
      <c r="I22" s="78" t="s">
        <v>215</v>
      </c>
      <c r="J22" s="78">
        <v>26.0</v>
      </c>
      <c r="K22" s="88"/>
      <c r="L22" s="84"/>
      <c r="M22" s="85"/>
    </row>
    <row r="23">
      <c r="A23" s="78" t="s">
        <v>764</v>
      </c>
      <c r="C23" s="81">
        <v>4.692104075941176E7</v>
      </c>
      <c r="D23" s="82">
        <v>4.680807752411764E7</v>
      </c>
      <c r="E23" s="79">
        <v>0.9975924823178297</v>
      </c>
      <c r="I23" s="78" t="s">
        <v>52</v>
      </c>
      <c r="J23" s="78">
        <v>21.0</v>
      </c>
      <c r="L23" s="80"/>
      <c r="M23" s="79"/>
    </row>
    <row r="24">
      <c r="A24" s="78" t="s">
        <v>762</v>
      </c>
      <c r="B24" s="78" t="s">
        <v>753</v>
      </c>
      <c r="C24" s="81">
        <v>31060.08</v>
      </c>
      <c r="D24" s="82">
        <v>31060.08</v>
      </c>
      <c r="E24" s="79">
        <v>1.0</v>
      </c>
      <c r="I24" s="78" t="s">
        <v>107</v>
      </c>
      <c r="J24" s="78">
        <v>32.0</v>
      </c>
      <c r="L24" s="80"/>
      <c r="M24" s="79"/>
    </row>
    <row r="25">
      <c r="A25" s="78" t="s">
        <v>765</v>
      </c>
      <c r="C25" s="81">
        <v>31060.08</v>
      </c>
      <c r="D25" s="82">
        <v>31060.08</v>
      </c>
      <c r="E25" s="79">
        <v>1.0</v>
      </c>
      <c r="I25" s="78" t="s">
        <v>72</v>
      </c>
      <c r="J25" s="78">
        <v>8.0</v>
      </c>
      <c r="L25" s="80"/>
      <c r="M25" s="79"/>
    </row>
    <row r="26">
      <c r="A26" s="78" t="s">
        <v>122</v>
      </c>
      <c r="B26" s="78" t="s">
        <v>753</v>
      </c>
      <c r="C26" s="81">
        <v>2.9968482073561646E7</v>
      </c>
      <c r="D26" s="82">
        <v>738317.69</v>
      </c>
      <c r="E26" s="79">
        <v>0.024636472684458975</v>
      </c>
      <c r="I26" s="78" t="s">
        <v>78</v>
      </c>
      <c r="J26" s="78">
        <v>22.0</v>
      </c>
      <c r="L26" s="80"/>
      <c r="M26" s="79"/>
    </row>
    <row r="27">
      <c r="A27" s="78" t="s">
        <v>768</v>
      </c>
      <c r="C27" s="81">
        <v>2.9968482073561646E7</v>
      </c>
      <c r="D27" s="82">
        <v>738317.69</v>
      </c>
      <c r="E27" s="79">
        <v>0.024636472684458975</v>
      </c>
      <c r="I27" s="78" t="s">
        <v>96</v>
      </c>
      <c r="J27" s="78">
        <v>15.0</v>
      </c>
      <c r="L27" s="80"/>
      <c r="M27" s="79"/>
    </row>
    <row r="28">
      <c r="A28" s="78" t="s">
        <v>90</v>
      </c>
      <c r="B28" s="78" t="s">
        <v>747</v>
      </c>
      <c r="C28" s="81">
        <v>187525.0</v>
      </c>
      <c r="D28" s="82">
        <v>187525.0</v>
      </c>
      <c r="E28" s="79">
        <v>1.0</v>
      </c>
      <c r="I28" s="78" t="s">
        <v>758</v>
      </c>
      <c r="J28" s="78">
        <v>271.0</v>
      </c>
      <c r="K28" s="88"/>
      <c r="L28" s="84"/>
      <c r="M28" s="85"/>
    </row>
    <row r="29">
      <c r="B29" s="78" t="s">
        <v>751</v>
      </c>
      <c r="C29" s="81">
        <v>19156.38</v>
      </c>
      <c r="D29" s="82">
        <v>19156.38</v>
      </c>
      <c r="E29" s="79">
        <v>1.0</v>
      </c>
      <c r="K29" s="88"/>
      <c r="L29" s="84"/>
      <c r="M29" s="85"/>
    </row>
    <row r="30">
      <c r="B30" s="78" t="s">
        <v>753</v>
      </c>
      <c r="C30" s="82">
        <v>1.1846614360096695E7</v>
      </c>
      <c r="D30" s="82">
        <v>20047.79411764706</v>
      </c>
      <c r="E30" s="79">
        <v>0.0016922804700366244</v>
      </c>
      <c r="K30" s="88"/>
      <c r="L30" s="84"/>
      <c r="M30" s="85"/>
    </row>
    <row r="31">
      <c r="B31" s="78" t="s">
        <v>54</v>
      </c>
      <c r="C31" s="81">
        <v>7.055339707054794E7</v>
      </c>
      <c r="D31" s="82">
        <v>3.969860255E7</v>
      </c>
      <c r="E31" s="79">
        <v>0.5626745727112823</v>
      </c>
      <c r="I31" s="78" t="s">
        <v>10</v>
      </c>
      <c r="J31" s="78" t="s">
        <v>14</v>
      </c>
      <c r="K31" s="88" t="s">
        <v>745</v>
      </c>
      <c r="L31" s="84"/>
      <c r="M31" s="85"/>
    </row>
    <row r="32">
      <c r="A32" s="78" t="s">
        <v>769</v>
      </c>
      <c r="C32" s="81">
        <v>8.260669281064464E7</v>
      </c>
      <c r="D32" s="82">
        <v>3.9925331724117644E7</v>
      </c>
      <c r="E32" s="79">
        <v>0.4833183652036109</v>
      </c>
      <c r="I32" s="78" t="s">
        <v>747</v>
      </c>
      <c r="J32" s="78" t="s">
        <v>93</v>
      </c>
      <c r="K32" s="78">
        <v>2.0</v>
      </c>
      <c r="L32" s="80">
        <f t="shared" ref="L32:L36" si="2">K32/$K$36</f>
        <v>0.04347826087</v>
      </c>
      <c r="M32" s="79"/>
    </row>
    <row r="33">
      <c r="A33" s="78" t="s">
        <v>112</v>
      </c>
      <c r="B33" s="78" t="s">
        <v>747</v>
      </c>
      <c r="C33" s="81">
        <v>1.4203657991369862E7</v>
      </c>
      <c r="D33" s="82">
        <v>9066671.69</v>
      </c>
      <c r="E33" s="79">
        <v>0.6383335684025133</v>
      </c>
      <c r="J33" s="78" t="s">
        <v>57</v>
      </c>
      <c r="K33" s="88">
        <v>7.0</v>
      </c>
      <c r="L33" s="80">
        <f t="shared" si="2"/>
        <v>0.152173913</v>
      </c>
      <c r="M33" s="85"/>
    </row>
    <row r="34">
      <c r="B34" s="78" t="s">
        <v>750</v>
      </c>
      <c r="C34" s="81">
        <v>2941821.91780822</v>
      </c>
      <c r="D34" s="82">
        <v>0.0</v>
      </c>
      <c r="E34" s="79">
        <v>0.0</v>
      </c>
      <c r="J34" s="78" t="s">
        <v>86</v>
      </c>
      <c r="K34" s="88">
        <v>13.0</v>
      </c>
      <c r="L34" s="80">
        <f t="shared" si="2"/>
        <v>0.2826086957</v>
      </c>
      <c r="M34" s="85"/>
    </row>
    <row r="35">
      <c r="B35" s="78" t="s">
        <v>751</v>
      </c>
      <c r="C35" s="81">
        <v>829566.56</v>
      </c>
      <c r="D35" s="82">
        <v>820540.0</v>
      </c>
      <c r="E35" s="79">
        <v>0.9891189442351678</v>
      </c>
      <c r="J35" s="78" t="s">
        <v>81</v>
      </c>
      <c r="K35" s="88">
        <v>24.0</v>
      </c>
      <c r="L35" s="80">
        <f t="shared" si="2"/>
        <v>0.5217391304</v>
      </c>
      <c r="M35" s="85"/>
    </row>
    <row r="36">
      <c r="B36" s="78" t="s">
        <v>753</v>
      </c>
      <c r="C36" s="81">
        <v>2470877.9282352948</v>
      </c>
      <c r="D36" s="82">
        <v>40095.58823529412</v>
      </c>
      <c r="E36" s="79">
        <v>0.016227263911791245</v>
      </c>
      <c r="I36" s="78" t="s">
        <v>772</v>
      </c>
      <c r="K36" s="88">
        <v>46.0</v>
      </c>
      <c r="L36" s="80">
        <f t="shared" si="2"/>
        <v>1</v>
      </c>
      <c r="M36" s="85"/>
    </row>
    <row r="37">
      <c r="B37" s="78" t="s">
        <v>54</v>
      </c>
      <c r="C37" s="81">
        <v>1.389690629E7</v>
      </c>
      <c r="D37" s="82">
        <v>1.389690629E7</v>
      </c>
      <c r="E37" s="79">
        <v>1.0</v>
      </c>
      <c r="I37" s="78" t="s">
        <v>750</v>
      </c>
      <c r="J37" s="78" t="s">
        <v>93</v>
      </c>
      <c r="K37" s="88">
        <v>1.0</v>
      </c>
      <c r="L37" s="84">
        <f t="shared" ref="L37:L40" si="3">K37/$K$40</f>
        <v>0.07142857143</v>
      </c>
      <c r="M37" s="85"/>
    </row>
    <row r="38">
      <c r="A38" s="78" t="s">
        <v>773</v>
      </c>
      <c r="C38" s="81">
        <v>3.434283068741337E7</v>
      </c>
      <c r="D38" s="82">
        <v>2.3824213568235293E7</v>
      </c>
      <c r="E38" s="79">
        <v>0.6937172356315653</v>
      </c>
      <c r="J38" s="78" t="s">
        <v>86</v>
      </c>
      <c r="K38" s="78">
        <v>6.0</v>
      </c>
      <c r="L38" s="84">
        <f t="shared" si="3"/>
        <v>0.4285714286</v>
      </c>
      <c r="M38" s="79"/>
    </row>
    <row r="39">
      <c r="A39" s="78" t="s">
        <v>408</v>
      </c>
      <c r="B39" s="78" t="s">
        <v>747</v>
      </c>
      <c r="C39" s="81">
        <v>277392.68</v>
      </c>
      <c r="D39" s="82">
        <v>277392.68</v>
      </c>
      <c r="E39" s="79">
        <v>1.0</v>
      </c>
      <c r="J39" s="78" t="s">
        <v>81</v>
      </c>
      <c r="K39" s="88">
        <v>7.0</v>
      </c>
      <c r="L39" s="84">
        <f t="shared" si="3"/>
        <v>0.5</v>
      </c>
      <c r="M39" s="85"/>
    </row>
    <row r="40">
      <c r="B40" s="78" t="s">
        <v>751</v>
      </c>
      <c r="C40" s="81">
        <v>1467517.6800000002</v>
      </c>
      <c r="D40" s="82">
        <v>1467517.6800000002</v>
      </c>
      <c r="E40" s="79">
        <v>1.0</v>
      </c>
      <c r="I40" s="78" t="s">
        <v>775</v>
      </c>
      <c r="K40" s="88">
        <v>14.0</v>
      </c>
      <c r="L40" s="84">
        <f t="shared" si="3"/>
        <v>1</v>
      </c>
      <c r="M40" s="85"/>
    </row>
    <row r="41">
      <c r="B41" s="78" t="s">
        <v>54</v>
      </c>
      <c r="C41" s="81">
        <v>2.289188982383562E7</v>
      </c>
      <c r="D41" s="82">
        <v>1.685282818E7</v>
      </c>
      <c r="E41" s="79">
        <v>0.7361920885383786</v>
      </c>
      <c r="I41" s="78" t="s">
        <v>751</v>
      </c>
      <c r="J41" s="78" t="s">
        <v>57</v>
      </c>
      <c r="K41" s="88">
        <v>9.0</v>
      </c>
      <c r="L41" s="84">
        <f t="shared" ref="L41:L44" si="4">K41/$K$44</f>
        <v>0.07826086957</v>
      </c>
      <c r="M41" s="85"/>
    </row>
    <row r="42">
      <c r="A42" s="78" t="s">
        <v>776</v>
      </c>
      <c r="C42" s="81">
        <v>2.4636800183835622E7</v>
      </c>
      <c r="D42" s="82">
        <v>1.8597738540000003E7</v>
      </c>
      <c r="E42" s="79">
        <v>0.7548763800991539</v>
      </c>
      <c r="J42" s="78" t="s">
        <v>86</v>
      </c>
      <c r="K42" s="78">
        <v>39.0</v>
      </c>
      <c r="L42" s="84">
        <f t="shared" si="4"/>
        <v>0.3391304348</v>
      </c>
      <c r="M42" s="79"/>
    </row>
    <row r="43">
      <c r="A43" s="78" t="s">
        <v>215</v>
      </c>
      <c r="B43" s="78" t="s">
        <v>747</v>
      </c>
      <c r="C43" s="81">
        <v>1.209420812E7</v>
      </c>
      <c r="D43" s="82">
        <v>1.209420812E7</v>
      </c>
      <c r="E43" s="79">
        <v>1.0</v>
      </c>
      <c r="J43" s="78" t="s">
        <v>81</v>
      </c>
      <c r="K43" s="88">
        <v>67.0</v>
      </c>
      <c r="L43" s="84">
        <f t="shared" si="4"/>
        <v>0.5826086957</v>
      </c>
      <c r="M43" s="85"/>
    </row>
    <row r="44">
      <c r="B44" s="78" t="s">
        <v>751</v>
      </c>
      <c r="C44" s="81">
        <v>1271524.4</v>
      </c>
      <c r="D44" s="82">
        <v>1200894.4</v>
      </c>
      <c r="E44" s="79">
        <v>0.9444525012654102</v>
      </c>
      <c r="I44" s="78" t="s">
        <v>779</v>
      </c>
      <c r="K44" s="88">
        <v>115.0</v>
      </c>
      <c r="L44" s="84">
        <f t="shared" si="4"/>
        <v>1</v>
      </c>
      <c r="M44" s="85"/>
    </row>
    <row r="45">
      <c r="B45" s="78" t="s">
        <v>753</v>
      </c>
      <c r="C45" s="81">
        <v>1.8948860007058825E7</v>
      </c>
      <c r="D45" s="82">
        <v>4130194.794117647</v>
      </c>
      <c r="E45" s="79">
        <v>0.21796534422540817</v>
      </c>
      <c r="I45" s="78" t="s">
        <v>753</v>
      </c>
      <c r="J45" s="78" t="s">
        <v>64</v>
      </c>
      <c r="K45" s="88">
        <v>1.0</v>
      </c>
      <c r="L45" s="84">
        <f t="shared" ref="L45:L53" si="5">K45/$K$53</f>
        <v>0.01538461538</v>
      </c>
      <c r="M45" s="85"/>
    </row>
    <row r="46">
      <c r="B46" s="78" t="s">
        <v>54</v>
      </c>
      <c r="C46" s="81">
        <v>1.6069542648493152E7</v>
      </c>
      <c r="D46" s="82">
        <v>9220227.58</v>
      </c>
      <c r="E46" s="79">
        <v>0.5737703792624481</v>
      </c>
      <c r="J46" s="78" t="s">
        <v>109</v>
      </c>
      <c r="K46" s="88">
        <v>1.0</v>
      </c>
      <c r="L46" s="84">
        <f t="shared" si="5"/>
        <v>0.01538461538</v>
      </c>
      <c r="M46" s="85"/>
    </row>
    <row r="47">
      <c r="A47" s="78" t="s">
        <v>780</v>
      </c>
      <c r="C47" s="81">
        <v>4.838413517555196E7</v>
      </c>
      <c r="D47" s="82">
        <v>2.664552489411764E7</v>
      </c>
      <c r="E47" s="79">
        <v>0.5507078879769121</v>
      </c>
      <c r="J47" s="78" t="s">
        <v>76</v>
      </c>
      <c r="K47" s="78">
        <v>2.0</v>
      </c>
      <c r="L47" s="84">
        <f t="shared" si="5"/>
        <v>0.03076923077</v>
      </c>
      <c r="M47" s="79"/>
    </row>
    <row r="48">
      <c r="A48" s="78" t="s">
        <v>52</v>
      </c>
      <c r="B48" s="78" t="s">
        <v>747</v>
      </c>
      <c r="C48" s="81">
        <v>4353044.0</v>
      </c>
      <c r="D48" s="82">
        <v>4353044.0</v>
      </c>
      <c r="E48" s="79">
        <v>1.0</v>
      </c>
      <c r="J48" s="78" t="s">
        <v>93</v>
      </c>
      <c r="K48" s="88">
        <v>4.0</v>
      </c>
      <c r="L48" s="84">
        <f t="shared" si="5"/>
        <v>0.06153846154</v>
      </c>
      <c r="M48" s="85"/>
    </row>
    <row r="49">
      <c r="B49" s="78" t="s">
        <v>750</v>
      </c>
      <c r="C49" s="81">
        <v>4586750.82</v>
      </c>
      <c r="D49" s="87">
        <v>4586750.82</v>
      </c>
      <c r="E49" s="79">
        <v>1.0</v>
      </c>
      <c r="J49" s="78" t="s">
        <v>57</v>
      </c>
      <c r="K49" s="88">
        <v>12.0</v>
      </c>
      <c r="L49" s="84">
        <f t="shared" si="5"/>
        <v>0.1846153846</v>
      </c>
      <c r="M49" s="85"/>
    </row>
    <row r="50">
      <c r="B50" s="78" t="s">
        <v>751</v>
      </c>
      <c r="C50" s="81">
        <v>969027.23</v>
      </c>
      <c r="D50" s="82">
        <v>955020.23</v>
      </c>
      <c r="E50" s="79">
        <v>0.9855452978344066</v>
      </c>
      <c r="J50" s="78" t="s">
        <v>86</v>
      </c>
      <c r="K50" s="88">
        <v>12.0</v>
      </c>
      <c r="L50" s="84">
        <f t="shared" si="5"/>
        <v>0.1846153846</v>
      </c>
      <c r="M50" s="85"/>
    </row>
    <row r="51">
      <c r="B51" s="78" t="s">
        <v>753</v>
      </c>
      <c r="C51" s="81">
        <v>1.814446539411765E7</v>
      </c>
      <c r="D51" s="82">
        <v>6087983.774117648</v>
      </c>
      <c r="E51" s="79">
        <v>0.33552841827411145</v>
      </c>
      <c r="J51" s="78" t="s">
        <v>81</v>
      </c>
      <c r="K51" s="88">
        <v>16.0</v>
      </c>
      <c r="L51" s="84">
        <f t="shared" si="5"/>
        <v>0.2461538462</v>
      </c>
      <c r="M51" s="85"/>
    </row>
    <row r="52">
      <c r="A52" s="78" t="s">
        <v>783</v>
      </c>
      <c r="C52" s="81">
        <v>2.805328744411765E7</v>
      </c>
      <c r="D52" s="82">
        <v>1.5982798824117647E7</v>
      </c>
      <c r="E52" s="79">
        <v>0.5697299774921387</v>
      </c>
      <c r="J52" s="78" t="s">
        <v>757</v>
      </c>
      <c r="K52" s="78">
        <v>17.0</v>
      </c>
      <c r="L52" s="84">
        <f t="shared" si="5"/>
        <v>0.2615384615</v>
      </c>
      <c r="M52" s="79"/>
    </row>
    <row r="53">
      <c r="A53" s="78" t="s">
        <v>107</v>
      </c>
      <c r="B53" s="78" t="s">
        <v>747</v>
      </c>
      <c r="C53" s="81">
        <v>2.8508292374931507E7</v>
      </c>
      <c r="D53" s="82">
        <v>1.601514169E7</v>
      </c>
      <c r="E53" s="79">
        <v>0.5617713428561144</v>
      </c>
      <c r="I53" s="78" t="s">
        <v>784</v>
      </c>
      <c r="K53" s="88">
        <v>65.0</v>
      </c>
      <c r="L53" s="84">
        <f t="shared" si="5"/>
        <v>1</v>
      </c>
      <c r="M53" s="85"/>
    </row>
    <row r="54">
      <c r="B54" s="78" t="s">
        <v>750</v>
      </c>
      <c r="C54" s="81">
        <v>1.7076892509999998E7</v>
      </c>
      <c r="D54" s="82">
        <v>1.7076892509999998E7</v>
      </c>
      <c r="E54" s="79">
        <v>1.0</v>
      </c>
      <c r="I54" s="78" t="s">
        <v>54</v>
      </c>
      <c r="J54" s="78" t="s">
        <v>64</v>
      </c>
      <c r="K54" s="88">
        <v>2.0</v>
      </c>
      <c r="L54" s="84">
        <f t="shared" ref="L54:L59" si="6">K54/$K$59</f>
        <v>0.06451612903</v>
      </c>
      <c r="M54" s="85"/>
    </row>
    <row r="55">
      <c r="B55" s="78" t="s">
        <v>751</v>
      </c>
      <c r="C55" s="81">
        <v>848697.72</v>
      </c>
      <c r="D55" s="82">
        <v>778648.9099999999</v>
      </c>
      <c r="E55" s="79">
        <v>0.9174631811194214</v>
      </c>
      <c r="J55" s="78" t="s">
        <v>93</v>
      </c>
      <c r="K55" s="88">
        <v>4.0</v>
      </c>
      <c r="L55" s="84">
        <f t="shared" si="6"/>
        <v>0.1290322581</v>
      </c>
      <c r="M55" s="85"/>
    </row>
    <row r="56">
      <c r="B56" s="78" t="s">
        <v>753</v>
      </c>
      <c r="C56" s="81">
        <v>8522417.229999999</v>
      </c>
      <c r="D56" s="82">
        <v>6239535.61</v>
      </c>
      <c r="E56" s="79">
        <v>0.7321321453303221</v>
      </c>
      <c r="J56" s="78" t="s">
        <v>57</v>
      </c>
      <c r="K56" s="88">
        <v>1.0</v>
      </c>
      <c r="L56" s="84">
        <f t="shared" si="6"/>
        <v>0.03225806452</v>
      </c>
      <c r="M56" s="85"/>
    </row>
    <row r="57">
      <c r="B57" s="78" t="s">
        <v>54</v>
      </c>
      <c r="C57" s="81">
        <v>3.8864896282000005E7</v>
      </c>
      <c r="D57" s="82">
        <v>3.8864896282000005E7</v>
      </c>
      <c r="E57" s="79">
        <v>1.0</v>
      </c>
      <c r="J57" s="78" t="s">
        <v>86</v>
      </c>
      <c r="K57" s="88">
        <v>9.0</v>
      </c>
      <c r="L57" s="84">
        <f t="shared" si="6"/>
        <v>0.2903225806</v>
      </c>
      <c r="M57" s="85"/>
    </row>
    <row r="58">
      <c r="A58" s="78" t="s">
        <v>787</v>
      </c>
      <c r="C58" s="81">
        <v>9.382119611693153E7</v>
      </c>
      <c r="D58" s="82">
        <v>7.897511500199999E7</v>
      </c>
      <c r="E58" s="79">
        <v>0.8417619713947313</v>
      </c>
      <c r="J58" s="78" t="s">
        <v>81</v>
      </c>
      <c r="K58" s="78">
        <v>15.0</v>
      </c>
      <c r="L58" s="84">
        <f t="shared" si="6"/>
        <v>0.4838709677</v>
      </c>
      <c r="M58" s="79"/>
    </row>
    <row r="59">
      <c r="A59" s="78" t="s">
        <v>72</v>
      </c>
      <c r="B59" s="78" t="s">
        <v>747</v>
      </c>
      <c r="C59" s="81">
        <v>1828925.04</v>
      </c>
      <c r="D59" s="82">
        <v>1208490.04</v>
      </c>
      <c r="E59" s="79">
        <v>0.6607652110225359</v>
      </c>
      <c r="I59" s="78" t="s">
        <v>788</v>
      </c>
      <c r="K59" s="88">
        <v>31.0</v>
      </c>
      <c r="L59" s="84">
        <f t="shared" si="6"/>
        <v>1</v>
      </c>
      <c r="M59" s="85"/>
    </row>
    <row r="60">
      <c r="B60" s="78" t="s">
        <v>751</v>
      </c>
      <c r="C60" s="81">
        <v>306090.1</v>
      </c>
      <c r="D60" s="82">
        <v>306090.1</v>
      </c>
      <c r="E60" s="79">
        <v>1.0</v>
      </c>
      <c r="I60" s="78" t="s">
        <v>758</v>
      </c>
      <c r="K60" s="88">
        <v>271.0</v>
      </c>
      <c r="L60" s="84"/>
      <c r="M60" s="85"/>
    </row>
    <row r="61">
      <c r="B61" s="78" t="s">
        <v>753</v>
      </c>
      <c r="C61" s="90">
        <v>56481.62</v>
      </c>
      <c r="D61" s="82">
        <v>0.0</v>
      </c>
      <c r="E61" s="79">
        <v>0.0</v>
      </c>
      <c r="K61" s="88"/>
      <c r="L61" s="84"/>
      <c r="M61" s="85"/>
    </row>
    <row r="62">
      <c r="A62" s="78" t="s">
        <v>790</v>
      </c>
      <c r="C62" s="81">
        <v>2191496.76</v>
      </c>
      <c r="D62" s="82">
        <v>1514580.1400000001</v>
      </c>
      <c r="E62" s="79">
        <v>0.6911167598532065</v>
      </c>
      <c r="L62" s="80"/>
      <c r="M62" s="79"/>
    </row>
    <row r="63">
      <c r="A63" s="78" t="s">
        <v>78</v>
      </c>
      <c r="B63" s="78" t="s">
        <v>751</v>
      </c>
      <c r="C63" s="81">
        <v>1125576.1</v>
      </c>
      <c r="D63" s="82">
        <v>1125576.1</v>
      </c>
      <c r="E63" s="79">
        <v>1.0</v>
      </c>
      <c r="K63" s="88"/>
      <c r="L63" s="84"/>
      <c r="M63" s="85"/>
    </row>
    <row r="64">
      <c r="B64" s="78" t="s">
        <v>753</v>
      </c>
      <c r="C64" s="81">
        <v>5.994810417294118E7</v>
      </c>
      <c r="D64" s="82">
        <v>9247490.14</v>
      </c>
      <c r="E64" s="79">
        <v>0.15425825833161289</v>
      </c>
      <c r="K64" s="88"/>
      <c r="L64" s="84"/>
      <c r="M64" s="85"/>
    </row>
    <row r="65">
      <c r="B65" s="78" t="s">
        <v>54</v>
      </c>
      <c r="C65" s="81">
        <v>4.10958904109589E7</v>
      </c>
      <c r="D65" s="82">
        <v>0.0</v>
      </c>
      <c r="E65" s="79">
        <v>0.0</v>
      </c>
      <c r="K65" s="88"/>
      <c r="L65" s="84"/>
      <c r="M65" s="85"/>
    </row>
    <row r="66">
      <c r="A66" s="78" t="s">
        <v>792</v>
      </c>
      <c r="C66" s="81">
        <v>1.0216957068390009E8</v>
      </c>
      <c r="D66" s="82">
        <v>1.037306624E7</v>
      </c>
      <c r="E66" s="79">
        <v>0.10152794193579391</v>
      </c>
      <c r="L66" s="80"/>
      <c r="M66" s="79"/>
    </row>
    <row r="67">
      <c r="A67" s="78" t="s">
        <v>96</v>
      </c>
      <c r="B67" s="78" t="s">
        <v>747</v>
      </c>
      <c r="C67" s="81">
        <v>2721774.26</v>
      </c>
      <c r="D67" s="82">
        <v>2595424.26</v>
      </c>
      <c r="E67" s="79">
        <v>0.9535780752074567</v>
      </c>
      <c r="K67" s="88"/>
      <c r="L67" s="84"/>
      <c r="M67" s="85"/>
    </row>
    <row r="68">
      <c r="B68" s="78" t="s">
        <v>751</v>
      </c>
      <c r="C68" s="81">
        <v>416701.15</v>
      </c>
      <c r="D68" s="82">
        <v>416701.15</v>
      </c>
      <c r="E68" s="79">
        <v>1.0</v>
      </c>
      <c r="K68" s="88"/>
      <c r="L68" s="84"/>
      <c r="M68" s="85"/>
    </row>
    <row r="69">
      <c r="B69" s="78" t="s">
        <v>753</v>
      </c>
      <c r="C69" s="81">
        <v>1540633.768235294</v>
      </c>
      <c r="D69" s="82">
        <v>40095.58823529412</v>
      </c>
      <c r="E69" s="79">
        <v>0.026025385826263743</v>
      </c>
      <c r="K69" s="88"/>
      <c r="L69" s="84"/>
      <c r="M69" s="85"/>
    </row>
    <row r="70">
      <c r="B70" s="78" t="s">
        <v>54</v>
      </c>
      <c r="C70" s="81">
        <v>1.7123287671232875E7</v>
      </c>
      <c r="D70" s="82">
        <v>0.0</v>
      </c>
      <c r="E70" s="79">
        <v>0.0</v>
      </c>
      <c r="K70" s="88"/>
      <c r="L70" s="84"/>
      <c r="M70" s="85"/>
    </row>
    <row r="71">
      <c r="A71" s="78" t="s">
        <v>793</v>
      </c>
      <c r="C71" s="81">
        <v>2.1802396849468168E7</v>
      </c>
      <c r="D71" s="82">
        <v>3052220.9982352946</v>
      </c>
      <c r="E71" s="79">
        <v>0.13999474550018332</v>
      </c>
      <c r="L71" s="80"/>
      <c r="M71" s="79"/>
    </row>
    <row r="72">
      <c r="A72" s="88" t="s">
        <v>758</v>
      </c>
      <c r="B72" s="88"/>
      <c r="C72" s="92">
        <v>7.836494404472736E8</v>
      </c>
      <c r="D72" s="93">
        <v>4.5165744659458184E8</v>
      </c>
      <c r="E72" s="85">
        <v>0.5763513929606012</v>
      </c>
      <c r="L72" s="80"/>
      <c r="M72" s="79"/>
    </row>
    <row r="73">
      <c r="L73" s="80"/>
    </row>
    <row r="74">
      <c r="L74" s="80"/>
    </row>
    <row r="75">
      <c r="L75" s="80"/>
    </row>
    <row r="76">
      <c r="L76" s="80"/>
    </row>
    <row r="77">
      <c r="L77" s="80"/>
    </row>
    <row r="78">
      <c r="L78" s="80"/>
    </row>
    <row r="79">
      <c r="L79" s="80"/>
    </row>
    <row r="80">
      <c r="L80" s="80"/>
    </row>
    <row r="81">
      <c r="L81" s="80"/>
    </row>
    <row r="82">
      <c r="L82" s="80"/>
    </row>
    <row r="83">
      <c r="L83" s="80"/>
    </row>
    <row r="84">
      <c r="L84" s="80"/>
    </row>
    <row r="85">
      <c r="L85" s="80"/>
    </row>
    <row r="86">
      <c r="L86" s="80"/>
    </row>
    <row r="87">
      <c r="L87" s="80"/>
    </row>
    <row r="88">
      <c r="L88" s="80"/>
    </row>
    <row r="89">
      <c r="L89" s="80"/>
    </row>
    <row r="90">
      <c r="L90" s="80"/>
    </row>
    <row r="91">
      <c r="L91" s="80"/>
    </row>
    <row r="92">
      <c r="L92" s="80"/>
    </row>
    <row r="93">
      <c r="L93" s="80"/>
    </row>
    <row r="94">
      <c r="L94" s="80"/>
    </row>
    <row r="95">
      <c r="L95" s="80"/>
    </row>
    <row r="96">
      <c r="L96" s="80"/>
    </row>
    <row r="97">
      <c r="L97" s="80"/>
    </row>
    <row r="98">
      <c r="L98" s="80"/>
    </row>
    <row r="99">
      <c r="L99" s="80"/>
    </row>
    <row r="100">
      <c r="L100" s="80"/>
    </row>
    <row r="101">
      <c r="L101" s="80"/>
    </row>
    <row r="102">
      <c r="L102" s="80"/>
    </row>
    <row r="103">
      <c r="L103" s="80"/>
    </row>
    <row r="104">
      <c r="L104" s="80"/>
    </row>
    <row r="105">
      <c r="L105" s="80"/>
    </row>
    <row r="106">
      <c r="L106" s="80"/>
    </row>
    <row r="107">
      <c r="L107" s="80"/>
    </row>
    <row r="108">
      <c r="L108" s="80"/>
    </row>
    <row r="109">
      <c r="L109" s="80"/>
    </row>
    <row r="110">
      <c r="L110" s="80"/>
    </row>
    <row r="111">
      <c r="L111" s="80"/>
    </row>
    <row r="112">
      <c r="L112" s="80"/>
    </row>
    <row r="113">
      <c r="L113" s="80"/>
    </row>
    <row r="114">
      <c r="L114" s="80"/>
    </row>
    <row r="115">
      <c r="L115" s="80"/>
    </row>
    <row r="116">
      <c r="L116" s="80"/>
    </row>
    <row r="117">
      <c r="L117" s="80"/>
    </row>
    <row r="118">
      <c r="L118" s="80"/>
    </row>
    <row r="119">
      <c r="L119" s="80"/>
    </row>
    <row r="120">
      <c r="L120" s="80"/>
    </row>
    <row r="121">
      <c r="L121" s="80"/>
    </row>
    <row r="122">
      <c r="L122" s="80"/>
    </row>
    <row r="123">
      <c r="L123" s="80"/>
    </row>
    <row r="124">
      <c r="L124" s="80"/>
    </row>
    <row r="125">
      <c r="L125" s="80"/>
    </row>
    <row r="126">
      <c r="L126" s="80"/>
    </row>
    <row r="127">
      <c r="L127" s="80"/>
    </row>
    <row r="128">
      <c r="L128" s="80"/>
    </row>
    <row r="129">
      <c r="L129" s="80"/>
    </row>
    <row r="130">
      <c r="L130" s="80"/>
    </row>
    <row r="131">
      <c r="L131" s="80"/>
    </row>
    <row r="132">
      <c r="L132" s="80"/>
    </row>
    <row r="133">
      <c r="L133" s="80"/>
    </row>
    <row r="134">
      <c r="L134" s="80"/>
    </row>
    <row r="135">
      <c r="L135" s="80"/>
    </row>
    <row r="136">
      <c r="L136" s="80"/>
    </row>
    <row r="137">
      <c r="L137" s="80"/>
    </row>
    <row r="138">
      <c r="L138" s="80"/>
    </row>
    <row r="139">
      <c r="L139" s="80"/>
    </row>
    <row r="140">
      <c r="L140" s="80"/>
    </row>
    <row r="141">
      <c r="L141" s="80"/>
    </row>
    <row r="142">
      <c r="L142" s="80"/>
    </row>
    <row r="143">
      <c r="L143" s="80"/>
    </row>
    <row r="144">
      <c r="L144" s="80"/>
    </row>
    <row r="145">
      <c r="L145" s="80"/>
    </row>
    <row r="146">
      <c r="L146" s="80"/>
    </row>
    <row r="147">
      <c r="L147" s="80"/>
    </row>
    <row r="148">
      <c r="L148" s="80"/>
    </row>
    <row r="149">
      <c r="L149" s="80"/>
    </row>
    <row r="150">
      <c r="L150" s="80"/>
    </row>
    <row r="151">
      <c r="L151" s="80"/>
    </row>
    <row r="152">
      <c r="L152" s="80"/>
    </row>
    <row r="153">
      <c r="L153" s="80"/>
    </row>
    <row r="154">
      <c r="L154" s="80"/>
    </row>
    <row r="155">
      <c r="L155" s="80"/>
    </row>
    <row r="156">
      <c r="L156" s="80"/>
    </row>
    <row r="157">
      <c r="L157" s="80"/>
    </row>
    <row r="158">
      <c r="L158" s="80"/>
    </row>
    <row r="159">
      <c r="L159" s="80"/>
    </row>
    <row r="160">
      <c r="L160" s="80"/>
    </row>
    <row r="161">
      <c r="L161" s="80"/>
    </row>
    <row r="162">
      <c r="L162" s="80"/>
    </row>
    <row r="163">
      <c r="L163" s="80"/>
    </row>
    <row r="164">
      <c r="L164" s="80"/>
    </row>
    <row r="165">
      <c r="L165" s="80"/>
    </row>
    <row r="166">
      <c r="L166" s="80"/>
    </row>
    <row r="167">
      <c r="L167" s="80"/>
    </row>
    <row r="168">
      <c r="L168" s="80"/>
    </row>
    <row r="169">
      <c r="L169" s="80"/>
    </row>
    <row r="170">
      <c r="L170" s="80"/>
    </row>
    <row r="171">
      <c r="L171" s="80"/>
    </row>
    <row r="172">
      <c r="L172" s="80"/>
    </row>
    <row r="173">
      <c r="L173" s="80"/>
    </row>
    <row r="174">
      <c r="L174" s="80"/>
    </row>
    <row r="175">
      <c r="L175" s="80"/>
    </row>
    <row r="176">
      <c r="L176" s="80"/>
    </row>
    <row r="177">
      <c r="L177" s="80"/>
    </row>
    <row r="178">
      <c r="L178" s="80"/>
    </row>
    <row r="179">
      <c r="L179" s="80"/>
    </row>
    <row r="180">
      <c r="L180" s="80"/>
    </row>
    <row r="181">
      <c r="L181" s="80"/>
    </row>
    <row r="182">
      <c r="L182" s="80"/>
    </row>
    <row r="183">
      <c r="L183" s="80"/>
    </row>
    <row r="184">
      <c r="L184" s="80"/>
    </row>
    <row r="185">
      <c r="L185" s="80"/>
    </row>
    <row r="186">
      <c r="L186" s="80"/>
    </row>
    <row r="187">
      <c r="L187" s="80"/>
    </row>
    <row r="188">
      <c r="L188" s="80"/>
    </row>
    <row r="189">
      <c r="L189" s="80"/>
    </row>
    <row r="190">
      <c r="L190" s="80"/>
    </row>
    <row r="191">
      <c r="L191" s="80"/>
    </row>
    <row r="192">
      <c r="L192" s="80"/>
    </row>
    <row r="193">
      <c r="L193" s="80"/>
    </row>
    <row r="194">
      <c r="L194" s="80"/>
    </row>
    <row r="195">
      <c r="L195" s="80"/>
    </row>
    <row r="196">
      <c r="L196" s="80"/>
    </row>
    <row r="197">
      <c r="L197" s="80"/>
    </row>
    <row r="198">
      <c r="L198" s="80"/>
    </row>
    <row r="199">
      <c r="L199" s="80"/>
    </row>
    <row r="200">
      <c r="L200" s="80"/>
    </row>
    <row r="201">
      <c r="L201" s="80"/>
    </row>
    <row r="202">
      <c r="L202" s="80"/>
    </row>
    <row r="203">
      <c r="L203" s="80"/>
    </row>
    <row r="204">
      <c r="L204" s="80"/>
    </row>
    <row r="205">
      <c r="L205" s="80"/>
    </row>
    <row r="206">
      <c r="L206" s="80"/>
    </row>
    <row r="207">
      <c r="L207" s="80"/>
    </row>
    <row r="208">
      <c r="L208" s="80"/>
    </row>
    <row r="209">
      <c r="L209" s="80"/>
    </row>
    <row r="210">
      <c r="L210" s="80"/>
    </row>
    <row r="211">
      <c r="L211" s="80"/>
    </row>
    <row r="212">
      <c r="L212" s="80"/>
    </row>
    <row r="213">
      <c r="L213" s="80"/>
    </row>
    <row r="214">
      <c r="L214" s="80"/>
    </row>
    <row r="215">
      <c r="L215" s="80"/>
    </row>
    <row r="216">
      <c r="L216" s="80"/>
    </row>
    <row r="217">
      <c r="L217" s="80"/>
    </row>
    <row r="218">
      <c r="L218" s="80"/>
    </row>
    <row r="219">
      <c r="L219" s="80"/>
    </row>
    <row r="220">
      <c r="L220" s="80"/>
    </row>
    <row r="221">
      <c r="L221" s="80"/>
    </row>
    <row r="222">
      <c r="L222" s="80"/>
    </row>
    <row r="223">
      <c r="L223" s="80"/>
    </row>
    <row r="224">
      <c r="L224" s="80"/>
    </row>
    <row r="225">
      <c r="L225" s="80"/>
    </row>
    <row r="226">
      <c r="L226" s="80"/>
    </row>
    <row r="227">
      <c r="L227" s="80"/>
    </row>
    <row r="228">
      <c r="L228" s="80"/>
    </row>
    <row r="229">
      <c r="L229" s="80"/>
    </row>
    <row r="230">
      <c r="L230" s="80"/>
    </row>
    <row r="231">
      <c r="L231" s="80"/>
    </row>
    <row r="232">
      <c r="L232" s="80"/>
    </row>
    <row r="233">
      <c r="L233" s="80"/>
    </row>
    <row r="234">
      <c r="L234" s="80"/>
    </row>
    <row r="235">
      <c r="L235" s="80"/>
    </row>
    <row r="236">
      <c r="L236" s="80"/>
    </row>
    <row r="237">
      <c r="L237" s="80"/>
    </row>
    <row r="238">
      <c r="L238" s="80"/>
    </row>
    <row r="239">
      <c r="L239" s="80"/>
    </row>
    <row r="240">
      <c r="L240" s="80"/>
    </row>
    <row r="241">
      <c r="L241" s="80"/>
    </row>
    <row r="242">
      <c r="L242" s="80"/>
    </row>
    <row r="243">
      <c r="L243" s="80"/>
    </row>
    <row r="244">
      <c r="L244" s="80"/>
    </row>
    <row r="245">
      <c r="L245" s="80"/>
    </row>
    <row r="246">
      <c r="L246" s="80"/>
    </row>
    <row r="247">
      <c r="L247" s="80"/>
    </row>
    <row r="248">
      <c r="L248" s="80"/>
    </row>
    <row r="249">
      <c r="L249" s="80"/>
    </row>
    <row r="250">
      <c r="L250" s="80"/>
    </row>
    <row r="251">
      <c r="L251" s="80"/>
    </row>
    <row r="252">
      <c r="L252" s="80"/>
    </row>
    <row r="253">
      <c r="L253" s="80"/>
    </row>
    <row r="254">
      <c r="L254" s="80"/>
    </row>
    <row r="255">
      <c r="L255" s="80"/>
    </row>
    <row r="256">
      <c r="L256" s="80"/>
    </row>
    <row r="257">
      <c r="L257" s="80"/>
    </row>
    <row r="258">
      <c r="L258" s="80"/>
    </row>
    <row r="259">
      <c r="L259" s="80"/>
    </row>
    <row r="260">
      <c r="L260" s="80"/>
    </row>
    <row r="261">
      <c r="L261" s="80"/>
    </row>
    <row r="262">
      <c r="L262" s="80"/>
    </row>
    <row r="263">
      <c r="L263" s="80"/>
    </row>
    <row r="264">
      <c r="L264" s="80"/>
    </row>
    <row r="265">
      <c r="L265" s="80"/>
    </row>
    <row r="266">
      <c r="L266" s="80"/>
    </row>
    <row r="267">
      <c r="L267" s="80"/>
    </row>
    <row r="268">
      <c r="L268" s="80"/>
    </row>
    <row r="269">
      <c r="L269" s="80"/>
    </row>
    <row r="270">
      <c r="L270" s="80"/>
    </row>
    <row r="271">
      <c r="L271" s="80"/>
    </row>
    <row r="272">
      <c r="L272" s="80"/>
    </row>
    <row r="273">
      <c r="L273" s="80"/>
    </row>
    <row r="274">
      <c r="L274" s="80"/>
    </row>
    <row r="275">
      <c r="L275" s="80"/>
    </row>
    <row r="276">
      <c r="L276" s="80"/>
    </row>
    <row r="277">
      <c r="L277" s="80"/>
    </row>
    <row r="278">
      <c r="L278" s="80"/>
    </row>
    <row r="279">
      <c r="L279" s="80"/>
    </row>
    <row r="280">
      <c r="L280" s="80"/>
    </row>
    <row r="281">
      <c r="L281" s="80"/>
    </row>
    <row r="282">
      <c r="L282" s="80"/>
    </row>
    <row r="283">
      <c r="L283" s="80"/>
    </row>
    <row r="284">
      <c r="L284" s="80"/>
    </row>
    <row r="285">
      <c r="L285" s="80"/>
    </row>
    <row r="286">
      <c r="L286" s="80"/>
    </row>
    <row r="287">
      <c r="L287" s="80"/>
    </row>
    <row r="288">
      <c r="L288" s="80"/>
    </row>
    <row r="289">
      <c r="L289" s="80"/>
    </row>
    <row r="290">
      <c r="L290" s="80"/>
    </row>
    <row r="291">
      <c r="L291" s="80"/>
    </row>
    <row r="292">
      <c r="L292" s="80"/>
    </row>
    <row r="293">
      <c r="L293" s="80"/>
    </row>
    <row r="294">
      <c r="L294" s="80"/>
    </row>
    <row r="295">
      <c r="L295" s="80"/>
    </row>
    <row r="296">
      <c r="L296" s="80"/>
    </row>
    <row r="297">
      <c r="L297" s="80"/>
    </row>
    <row r="298">
      <c r="L298" s="80"/>
    </row>
    <row r="299">
      <c r="L299" s="80"/>
    </row>
    <row r="300">
      <c r="L300" s="80"/>
    </row>
    <row r="301">
      <c r="L301" s="80"/>
    </row>
    <row r="302">
      <c r="L302" s="80"/>
    </row>
    <row r="303">
      <c r="L303" s="80"/>
    </row>
    <row r="304">
      <c r="L304" s="80"/>
    </row>
    <row r="305">
      <c r="L305" s="80"/>
    </row>
    <row r="306">
      <c r="L306" s="80"/>
    </row>
    <row r="307">
      <c r="L307" s="80"/>
    </row>
    <row r="308">
      <c r="L308" s="80"/>
    </row>
    <row r="309">
      <c r="L309" s="80"/>
    </row>
    <row r="310">
      <c r="L310" s="80"/>
    </row>
    <row r="311">
      <c r="L311" s="80"/>
    </row>
    <row r="312">
      <c r="L312" s="80"/>
    </row>
    <row r="313">
      <c r="L313" s="80"/>
    </row>
    <row r="314">
      <c r="L314" s="80"/>
    </row>
    <row r="315">
      <c r="L315" s="80"/>
    </row>
    <row r="316">
      <c r="L316" s="80"/>
    </row>
    <row r="317">
      <c r="L317" s="80"/>
    </row>
    <row r="318">
      <c r="L318" s="80"/>
    </row>
    <row r="319">
      <c r="L319" s="80"/>
    </row>
    <row r="320">
      <c r="L320" s="80"/>
    </row>
    <row r="321">
      <c r="L321" s="80"/>
    </row>
    <row r="322">
      <c r="L322" s="80"/>
    </row>
    <row r="323">
      <c r="L323" s="80"/>
    </row>
    <row r="324">
      <c r="L324" s="80"/>
    </row>
    <row r="325">
      <c r="L325" s="80"/>
    </row>
    <row r="326">
      <c r="L326" s="80"/>
    </row>
    <row r="327">
      <c r="L327" s="80"/>
    </row>
    <row r="328">
      <c r="L328" s="80"/>
    </row>
    <row r="329">
      <c r="L329" s="80"/>
    </row>
    <row r="330">
      <c r="L330" s="80"/>
    </row>
    <row r="331">
      <c r="L331" s="80"/>
    </row>
    <row r="332">
      <c r="L332" s="80"/>
    </row>
    <row r="333">
      <c r="L333" s="80"/>
    </row>
    <row r="334">
      <c r="L334" s="80"/>
    </row>
    <row r="335">
      <c r="L335" s="80"/>
    </row>
    <row r="336">
      <c r="L336" s="80"/>
    </row>
    <row r="337">
      <c r="L337" s="80"/>
    </row>
    <row r="338">
      <c r="L338" s="80"/>
    </row>
    <row r="339">
      <c r="L339" s="80"/>
    </row>
    <row r="340">
      <c r="L340" s="80"/>
    </row>
    <row r="341">
      <c r="L341" s="80"/>
    </row>
    <row r="342">
      <c r="L342" s="80"/>
    </row>
    <row r="343">
      <c r="L343" s="80"/>
    </row>
    <row r="344">
      <c r="L344" s="80"/>
    </row>
    <row r="345">
      <c r="L345" s="80"/>
    </row>
    <row r="346">
      <c r="L346" s="80"/>
    </row>
    <row r="347">
      <c r="L347" s="80"/>
    </row>
    <row r="348">
      <c r="L348" s="80"/>
    </row>
    <row r="349">
      <c r="L349" s="80"/>
    </row>
    <row r="350">
      <c r="L350" s="80"/>
    </row>
    <row r="351">
      <c r="L351" s="80"/>
    </row>
    <row r="352">
      <c r="L352" s="80"/>
    </row>
    <row r="353">
      <c r="L353" s="80"/>
    </row>
    <row r="354">
      <c r="L354" s="80"/>
    </row>
    <row r="355">
      <c r="L355" s="80"/>
    </row>
    <row r="356">
      <c r="L356" s="80"/>
    </row>
    <row r="357">
      <c r="L357" s="80"/>
    </row>
    <row r="358">
      <c r="L358" s="80"/>
    </row>
    <row r="359">
      <c r="L359" s="80"/>
    </row>
    <row r="360">
      <c r="L360" s="80"/>
    </row>
    <row r="361">
      <c r="L361" s="80"/>
    </row>
    <row r="362">
      <c r="L362" s="80"/>
    </row>
    <row r="363">
      <c r="L363" s="80"/>
    </row>
    <row r="364">
      <c r="L364" s="80"/>
    </row>
    <row r="365">
      <c r="L365" s="80"/>
    </row>
    <row r="366">
      <c r="L366" s="80"/>
    </row>
    <row r="367">
      <c r="L367" s="80"/>
    </row>
    <row r="368">
      <c r="L368" s="80"/>
    </row>
    <row r="369">
      <c r="L369" s="80"/>
    </row>
    <row r="370">
      <c r="L370" s="80"/>
    </row>
    <row r="371">
      <c r="L371" s="80"/>
    </row>
    <row r="372">
      <c r="L372" s="80"/>
    </row>
    <row r="373">
      <c r="L373" s="80"/>
    </row>
    <row r="374">
      <c r="L374" s="80"/>
    </row>
    <row r="375">
      <c r="L375" s="80"/>
    </row>
    <row r="376">
      <c r="L376" s="80"/>
    </row>
    <row r="377">
      <c r="L377" s="80"/>
    </row>
    <row r="378">
      <c r="L378" s="80"/>
    </row>
    <row r="379">
      <c r="L379" s="80"/>
    </row>
    <row r="380">
      <c r="L380" s="80"/>
    </row>
    <row r="381">
      <c r="L381" s="80"/>
    </row>
    <row r="382">
      <c r="L382" s="80"/>
    </row>
    <row r="383">
      <c r="L383" s="80"/>
    </row>
    <row r="384">
      <c r="L384" s="80"/>
    </row>
    <row r="385">
      <c r="L385" s="80"/>
    </row>
    <row r="386">
      <c r="L386" s="80"/>
    </row>
    <row r="387">
      <c r="L387" s="80"/>
    </row>
    <row r="388">
      <c r="L388" s="80"/>
    </row>
    <row r="389">
      <c r="L389" s="80"/>
    </row>
    <row r="390">
      <c r="L390" s="80"/>
    </row>
    <row r="391">
      <c r="L391" s="80"/>
    </row>
    <row r="392">
      <c r="L392" s="80"/>
    </row>
    <row r="393">
      <c r="L393" s="80"/>
    </row>
    <row r="394">
      <c r="L394" s="80"/>
    </row>
    <row r="395">
      <c r="L395" s="80"/>
    </row>
    <row r="396">
      <c r="L396" s="80"/>
    </row>
    <row r="397">
      <c r="L397" s="80"/>
    </row>
    <row r="398">
      <c r="L398" s="80"/>
    </row>
    <row r="399">
      <c r="L399" s="80"/>
    </row>
    <row r="400">
      <c r="L400" s="80"/>
    </row>
    <row r="401">
      <c r="L401" s="80"/>
    </row>
    <row r="402">
      <c r="L402" s="80"/>
    </row>
    <row r="403">
      <c r="L403" s="80"/>
    </row>
    <row r="404">
      <c r="L404" s="80"/>
    </row>
    <row r="405">
      <c r="L405" s="80"/>
    </row>
    <row r="406">
      <c r="L406" s="80"/>
    </row>
    <row r="407">
      <c r="L407" s="80"/>
    </row>
    <row r="408">
      <c r="L408" s="80"/>
    </row>
    <row r="409">
      <c r="L409" s="80"/>
    </row>
    <row r="410">
      <c r="L410" s="80"/>
    </row>
    <row r="411">
      <c r="L411" s="80"/>
    </row>
    <row r="412">
      <c r="L412" s="80"/>
    </row>
    <row r="413">
      <c r="L413" s="80"/>
    </row>
    <row r="414">
      <c r="L414" s="80"/>
    </row>
    <row r="415">
      <c r="L415" s="80"/>
    </row>
    <row r="416">
      <c r="L416" s="80"/>
    </row>
    <row r="417">
      <c r="L417" s="80"/>
    </row>
    <row r="418">
      <c r="L418" s="80"/>
    </row>
    <row r="419">
      <c r="L419" s="80"/>
    </row>
    <row r="420">
      <c r="L420" s="80"/>
    </row>
    <row r="421">
      <c r="L421" s="80"/>
    </row>
    <row r="422">
      <c r="L422" s="80"/>
    </row>
    <row r="423">
      <c r="L423" s="80"/>
    </row>
    <row r="424">
      <c r="L424" s="80"/>
    </row>
    <row r="425">
      <c r="L425" s="80"/>
    </row>
    <row r="426">
      <c r="L426" s="80"/>
    </row>
    <row r="427">
      <c r="L427" s="80"/>
    </row>
    <row r="428">
      <c r="L428" s="80"/>
    </row>
    <row r="429">
      <c r="L429" s="80"/>
    </row>
    <row r="430">
      <c r="L430" s="80"/>
    </row>
    <row r="431">
      <c r="L431" s="80"/>
    </row>
    <row r="432">
      <c r="L432" s="80"/>
    </row>
    <row r="433">
      <c r="L433" s="80"/>
    </row>
    <row r="434">
      <c r="L434" s="80"/>
    </row>
    <row r="435">
      <c r="L435" s="80"/>
    </row>
    <row r="436">
      <c r="L436" s="80"/>
    </row>
    <row r="437">
      <c r="L437" s="80"/>
    </row>
    <row r="438">
      <c r="L438" s="80"/>
    </row>
    <row r="439">
      <c r="L439" s="80"/>
    </row>
    <row r="440">
      <c r="L440" s="80"/>
    </row>
    <row r="441">
      <c r="L441" s="80"/>
    </row>
    <row r="442">
      <c r="L442" s="80"/>
    </row>
    <row r="443">
      <c r="L443" s="80"/>
    </row>
    <row r="444">
      <c r="L444" s="80"/>
    </row>
    <row r="445">
      <c r="L445" s="80"/>
    </row>
    <row r="446">
      <c r="L446" s="80"/>
    </row>
    <row r="447">
      <c r="L447" s="80"/>
    </row>
    <row r="448">
      <c r="L448" s="80"/>
    </row>
    <row r="449">
      <c r="L449" s="80"/>
    </row>
    <row r="450">
      <c r="L450" s="80"/>
    </row>
    <row r="451">
      <c r="L451" s="80"/>
    </row>
    <row r="452">
      <c r="L452" s="80"/>
    </row>
    <row r="453">
      <c r="L453" s="80"/>
    </row>
    <row r="454">
      <c r="L454" s="80"/>
    </row>
    <row r="455">
      <c r="L455" s="80"/>
    </row>
    <row r="456">
      <c r="L456" s="80"/>
    </row>
    <row r="457">
      <c r="L457" s="80"/>
    </row>
    <row r="458">
      <c r="L458" s="80"/>
    </row>
    <row r="459">
      <c r="L459" s="80"/>
    </row>
    <row r="460">
      <c r="L460" s="80"/>
    </row>
    <row r="461">
      <c r="L461" s="80"/>
    </row>
    <row r="462">
      <c r="L462" s="80"/>
    </row>
    <row r="463">
      <c r="L463" s="80"/>
    </row>
    <row r="464">
      <c r="L464" s="80"/>
    </row>
    <row r="465">
      <c r="L465" s="80"/>
    </row>
    <row r="466">
      <c r="L466" s="80"/>
    </row>
    <row r="467">
      <c r="L467" s="80"/>
    </row>
    <row r="468">
      <c r="L468" s="80"/>
    </row>
    <row r="469">
      <c r="L469" s="80"/>
    </row>
    <row r="470">
      <c r="L470" s="80"/>
    </row>
    <row r="471">
      <c r="L471" s="80"/>
    </row>
    <row r="472">
      <c r="L472" s="80"/>
    </row>
    <row r="473">
      <c r="L473" s="80"/>
    </row>
    <row r="474">
      <c r="L474" s="80"/>
    </row>
    <row r="475">
      <c r="L475" s="80"/>
    </row>
    <row r="476">
      <c r="L476" s="80"/>
    </row>
    <row r="477">
      <c r="L477" s="80"/>
    </row>
    <row r="478">
      <c r="L478" s="80"/>
    </row>
    <row r="479">
      <c r="L479" s="80"/>
    </row>
    <row r="480">
      <c r="L480" s="80"/>
    </row>
    <row r="481">
      <c r="L481" s="80"/>
    </row>
    <row r="482">
      <c r="L482" s="80"/>
    </row>
    <row r="483">
      <c r="L483" s="80"/>
    </row>
    <row r="484">
      <c r="L484" s="80"/>
    </row>
    <row r="485">
      <c r="L485" s="80"/>
    </row>
    <row r="486">
      <c r="L486" s="80"/>
    </row>
    <row r="487">
      <c r="L487" s="80"/>
    </row>
    <row r="488">
      <c r="L488" s="80"/>
    </row>
    <row r="489">
      <c r="L489" s="80"/>
    </row>
    <row r="490">
      <c r="L490" s="80"/>
    </row>
    <row r="491">
      <c r="L491" s="80"/>
    </row>
    <row r="492">
      <c r="L492" s="80"/>
    </row>
    <row r="493">
      <c r="L493" s="80"/>
    </row>
    <row r="494">
      <c r="L494" s="80"/>
    </row>
    <row r="495">
      <c r="L495" s="80"/>
    </row>
    <row r="496">
      <c r="L496" s="80"/>
    </row>
    <row r="497">
      <c r="L497" s="80"/>
    </row>
    <row r="498">
      <c r="L498" s="80"/>
    </row>
    <row r="499">
      <c r="L499" s="80"/>
    </row>
    <row r="500">
      <c r="L500" s="80"/>
    </row>
    <row r="501">
      <c r="L501" s="80"/>
    </row>
    <row r="502">
      <c r="L502" s="80"/>
    </row>
    <row r="503">
      <c r="L503" s="80"/>
    </row>
    <row r="504">
      <c r="L504" s="80"/>
    </row>
    <row r="505">
      <c r="L505" s="80"/>
    </row>
    <row r="506">
      <c r="L506" s="80"/>
    </row>
    <row r="507">
      <c r="L507" s="80"/>
    </row>
    <row r="508">
      <c r="L508" s="80"/>
    </row>
    <row r="509">
      <c r="L509" s="80"/>
    </row>
    <row r="510">
      <c r="L510" s="80"/>
    </row>
    <row r="511">
      <c r="L511" s="80"/>
    </row>
    <row r="512">
      <c r="L512" s="80"/>
    </row>
    <row r="513">
      <c r="L513" s="80"/>
    </row>
    <row r="514">
      <c r="L514" s="80"/>
    </row>
    <row r="515">
      <c r="L515" s="80"/>
    </row>
    <row r="516">
      <c r="L516" s="80"/>
    </row>
    <row r="517">
      <c r="L517" s="80"/>
    </row>
    <row r="518">
      <c r="L518" s="80"/>
    </row>
    <row r="519">
      <c r="L519" s="80"/>
    </row>
    <row r="520">
      <c r="L520" s="80"/>
    </row>
    <row r="521">
      <c r="L521" s="80"/>
    </row>
    <row r="522">
      <c r="L522" s="80"/>
    </row>
    <row r="523">
      <c r="L523" s="80"/>
    </row>
    <row r="524">
      <c r="L524" s="80"/>
    </row>
    <row r="525">
      <c r="L525" s="80"/>
    </row>
    <row r="526">
      <c r="L526" s="80"/>
    </row>
    <row r="527">
      <c r="L527" s="80"/>
    </row>
    <row r="528">
      <c r="L528" s="80"/>
    </row>
    <row r="529">
      <c r="L529" s="80"/>
    </row>
    <row r="530">
      <c r="L530" s="80"/>
    </row>
    <row r="531">
      <c r="L531" s="80"/>
    </row>
    <row r="532">
      <c r="L532" s="80"/>
    </row>
    <row r="533">
      <c r="L533" s="80"/>
    </row>
    <row r="534">
      <c r="L534" s="80"/>
    </row>
    <row r="535">
      <c r="L535" s="80"/>
    </row>
    <row r="536">
      <c r="L536" s="80"/>
    </row>
    <row r="537">
      <c r="L537" s="80"/>
    </row>
    <row r="538">
      <c r="L538" s="80"/>
    </row>
    <row r="539">
      <c r="L539" s="80"/>
    </row>
    <row r="540">
      <c r="L540" s="80"/>
    </row>
    <row r="541">
      <c r="L541" s="80"/>
    </row>
    <row r="542">
      <c r="L542" s="80"/>
    </row>
    <row r="543">
      <c r="L543" s="80"/>
    </row>
    <row r="544">
      <c r="L544" s="80"/>
    </row>
    <row r="545">
      <c r="L545" s="80"/>
    </row>
    <row r="546">
      <c r="L546" s="80"/>
    </row>
    <row r="547">
      <c r="L547" s="80"/>
    </row>
    <row r="548">
      <c r="L548" s="80"/>
    </row>
    <row r="549">
      <c r="L549" s="80"/>
    </row>
    <row r="550">
      <c r="L550" s="80"/>
    </row>
    <row r="551">
      <c r="L551" s="80"/>
    </row>
    <row r="552">
      <c r="L552" s="80"/>
    </row>
    <row r="553">
      <c r="L553" s="80"/>
    </row>
    <row r="554">
      <c r="L554" s="80"/>
    </row>
    <row r="555">
      <c r="L555" s="80"/>
    </row>
    <row r="556">
      <c r="L556" s="80"/>
    </row>
    <row r="557">
      <c r="L557" s="80"/>
    </row>
    <row r="558">
      <c r="L558" s="80"/>
    </row>
    <row r="559">
      <c r="L559" s="80"/>
    </row>
    <row r="560">
      <c r="L560" s="80"/>
    </row>
    <row r="561">
      <c r="L561" s="80"/>
    </row>
    <row r="562">
      <c r="L562" s="80"/>
    </row>
    <row r="563">
      <c r="L563" s="80"/>
    </row>
    <row r="564">
      <c r="L564" s="80"/>
    </row>
    <row r="565">
      <c r="L565" s="80"/>
    </row>
    <row r="566">
      <c r="L566" s="80"/>
    </row>
    <row r="567">
      <c r="L567" s="80"/>
    </row>
    <row r="568">
      <c r="L568" s="80"/>
    </row>
    <row r="569">
      <c r="L569" s="80"/>
    </row>
    <row r="570">
      <c r="L570" s="80"/>
    </row>
    <row r="571">
      <c r="L571" s="80"/>
    </row>
    <row r="572">
      <c r="L572" s="80"/>
    </row>
    <row r="573">
      <c r="L573" s="80"/>
    </row>
    <row r="574">
      <c r="L574" s="80"/>
    </row>
    <row r="575">
      <c r="L575" s="80"/>
    </row>
    <row r="576">
      <c r="L576" s="80"/>
    </row>
    <row r="577">
      <c r="L577" s="80"/>
    </row>
    <row r="578">
      <c r="L578" s="80"/>
    </row>
    <row r="579">
      <c r="L579" s="80"/>
    </row>
    <row r="580">
      <c r="L580" s="80"/>
    </row>
    <row r="581">
      <c r="L581" s="80"/>
    </row>
    <row r="582">
      <c r="L582" s="80"/>
    </row>
    <row r="583">
      <c r="L583" s="80"/>
    </row>
    <row r="584">
      <c r="L584" s="80"/>
    </row>
    <row r="585">
      <c r="L585" s="80"/>
    </row>
    <row r="586">
      <c r="L586" s="80"/>
    </row>
    <row r="587">
      <c r="L587" s="80"/>
    </row>
    <row r="588">
      <c r="L588" s="80"/>
    </row>
    <row r="589">
      <c r="L589" s="80"/>
    </row>
    <row r="590">
      <c r="L590" s="80"/>
    </row>
    <row r="591">
      <c r="L591" s="80"/>
    </row>
    <row r="592">
      <c r="L592" s="80"/>
    </row>
    <row r="593">
      <c r="L593" s="80"/>
    </row>
    <row r="594">
      <c r="L594" s="80"/>
    </row>
    <row r="595">
      <c r="L595" s="80"/>
    </row>
    <row r="596">
      <c r="L596" s="80"/>
    </row>
    <row r="597">
      <c r="L597" s="80"/>
    </row>
    <row r="598">
      <c r="L598" s="80"/>
    </row>
    <row r="599">
      <c r="L599" s="80"/>
    </row>
    <row r="600">
      <c r="L600" s="80"/>
    </row>
    <row r="601">
      <c r="L601" s="80"/>
    </row>
    <row r="602">
      <c r="L602" s="80"/>
    </row>
    <row r="603">
      <c r="L603" s="80"/>
    </row>
    <row r="604">
      <c r="L604" s="80"/>
    </row>
    <row r="605">
      <c r="L605" s="80"/>
    </row>
    <row r="606">
      <c r="L606" s="80"/>
    </row>
    <row r="607">
      <c r="L607" s="80"/>
    </row>
    <row r="608">
      <c r="L608" s="80"/>
    </row>
    <row r="609">
      <c r="L609" s="80"/>
    </row>
    <row r="610">
      <c r="L610" s="80"/>
    </row>
    <row r="611">
      <c r="L611" s="80"/>
    </row>
    <row r="612">
      <c r="L612" s="80"/>
    </row>
    <row r="613">
      <c r="L613" s="80"/>
    </row>
    <row r="614">
      <c r="L614" s="80"/>
    </row>
    <row r="615">
      <c r="L615" s="80"/>
    </row>
    <row r="616">
      <c r="L616" s="80"/>
    </row>
    <row r="617">
      <c r="L617" s="80"/>
    </row>
    <row r="618">
      <c r="L618" s="80"/>
    </row>
    <row r="619">
      <c r="L619" s="80"/>
    </row>
    <row r="620">
      <c r="L620" s="80"/>
    </row>
    <row r="621">
      <c r="L621" s="80"/>
    </row>
    <row r="622">
      <c r="L622" s="80"/>
    </row>
    <row r="623">
      <c r="L623" s="80"/>
    </row>
    <row r="624">
      <c r="L624" s="80"/>
    </row>
    <row r="625">
      <c r="L625" s="80"/>
    </row>
    <row r="626">
      <c r="L626" s="80"/>
    </row>
    <row r="627">
      <c r="L627" s="80"/>
    </row>
    <row r="628">
      <c r="L628" s="80"/>
    </row>
    <row r="629">
      <c r="L629" s="80"/>
    </row>
    <row r="630">
      <c r="L630" s="80"/>
    </row>
    <row r="631">
      <c r="L631" s="80"/>
    </row>
    <row r="632">
      <c r="L632" s="80"/>
    </row>
    <row r="633">
      <c r="L633" s="80"/>
    </row>
    <row r="634">
      <c r="L634" s="80"/>
    </row>
    <row r="635">
      <c r="L635" s="80"/>
    </row>
    <row r="636">
      <c r="L636" s="80"/>
    </row>
    <row r="637">
      <c r="L637" s="80"/>
    </row>
    <row r="638">
      <c r="L638" s="80"/>
    </row>
    <row r="639">
      <c r="L639" s="80"/>
    </row>
    <row r="640">
      <c r="L640" s="80"/>
    </row>
    <row r="641">
      <c r="L641" s="80"/>
    </row>
    <row r="642">
      <c r="L642" s="80"/>
    </row>
    <row r="643">
      <c r="L643" s="80"/>
    </row>
    <row r="644">
      <c r="L644" s="80"/>
    </row>
    <row r="645">
      <c r="L645" s="80"/>
    </row>
    <row r="646">
      <c r="L646" s="80"/>
    </row>
    <row r="647">
      <c r="L647" s="80"/>
    </row>
    <row r="648">
      <c r="L648" s="80"/>
    </row>
    <row r="649">
      <c r="L649" s="80"/>
    </row>
    <row r="650">
      <c r="L650" s="80"/>
    </row>
    <row r="651">
      <c r="L651" s="80"/>
    </row>
    <row r="652">
      <c r="L652" s="80"/>
    </row>
    <row r="653">
      <c r="L653" s="80"/>
    </row>
    <row r="654">
      <c r="L654" s="80"/>
    </row>
    <row r="655">
      <c r="L655" s="80"/>
    </row>
    <row r="656">
      <c r="L656" s="80"/>
    </row>
    <row r="657">
      <c r="L657" s="80"/>
    </row>
    <row r="658">
      <c r="L658" s="80"/>
    </row>
    <row r="659">
      <c r="L659" s="80"/>
    </row>
    <row r="660">
      <c r="L660" s="80"/>
    </row>
    <row r="661">
      <c r="L661" s="80"/>
    </row>
    <row r="662">
      <c r="L662" s="80"/>
    </row>
    <row r="663">
      <c r="L663" s="80"/>
    </row>
    <row r="664">
      <c r="L664" s="80"/>
    </row>
    <row r="665">
      <c r="L665" s="80"/>
    </row>
    <row r="666">
      <c r="L666" s="80"/>
    </row>
    <row r="667">
      <c r="L667" s="80"/>
    </row>
    <row r="668">
      <c r="L668" s="80"/>
    </row>
    <row r="669">
      <c r="L669" s="80"/>
    </row>
    <row r="670">
      <c r="L670" s="80"/>
    </row>
    <row r="671">
      <c r="L671" s="80"/>
    </row>
    <row r="672">
      <c r="L672" s="80"/>
    </row>
    <row r="673">
      <c r="L673" s="80"/>
    </row>
    <row r="674">
      <c r="L674" s="80"/>
    </row>
    <row r="675">
      <c r="L675" s="80"/>
    </row>
    <row r="676">
      <c r="L676" s="80"/>
    </row>
    <row r="677">
      <c r="L677" s="80"/>
    </row>
    <row r="678">
      <c r="L678" s="80"/>
    </row>
    <row r="679">
      <c r="L679" s="80"/>
    </row>
    <row r="680">
      <c r="L680" s="80"/>
    </row>
    <row r="681">
      <c r="L681" s="80"/>
    </row>
    <row r="682">
      <c r="L682" s="80"/>
    </row>
    <row r="683">
      <c r="L683" s="80"/>
    </row>
    <row r="684">
      <c r="L684" s="80"/>
    </row>
    <row r="685">
      <c r="L685" s="80"/>
    </row>
    <row r="686">
      <c r="L686" s="80"/>
    </row>
    <row r="687">
      <c r="L687" s="80"/>
    </row>
    <row r="688">
      <c r="L688" s="80"/>
    </row>
    <row r="689">
      <c r="L689" s="80"/>
    </row>
    <row r="690">
      <c r="L690" s="80"/>
    </row>
    <row r="691">
      <c r="L691" s="80"/>
    </row>
    <row r="692">
      <c r="L692" s="80"/>
    </row>
    <row r="693">
      <c r="L693" s="80"/>
    </row>
    <row r="694">
      <c r="L694" s="80"/>
    </row>
    <row r="695">
      <c r="L695" s="80"/>
    </row>
    <row r="696">
      <c r="L696" s="80"/>
    </row>
    <row r="697">
      <c r="L697" s="80"/>
    </row>
    <row r="698">
      <c r="L698" s="80"/>
    </row>
    <row r="699">
      <c r="L699" s="80"/>
    </row>
    <row r="700">
      <c r="L700" s="80"/>
    </row>
    <row r="701">
      <c r="L701" s="80"/>
    </row>
    <row r="702">
      <c r="L702" s="80"/>
    </row>
    <row r="703">
      <c r="L703" s="80"/>
    </row>
    <row r="704">
      <c r="L704" s="80"/>
    </row>
    <row r="705">
      <c r="L705" s="80"/>
    </row>
    <row r="706">
      <c r="L706" s="80"/>
    </row>
    <row r="707">
      <c r="L707" s="80"/>
    </row>
    <row r="708">
      <c r="L708" s="80"/>
    </row>
    <row r="709">
      <c r="L709" s="80"/>
    </row>
    <row r="710">
      <c r="L710" s="80"/>
    </row>
    <row r="711">
      <c r="L711" s="80"/>
    </row>
    <row r="712">
      <c r="L712" s="80"/>
    </row>
    <row r="713">
      <c r="L713" s="80"/>
    </row>
    <row r="714">
      <c r="L714" s="80"/>
    </row>
    <row r="715">
      <c r="L715" s="80"/>
    </row>
    <row r="716">
      <c r="L716" s="80"/>
    </row>
    <row r="717">
      <c r="L717" s="80"/>
    </row>
    <row r="718">
      <c r="L718" s="80"/>
    </row>
    <row r="719">
      <c r="L719" s="80"/>
    </row>
    <row r="720">
      <c r="L720" s="80"/>
    </row>
    <row r="721">
      <c r="L721" s="80"/>
    </row>
    <row r="722">
      <c r="L722" s="80"/>
    </row>
    <row r="723">
      <c r="L723" s="80"/>
    </row>
    <row r="724">
      <c r="L724" s="80"/>
    </row>
    <row r="725">
      <c r="L725" s="80"/>
    </row>
    <row r="726">
      <c r="L726" s="80"/>
    </row>
    <row r="727">
      <c r="L727" s="80"/>
    </row>
    <row r="728">
      <c r="L728" s="80"/>
    </row>
    <row r="729">
      <c r="L729" s="80"/>
    </row>
    <row r="730">
      <c r="L730" s="80"/>
    </row>
    <row r="731">
      <c r="L731" s="80"/>
    </row>
    <row r="732">
      <c r="L732" s="80"/>
    </row>
    <row r="733">
      <c r="L733" s="80"/>
    </row>
    <row r="734">
      <c r="L734" s="80"/>
    </row>
    <row r="735">
      <c r="L735" s="80"/>
    </row>
    <row r="736">
      <c r="L736" s="80"/>
    </row>
    <row r="737">
      <c r="L737" s="80"/>
    </row>
    <row r="738">
      <c r="L738" s="80"/>
    </row>
    <row r="739">
      <c r="L739" s="80"/>
    </row>
    <row r="740">
      <c r="L740" s="80"/>
    </row>
    <row r="741">
      <c r="L741" s="80"/>
    </row>
    <row r="742">
      <c r="L742" s="80"/>
    </row>
    <row r="743">
      <c r="L743" s="80"/>
    </row>
    <row r="744">
      <c r="L744" s="80"/>
    </row>
    <row r="745">
      <c r="L745" s="80"/>
    </row>
    <row r="746">
      <c r="L746" s="80"/>
    </row>
    <row r="747">
      <c r="L747" s="80"/>
    </row>
    <row r="748">
      <c r="L748" s="80"/>
    </row>
    <row r="749">
      <c r="L749" s="80"/>
    </row>
    <row r="750">
      <c r="L750" s="80"/>
    </row>
    <row r="751">
      <c r="L751" s="80"/>
    </row>
    <row r="752">
      <c r="L752" s="80"/>
    </row>
    <row r="753">
      <c r="L753" s="80"/>
    </row>
    <row r="754">
      <c r="L754" s="80"/>
    </row>
    <row r="755">
      <c r="L755" s="80"/>
    </row>
    <row r="756">
      <c r="L756" s="80"/>
    </row>
    <row r="757">
      <c r="L757" s="80"/>
    </row>
    <row r="758">
      <c r="L758" s="80"/>
    </row>
    <row r="759">
      <c r="L759" s="80"/>
    </row>
    <row r="760">
      <c r="L760" s="80"/>
    </row>
    <row r="761">
      <c r="L761" s="80"/>
    </row>
    <row r="762">
      <c r="L762" s="80"/>
    </row>
    <row r="763">
      <c r="L763" s="80"/>
    </row>
    <row r="764">
      <c r="L764" s="80"/>
    </row>
    <row r="765">
      <c r="L765" s="80"/>
    </row>
    <row r="766">
      <c r="L766" s="80"/>
    </row>
    <row r="767">
      <c r="L767" s="80"/>
    </row>
    <row r="768">
      <c r="L768" s="80"/>
    </row>
    <row r="769">
      <c r="L769" s="80"/>
    </row>
    <row r="770">
      <c r="L770" s="80"/>
    </row>
    <row r="771">
      <c r="L771" s="80"/>
    </row>
    <row r="772">
      <c r="L772" s="80"/>
    </row>
    <row r="773">
      <c r="L773" s="80"/>
    </row>
    <row r="774">
      <c r="L774" s="80"/>
    </row>
    <row r="775">
      <c r="L775" s="80"/>
    </row>
    <row r="776">
      <c r="L776" s="80"/>
    </row>
    <row r="777">
      <c r="L777" s="80"/>
    </row>
    <row r="778">
      <c r="L778" s="80"/>
    </row>
    <row r="779">
      <c r="L779" s="80"/>
    </row>
    <row r="780">
      <c r="L780" s="80"/>
    </row>
    <row r="781">
      <c r="L781" s="80"/>
    </row>
    <row r="782">
      <c r="L782" s="80"/>
    </row>
    <row r="783">
      <c r="L783" s="80"/>
    </row>
    <row r="784">
      <c r="L784" s="80"/>
    </row>
    <row r="785">
      <c r="L785" s="80"/>
    </row>
    <row r="786">
      <c r="L786" s="80"/>
    </row>
    <row r="787">
      <c r="L787" s="80"/>
    </row>
    <row r="788">
      <c r="L788" s="80"/>
    </row>
    <row r="789">
      <c r="L789" s="80"/>
    </row>
    <row r="790">
      <c r="L790" s="80"/>
    </row>
    <row r="791">
      <c r="L791" s="80"/>
    </row>
    <row r="792">
      <c r="L792" s="80"/>
    </row>
    <row r="793">
      <c r="L793" s="80"/>
    </row>
    <row r="794">
      <c r="L794" s="80"/>
    </row>
    <row r="795">
      <c r="L795" s="80"/>
    </row>
    <row r="796">
      <c r="L796" s="80"/>
    </row>
    <row r="797">
      <c r="L797" s="80"/>
    </row>
    <row r="798">
      <c r="L798" s="80"/>
    </row>
    <row r="799">
      <c r="L799" s="80"/>
    </row>
    <row r="800">
      <c r="L800" s="80"/>
    </row>
    <row r="801">
      <c r="L801" s="80"/>
    </row>
    <row r="802">
      <c r="L802" s="80"/>
    </row>
    <row r="803">
      <c r="L803" s="80"/>
    </row>
    <row r="804">
      <c r="L804" s="80"/>
    </row>
    <row r="805">
      <c r="L805" s="80"/>
    </row>
    <row r="806">
      <c r="L806" s="80"/>
    </row>
    <row r="807">
      <c r="L807" s="80"/>
    </row>
    <row r="808">
      <c r="L808" s="80"/>
    </row>
    <row r="809">
      <c r="L809" s="80"/>
    </row>
    <row r="810">
      <c r="L810" s="80"/>
    </row>
    <row r="811">
      <c r="L811" s="80"/>
    </row>
    <row r="812">
      <c r="L812" s="80"/>
    </row>
    <row r="813">
      <c r="L813" s="80"/>
    </row>
    <row r="814">
      <c r="L814" s="80"/>
    </row>
    <row r="815">
      <c r="L815" s="80"/>
    </row>
    <row r="816">
      <c r="L816" s="80"/>
    </row>
    <row r="817">
      <c r="L817" s="80"/>
    </row>
    <row r="818">
      <c r="L818" s="80"/>
    </row>
    <row r="819">
      <c r="L819" s="80"/>
    </row>
    <row r="820">
      <c r="L820" s="80"/>
    </row>
    <row r="821">
      <c r="L821" s="80"/>
    </row>
    <row r="822">
      <c r="L822" s="80"/>
    </row>
    <row r="823">
      <c r="L823" s="80"/>
    </row>
    <row r="824">
      <c r="L824" s="80"/>
    </row>
    <row r="825">
      <c r="L825" s="80"/>
    </row>
    <row r="826">
      <c r="L826" s="80"/>
    </row>
    <row r="827">
      <c r="L827" s="80"/>
    </row>
    <row r="828">
      <c r="L828" s="80"/>
    </row>
    <row r="829">
      <c r="L829" s="80"/>
    </row>
    <row r="830">
      <c r="L830" s="80"/>
    </row>
    <row r="831">
      <c r="L831" s="80"/>
    </row>
    <row r="832">
      <c r="L832" s="80"/>
    </row>
    <row r="833">
      <c r="L833" s="80"/>
    </row>
    <row r="834">
      <c r="L834" s="80"/>
    </row>
    <row r="835">
      <c r="L835" s="80"/>
    </row>
    <row r="836">
      <c r="L836" s="80"/>
    </row>
    <row r="837">
      <c r="L837" s="80"/>
    </row>
    <row r="838">
      <c r="L838" s="80"/>
    </row>
    <row r="839">
      <c r="L839" s="80"/>
    </row>
    <row r="840">
      <c r="L840" s="80"/>
    </row>
    <row r="841">
      <c r="L841" s="80"/>
    </row>
    <row r="842">
      <c r="L842" s="80"/>
    </row>
    <row r="843">
      <c r="L843" s="80"/>
    </row>
    <row r="844">
      <c r="L844" s="80"/>
    </row>
    <row r="845">
      <c r="L845" s="80"/>
    </row>
    <row r="846">
      <c r="L846" s="80"/>
    </row>
    <row r="847">
      <c r="L847" s="80"/>
    </row>
    <row r="848">
      <c r="L848" s="80"/>
    </row>
    <row r="849">
      <c r="L849" s="80"/>
    </row>
    <row r="850">
      <c r="L850" s="80"/>
    </row>
    <row r="851">
      <c r="L851" s="80"/>
    </row>
    <row r="852">
      <c r="L852" s="80"/>
    </row>
    <row r="853">
      <c r="L853" s="80"/>
    </row>
    <row r="854">
      <c r="L854" s="80"/>
    </row>
    <row r="855">
      <c r="L855" s="80"/>
    </row>
    <row r="856">
      <c r="L856" s="80"/>
    </row>
    <row r="857">
      <c r="L857" s="80"/>
    </row>
    <row r="858">
      <c r="L858" s="80"/>
    </row>
    <row r="859">
      <c r="L859" s="80"/>
    </row>
    <row r="860">
      <c r="L860" s="80"/>
    </row>
    <row r="861">
      <c r="L861" s="80"/>
    </row>
    <row r="862">
      <c r="L862" s="80"/>
    </row>
    <row r="863">
      <c r="L863" s="80"/>
    </row>
    <row r="864">
      <c r="L864" s="80"/>
    </row>
    <row r="865">
      <c r="L865" s="80"/>
    </row>
    <row r="866">
      <c r="L866" s="80"/>
    </row>
    <row r="867">
      <c r="L867" s="80"/>
    </row>
    <row r="868">
      <c r="L868" s="80"/>
    </row>
    <row r="869">
      <c r="L869" s="80"/>
    </row>
    <row r="870">
      <c r="L870" s="80"/>
    </row>
    <row r="871">
      <c r="L871" s="80"/>
    </row>
    <row r="872">
      <c r="L872" s="80"/>
    </row>
    <row r="873">
      <c r="L873" s="80"/>
    </row>
    <row r="874">
      <c r="L874" s="80"/>
    </row>
    <row r="875">
      <c r="L875" s="80"/>
    </row>
    <row r="876">
      <c r="L876" s="80"/>
    </row>
    <row r="877">
      <c r="L877" s="80"/>
    </row>
    <row r="878">
      <c r="L878" s="80"/>
    </row>
    <row r="879">
      <c r="L879" s="80"/>
    </row>
    <row r="880">
      <c r="L880" s="80"/>
    </row>
    <row r="881">
      <c r="L881" s="80"/>
    </row>
    <row r="882">
      <c r="L882" s="80"/>
    </row>
    <row r="883">
      <c r="L883" s="80"/>
    </row>
    <row r="884">
      <c r="L884" s="80"/>
    </row>
    <row r="885">
      <c r="L885" s="80"/>
    </row>
    <row r="886">
      <c r="L886" s="80"/>
    </row>
    <row r="887">
      <c r="L887" s="80"/>
    </row>
    <row r="888">
      <c r="L888" s="80"/>
    </row>
    <row r="889">
      <c r="L889" s="80"/>
    </row>
    <row r="890">
      <c r="L890" s="80"/>
    </row>
    <row r="891">
      <c r="L891" s="80"/>
    </row>
    <row r="892">
      <c r="L892" s="80"/>
    </row>
    <row r="893">
      <c r="L893" s="80"/>
    </row>
    <row r="894">
      <c r="L894" s="80"/>
    </row>
    <row r="895">
      <c r="L895" s="80"/>
    </row>
    <row r="896">
      <c r="L896" s="80"/>
    </row>
    <row r="897">
      <c r="L897" s="80"/>
    </row>
    <row r="898">
      <c r="L898" s="80"/>
    </row>
    <row r="899">
      <c r="L899" s="80"/>
    </row>
    <row r="900">
      <c r="L900" s="80"/>
    </row>
    <row r="901">
      <c r="L901" s="80"/>
    </row>
    <row r="902">
      <c r="L902" s="80"/>
    </row>
    <row r="903">
      <c r="L903" s="80"/>
    </row>
    <row r="904">
      <c r="L904" s="80"/>
    </row>
    <row r="905">
      <c r="L905" s="80"/>
    </row>
    <row r="906">
      <c r="L906" s="80"/>
    </row>
    <row r="907">
      <c r="L907" s="80"/>
    </row>
    <row r="908">
      <c r="L908" s="80"/>
    </row>
    <row r="909">
      <c r="L909" s="80"/>
    </row>
    <row r="910">
      <c r="L910" s="80"/>
    </row>
    <row r="911">
      <c r="L911" s="80"/>
    </row>
    <row r="912">
      <c r="L912" s="80"/>
    </row>
    <row r="913">
      <c r="L913" s="80"/>
    </row>
    <row r="914">
      <c r="L914" s="80"/>
    </row>
    <row r="915">
      <c r="L915" s="80"/>
    </row>
    <row r="916">
      <c r="L916" s="80"/>
    </row>
    <row r="917">
      <c r="L917" s="80"/>
    </row>
    <row r="918">
      <c r="L918" s="80"/>
    </row>
    <row r="919">
      <c r="L919" s="80"/>
    </row>
    <row r="920">
      <c r="L920" s="80"/>
    </row>
    <row r="921">
      <c r="L921" s="80"/>
    </row>
    <row r="922">
      <c r="L922" s="80"/>
    </row>
    <row r="923">
      <c r="L923" s="80"/>
    </row>
    <row r="924">
      <c r="L924" s="80"/>
    </row>
    <row r="925">
      <c r="L925" s="80"/>
    </row>
    <row r="926">
      <c r="L926" s="80"/>
    </row>
    <row r="927">
      <c r="L927" s="80"/>
    </row>
    <row r="928">
      <c r="L928" s="80"/>
    </row>
    <row r="929">
      <c r="L929" s="80"/>
    </row>
    <row r="930">
      <c r="L930" s="80"/>
    </row>
    <row r="931">
      <c r="L931" s="80"/>
    </row>
    <row r="932">
      <c r="L932" s="80"/>
    </row>
    <row r="933">
      <c r="L933" s="80"/>
    </row>
    <row r="934">
      <c r="L934" s="80"/>
    </row>
    <row r="935">
      <c r="L935" s="80"/>
    </row>
    <row r="936">
      <c r="L936" s="80"/>
    </row>
    <row r="937">
      <c r="L937" s="80"/>
    </row>
    <row r="938">
      <c r="L938" s="80"/>
    </row>
    <row r="939">
      <c r="L939" s="80"/>
    </row>
    <row r="940">
      <c r="L940" s="80"/>
    </row>
    <row r="941">
      <c r="L941" s="80"/>
    </row>
    <row r="942">
      <c r="L942" s="80"/>
    </row>
    <row r="943">
      <c r="L943" s="80"/>
    </row>
    <row r="944">
      <c r="L944" s="80"/>
    </row>
    <row r="945">
      <c r="L945" s="80"/>
    </row>
    <row r="946">
      <c r="L946" s="80"/>
    </row>
    <row r="947">
      <c r="L947" s="80"/>
    </row>
    <row r="948">
      <c r="L948" s="80"/>
    </row>
    <row r="949">
      <c r="L949" s="80"/>
    </row>
    <row r="950">
      <c r="L950" s="80"/>
    </row>
    <row r="951">
      <c r="L951" s="80"/>
    </row>
    <row r="952">
      <c r="L952" s="80"/>
    </row>
    <row r="953">
      <c r="L953" s="80"/>
    </row>
    <row r="954">
      <c r="L954" s="80"/>
    </row>
    <row r="955">
      <c r="L955" s="80"/>
    </row>
    <row r="956">
      <c r="L956" s="80"/>
    </row>
    <row r="957">
      <c r="L957" s="80"/>
    </row>
    <row r="958">
      <c r="L958" s="80"/>
    </row>
    <row r="959">
      <c r="L959" s="80"/>
    </row>
    <row r="960">
      <c r="L960" s="80"/>
    </row>
    <row r="961">
      <c r="L961" s="80"/>
    </row>
    <row r="962">
      <c r="L962" s="80"/>
    </row>
    <row r="963">
      <c r="L963" s="80"/>
    </row>
    <row r="964">
      <c r="L964" s="80"/>
    </row>
    <row r="965">
      <c r="L965" s="80"/>
    </row>
    <row r="966">
      <c r="L966" s="80"/>
    </row>
    <row r="967">
      <c r="L967" s="80"/>
    </row>
    <row r="968">
      <c r="L968" s="80"/>
    </row>
    <row r="969">
      <c r="L969" s="80"/>
    </row>
    <row r="970">
      <c r="L970" s="80"/>
    </row>
    <row r="971">
      <c r="L971" s="80"/>
    </row>
    <row r="972">
      <c r="L972" s="80"/>
    </row>
    <row r="973">
      <c r="L973" s="80"/>
    </row>
    <row r="974">
      <c r="L974" s="80"/>
    </row>
    <row r="975">
      <c r="L975" s="80"/>
    </row>
    <row r="976">
      <c r="L976" s="80"/>
    </row>
    <row r="977">
      <c r="L977" s="80"/>
    </row>
    <row r="978">
      <c r="L978" s="80"/>
    </row>
    <row r="979">
      <c r="L979" s="80"/>
    </row>
    <row r="980">
      <c r="L980" s="80"/>
    </row>
    <row r="981">
      <c r="L981" s="80"/>
    </row>
    <row r="982">
      <c r="L982" s="80"/>
    </row>
    <row r="983">
      <c r="L983" s="80"/>
    </row>
    <row r="984">
      <c r="L984" s="80"/>
    </row>
    <row r="985">
      <c r="L985" s="80"/>
    </row>
    <row r="986">
      <c r="L986" s="80"/>
    </row>
    <row r="987">
      <c r="L987" s="80"/>
    </row>
    <row r="988">
      <c r="L988" s="80"/>
    </row>
    <row r="989">
      <c r="L989" s="80"/>
    </row>
    <row r="990">
      <c r="L990" s="80"/>
    </row>
    <row r="991">
      <c r="L991" s="80"/>
    </row>
    <row r="992">
      <c r="L992" s="80"/>
    </row>
    <row r="993">
      <c r="L993" s="80"/>
    </row>
    <row r="994">
      <c r="L994" s="80"/>
    </row>
    <row r="995">
      <c r="L995" s="80"/>
    </row>
    <row r="996">
      <c r="L996" s="80"/>
    </row>
    <row r="997">
      <c r="L997" s="80"/>
    </row>
    <row r="998">
      <c r="L998" s="80"/>
    </row>
    <row r="999">
      <c r="L999" s="80"/>
    </row>
    <row r="1000">
      <c r="L1000" s="8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5"/>
    <col customWidth="1" min="4" max="4" width="25.5"/>
  </cols>
  <sheetData>
    <row r="1">
      <c r="A1" s="7" t="s">
        <v>819</v>
      </c>
      <c r="B1" s="7">
        <v>303.0</v>
      </c>
      <c r="C1" s="57" t="s">
        <v>825</v>
      </c>
      <c r="D1" s="12" t="s">
        <v>828</v>
      </c>
    </row>
    <row r="2">
      <c r="A2" s="7" t="s">
        <v>819</v>
      </c>
      <c r="B2" s="7">
        <v>33.0</v>
      </c>
      <c r="C2" s="57" t="s">
        <v>832</v>
      </c>
      <c r="D2" s="12" t="s">
        <v>833</v>
      </c>
    </row>
    <row r="3">
      <c r="A3" s="7" t="s">
        <v>819</v>
      </c>
      <c r="B3" s="7">
        <v>949.0</v>
      </c>
      <c r="C3" s="57" t="s">
        <v>836</v>
      </c>
      <c r="D3" s="12" t="s">
        <v>838</v>
      </c>
    </row>
    <row r="4">
      <c r="A4" s="7" t="s">
        <v>819</v>
      </c>
      <c r="B4" s="7">
        <v>730.0</v>
      </c>
      <c r="C4" s="57" t="s">
        <v>840</v>
      </c>
      <c r="D4" s="12" t="s">
        <v>841</v>
      </c>
    </row>
    <row r="5">
      <c r="A5" s="7" t="s">
        <v>819</v>
      </c>
      <c r="B5" s="7">
        <v>307.0</v>
      </c>
      <c r="C5" s="57" t="s">
        <v>844</v>
      </c>
      <c r="D5" s="12" t="s">
        <v>846</v>
      </c>
    </row>
    <row r="6">
      <c r="A6" s="7" t="s">
        <v>819</v>
      </c>
      <c r="B6" s="7">
        <v>1070.0</v>
      </c>
      <c r="C6" s="57" t="s">
        <v>849</v>
      </c>
      <c r="D6" s="12" t="s">
        <v>850</v>
      </c>
    </row>
    <row r="7">
      <c r="A7" s="7" t="s">
        <v>819</v>
      </c>
      <c r="B7" s="7">
        <v>60.0</v>
      </c>
      <c r="C7" s="57" t="s">
        <v>853</v>
      </c>
      <c r="D7" s="12" t="s">
        <v>854</v>
      </c>
    </row>
    <row r="8">
      <c r="A8" s="7" t="s">
        <v>819</v>
      </c>
      <c r="B8" s="7">
        <v>138.0</v>
      </c>
      <c r="C8" s="57" t="s">
        <v>857</v>
      </c>
      <c r="D8" s="12" t="s">
        <v>859</v>
      </c>
    </row>
    <row r="9">
      <c r="A9" s="7" t="s">
        <v>819</v>
      </c>
      <c r="B9" s="7">
        <v>161.0</v>
      </c>
      <c r="C9" s="57" t="s">
        <v>862</v>
      </c>
      <c r="D9" s="12" t="s">
        <v>863</v>
      </c>
    </row>
    <row r="10">
      <c r="A10" s="7" t="s">
        <v>819</v>
      </c>
      <c r="B10" s="7">
        <v>1065.0</v>
      </c>
      <c r="C10" s="57" t="s">
        <v>867</v>
      </c>
      <c r="D10" s="12" t="s">
        <v>868</v>
      </c>
    </row>
    <row r="11">
      <c r="A11" s="7" t="s">
        <v>819</v>
      </c>
      <c r="B11" s="7">
        <v>734.0</v>
      </c>
      <c r="C11" s="103" t="s">
        <v>871</v>
      </c>
      <c r="D11" s="12" t="s">
        <v>874</v>
      </c>
    </row>
    <row r="12">
      <c r="A12" s="7" t="s">
        <v>819</v>
      </c>
      <c r="B12" s="7">
        <v>762.0</v>
      </c>
      <c r="C12" s="103" t="s">
        <v>878</v>
      </c>
      <c r="D12" s="12" t="s">
        <v>879</v>
      </c>
    </row>
    <row r="13">
      <c r="A13" s="7" t="s">
        <v>819</v>
      </c>
      <c r="B13" s="7">
        <v>733.0</v>
      </c>
      <c r="C13" s="103" t="s">
        <v>883</v>
      </c>
      <c r="D13" s="12" t="s">
        <v>884</v>
      </c>
    </row>
    <row r="14">
      <c r="A14" s="7" t="s">
        <v>819</v>
      </c>
      <c r="B14" s="7">
        <v>143.0</v>
      </c>
      <c r="C14" s="103" t="s">
        <v>887</v>
      </c>
      <c r="D14" s="12" t="s">
        <v>888</v>
      </c>
    </row>
    <row r="15">
      <c r="A15" s="7" t="s">
        <v>819</v>
      </c>
      <c r="B15" s="7">
        <v>948.0</v>
      </c>
      <c r="C15" s="103" t="s">
        <v>892</v>
      </c>
      <c r="D15" s="104" t="s">
        <v>894</v>
      </c>
    </row>
    <row r="16">
      <c r="A16" s="7" t="s">
        <v>819</v>
      </c>
      <c r="B16" s="7">
        <v>732.0</v>
      </c>
      <c r="C16" s="57" t="s">
        <v>899</v>
      </c>
      <c r="D16" s="105">
        <v>4.0</v>
      </c>
    </row>
    <row r="17">
      <c r="A17" s="7" t="s">
        <v>819</v>
      </c>
      <c r="B17" s="7">
        <v>761.0</v>
      </c>
      <c r="C17" s="57" t="s">
        <v>904</v>
      </c>
      <c r="D17" s="105">
        <v>21047.0</v>
      </c>
    </row>
    <row r="18">
      <c r="A18" s="7" t="s">
        <v>819</v>
      </c>
      <c r="B18" s="7">
        <v>1067.0</v>
      </c>
      <c r="C18" s="57" t="s">
        <v>907</v>
      </c>
      <c r="D18" s="12"/>
    </row>
    <row r="19">
      <c r="A19" s="7" t="s">
        <v>819</v>
      </c>
      <c r="B19" s="106">
        <v>182.0</v>
      </c>
      <c r="C19" s="107" t="s">
        <v>912</v>
      </c>
      <c r="D19" s="104"/>
    </row>
    <row r="20">
      <c r="A20" s="7" t="s">
        <v>819</v>
      </c>
      <c r="B20" s="7">
        <v>950.0</v>
      </c>
      <c r="C20" s="57" t="s">
        <v>916</v>
      </c>
      <c r="D20" s="12"/>
    </row>
    <row r="21">
      <c r="A21" s="7" t="s">
        <v>819</v>
      </c>
      <c r="B21" s="106">
        <v>250.0</v>
      </c>
      <c r="C21" s="57" t="s">
        <v>919</v>
      </c>
      <c r="D21" s="12" t="s">
        <v>920</v>
      </c>
    </row>
    <row r="22">
      <c r="A22" s="7" t="s">
        <v>819</v>
      </c>
      <c r="B22" s="7">
        <v>243.0</v>
      </c>
      <c r="C22" s="57" t="s">
        <v>923</v>
      </c>
      <c r="D22" s="12" t="s">
        <v>924</v>
      </c>
    </row>
    <row r="23">
      <c r="A23" s="108" t="s">
        <v>819</v>
      </c>
      <c r="B23" s="108">
        <v>578.0</v>
      </c>
      <c r="C23" s="109" t="s">
        <v>929</v>
      </c>
      <c r="D23" s="110" t="s">
        <v>932</v>
      </c>
      <c r="E23" s="111"/>
      <c r="F23" s="111"/>
      <c r="G23" s="111"/>
      <c r="H23" s="111"/>
      <c r="I23" s="111"/>
      <c r="J23" s="111"/>
      <c r="K23" s="111"/>
      <c r="L23" s="111"/>
      <c r="M23" s="111"/>
      <c r="N23" s="111"/>
      <c r="O23" s="111"/>
      <c r="P23" s="111"/>
      <c r="Q23" s="111"/>
      <c r="R23" s="111"/>
      <c r="S23" s="111"/>
      <c r="T23" s="111"/>
      <c r="U23" s="111"/>
      <c r="V23" s="111"/>
      <c r="W23" s="111"/>
      <c r="X23" s="111"/>
      <c r="Y23" s="111"/>
      <c r="Z23" s="111"/>
    </row>
    <row r="24">
      <c r="A24" s="108" t="s">
        <v>819</v>
      </c>
      <c r="B24" s="108">
        <v>709.0</v>
      </c>
      <c r="C24" s="109" t="s">
        <v>940</v>
      </c>
      <c r="D24" s="110" t="s">
        <v>941</v>
      </c>
      <c r="E24" s="111"/>
      <c r="F24" s="111"/>
      <c r="G24" s="111"/>
      <c r="H24" s="111"/>
      <c r="I24" s="111"/>
      <c r="J24" s="111"/>
      <c r="K24" s="111"/>
      <c r="L24" s="111"/>
      <c r="M24" s="111"/>
      <c r="N24" s="111"/>
      <c r="O24" s="111"/>
      <c r="P24" s="111"/>
      <c r="Q24" s="111"/>
      <c r="R24" s="111"/>
      <c r="S24" s="111"/>
      <c r="T24" s="111"/>
      <c r="U24" s="111"/>
      <c r="V24" s="111"/>
      <c r="W24" s="111"/>
      <c r="X24" s="111"/>
      <c r="Y24" s="111"/>
      <c r="Z24" s="111"/>
    </row>
    <row r="25">
      <c r="A25" s="7" t="s">
        <v>819</v>
      </c>
      <c r="B25" s="7">
        <v>709.0</v>
      </c>
      <c r="C25" s="57" t="s">
        <v>947</v>
      </c>
      <c r="D25" s="12"/>
    </row>
    <row r="26">
      <c r="A26" s="7" t="s">
        <v>819</v>
      </c>
      <c r="B26" s="113">
        <v>1472.0</v>
      </c>
      <c r="C26" s="57" t="s">
        <v>955</v>
      </c>
      <c r="D26" s="105"/>
    </row>
    <row r="27">
      <c r="A27" s="7" t="s">
        <v>819</v>
      </c>
      <c r="B27" s="113">
        <v>1480.0</v>
      </c>
      <c r="C27" s="57" t="s">
        <v>959</v>
      </c>
      <c r="D27" s="105"/>
    </row>
    <row r="28">
      <c r="A28" s="7" t="s">
        <v>819</v>
      </c>
      <c r="B28" s="113">
        <v>1485.0</v>
      </c>
      <c r="C28" s="57" t="s">
        <v>964</v>
      </c>
      <c r="D28" s="105"/>
    </row>
    <row r="29">
      <c r="A29" s="7" t="s">
        <v>819</v>
      </c>
      <c r="B29" s="113">
        <v>1489.0</v>
      </c>
      <c r="C29" s="57" t="s">
        <v>968</v>
      </c>
      <c r="D29" s="105"/>
    </row>
    <row r="30">
      <c r="A30" s="7" t="s">
        <v>819</v>
      </c>
      <c r="B30" s="113">
        <v>1492.0</v>
      </c>
      <c r="C30" s="57" t="s">
        <v>972</v>
      </c>
      <c r="D30" s="105"/>
    </row>
    <row r="31">
      <c r="A31" s="7" t="s">
        <v>819</v>
      </c>
      <c r="B31" s="113">
        <v>1493.0</v>
      </c>
      <c r="C31" s="57" t="s">
        <v>975</v>
      </c>
      <c r="D31" s="105"/>
    </row>
    <row r="32">
      <c r="A32" s="7" t="s">
        <v>819</v>
      </c>
      <c r="B32" s="113">
        <v>1494.0</v>
      </c>
      <c r="C32" s="57" t="s">
        <v>979</v>
      </c>
      <c r="D32" s="105"/>
    </row>
    <row r="33">
      <c r="A33" s="7" t="s">
        <v>819</v>
      </c>
      <c r="B33" s="113">
        <v>1495.0</v>
      </c>
      <c r="C33" s="57" t="s">
        <v>982</v>
      </c>
      <c r="D33" s="105"/>
    </row>
    <row r="34">
      <c r="A34" s="7" t="s">
        <v>819</v>
      </c>
      <c r="B34" s="113">
        <v>1496.0</v>
      </c>
      <c r="C34" s="57" t="s">
        <v>985</v>
      </c>
      <c r="D34" s="105"/>
    </row>
    <row r="35">
      <c r="A35" s="7" t="s">
        <v>819</v>
      </c>
      <c r="B35" s="113">
        <v>1500.0</v>
      </c>
      <c r="C35" s="57" t="s">
        <v>972</v>
      </c>
      <c r="D35" s="105"/>
    </row>
    <row r="36">
      <c r="A36" s="7" t="s">
        <v>819</v>
      </c>
      <c r="B36" s="113">
        <v>1502.0</v>
      </c>
      <c r="C36" s="57" t="s">
        <v>992</v>
      </c>
      <c r="D36" s="105"/>
    </row>
    <row r="37">
      <c r="A37" s="7" t="s">
        <v>819</v>
      </c>
      <c r="B37" s="7">
        <v>1213.0</v>
      </c>
      <c r="C37" s="103" t="s">
        <v>996</v>
      </c>
      <c r="D37" s="114"/>
    </row>
  </sheetData>
  <dataValidations>
    <dataValidation type="list" allowBlank="1" showErrorMessage="1" sqref="A1:A37">
      <formula1>"Si,No"</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8" t="s">
        <v>812</v>
      </c>
      <c r="B1" s="99" t="s">
        <v>815</v>
      </c>
      <c r="C1" s="98" t="s">
        <v>816</v>
      </c>
    </row>
    <row r="2">
      <c r="A2" s="25" t="s">
        <v>817</v>
      </c>
      <c r="B2" s="100">
        <v>4519780.821917809</v>
      </c>
      <c r="C2" s="101">
        <v>6598.88</v>
      </c>
    </row>
    <row r="3">
      <c r="A3" s="25" t="s">
        <v>818</v>
      </c>
      <c r="B3" s="100">
        <v>1272486.301369863</v>
      </c>
      <c r="C3" s="101">
        <v>1857.83</v>
      </c>
    </row>
    <row r="4">
      <c r="A4" s="25" t="s">
        <v>821</v>
      </c>
      <c r="B4" s="100">
        <v>2.049931506849315E7</v>
      </c>
      <c r="C4" s="101">
        <v>29929.0</v>
      </c>
    </row>
    <row r="5">
      <c r="A5" s="25" t="s">
        <v>823</v>
      </c>
      <c r="B5" s="100">
        <v>1.0355479452054795E7</v>
      </c>
      <c r="C5" s="101">
        <v>15119.0</v>
      </c>
    </row>
    <row r="6">
      <c r="A6" s="25" t="s">
        <v>824</v>
      </c>
      <c r="B6" s="100">
        <v>2.372808219178082E7</v>
      </c>
      <c r="C6" s="101">
        <v>34643.0</v>
      </c>
    </row>
    <row r="7">
      <c r="A7" s="25" t="s">
        <v>826</v>
      </c>
      <c r="B7" s="100">
        <v>3.664383561643836E7</v>
      </c>
      <c r="C7" s="101">
        <v>53500.0</v>
      </c>
    </row>
    <row r="8">
      <c r="A8" s="25" t="s">
        <v>827</v>
      </c>
      <c r="B8" s="100">
        <v>2.8075342465753425E7</v>
      </c>
      <c r="C8" s="101">
        <v>40990.0</v>
      </c>
    </row>
    <row r="9">
      <c r="A9" s="25" t="s">
        <v>829</v>
      </c>
      <c r="B9" s="100">
        <v>1.1671089041095892E7</v>
      </c>
      <c r="C9" s="101">
        <v>17039.79</v>
      </c>
    </row>
    <row r="10">
      <c r="A10" s="25" t="s">
        <v>830</v>
      </c>
      <c r="B10" s="100">
        <v>1.0275958904109588E7</v>
      </c>
      <c r="C10" s="101">
        <v>15002.9</v>
      </c>
    </row>
    <row r="11">
      <c r="A11" s="25" t="s">
        <v>831</v>
      </c>
      <c r="B11" s="100">
        <v>1.1317123287671233E7</v>
      </c>
      <c r="C11" s="101">
        <v>16523.0</v>
      </c>
    </row>
    <row r="12">
      <c r="A12" s="25" t="s">
        <v>834</v>
      </c>
      <c r="B12" s="100">
        <v>8795397.260273973</v>
      </c>
      <c r="C12" s="101">
        <v>12841.28</v>
      </c>
    </row>
    <row r="13">
      <c r="A13" s="25" t="s">
        <v>835</v>
      </c>
      <c r="B13" s="100">
        <v>3602739.7260273974</v>
      </c>
      <c r="C13" s="101">
        <v>5260.0</v>
      </c>
    </row>
    <row r="14">
      <c r="A14" s="25" t="s">
        <v>837</v>
      </c>
      <c r="B14" s="100">
        <v>5479452.05479452</v>
      </c>
      <c r="C14" s="101">
        <v>8000.0</v>
      </c>
    </row>
    <row r="15">
      <c r="A15" s="25" t="s">
        <v>839</v>
      </c>
      <c r="B15" s="100">
        <v>3809363.01369863</v>
      </c>
      <c r="C15" s="101">
        <v>5561.67</v>
      </c>
    </row>
    <row r="16">
      <c r="A16" s="25" t="s">
        <v>842</v>
      </c>
      <c r="B16" s="100">
        <v>5479452.05479452</v>
      </c>
      <c r="C16" s="101">
        <v>8000.0</v>
      </c>
    </row>
    <row r="17">
      <c r="A17" s="25" t="s">
        <v>843</v>
      </c>
      <c r="B17" s="100">
        <v>4555479.452054795</v>
      </c>
      <c r="C17" s="101">
        <v>6651.0</v>
      </c>
    </row>
    <row r="18">
      <c r="A18" s="25" t="s">
        <v>845</v>
      </c>
      <c r="B18" s="100">
        <v>4555479.452054795</v>
      </c>
      <c r="C18" s="101">
        <v>6651.0</v>
      </c>
    </row>
    <row r="19">
      <c r="A19" s="25" t="s">
        <v>847</v>
      </c>
      <c r="B19" s="100">
        <v>4555479.452054795</v>
      </c>
      <c r="C19" s="101">
        <v>6651.0</v>
      </c>
    </row>
    <row r="20">
      <c r="A20" s="25" t="s">
        <v>848</v>
      </c>
      <c r="B20" s="100">
        <v>6039061.643835617</v>
      </c>
      <c r="C20" s="101">
        <v>8817.03</v>
      </c>
    </row>
    <row r="21">
      <c r="A21" s="25" t="s">
        <v>851</v>
      </c>
      <c r="B21" s="100">
        <v>1679136.98630137</v>
      </c>
      <c r="C21" s="101">
        <v>2451.54</v>
      </c>
    </row>
    <row r="22">
      <c r="A22" s="25" t="s">
        <v>852</v>
      </c>
      <c r="B22" s="100">
        <v>3478287.671232877</v>
      </c>
      <c r="C22" s="101">
        <v>5078.3</v>
      </c>
    </row>
    <row r="23">
      <c r="A23" s="25" t="s">
        <v>855</v>
      </c>
      <c r="B23" s="100">
        <v>3441712.328767123</v>
      </c>
      <c r="C23" s="101">
        <v>5024.9</v>
      </c>
    </row>
    <row r="24">
      <c r="A24" s="25" t="s">
        <v>856</v>
      </c>
      <c r="B24" s="100">
        <v>3270273.97260274</v>
      </c>
      <c r="C24" s="101">
        <v>4774.6</v>
      </c>
    </row>
    <row r="25">
      <c r="A25" s="25" t="s">
        <v>858</v>
      </c>
      <c r="B25" s="100">
        <v>7694116.438356164</v>
      </c>
      <c r="C25" s="101">
        <v>11233.41</v>
      </c>
    </row>
    <row r="26">
      <c r="A26" s="25" t="s">
        <v>860</v>
      </c>
      <c r="B26" s="100">
        <v>8258609.589041095</v>
      </c>
      <c r="C26" s="101">
        <v>12057.57</v>
      </c>
    </row>
    <row r="27">
      <c r="A27" s="25" t="s">
        <v>861</v>
      </c>
      <c r="B27" s="100">
        <v>8089410.958904111</v>
      </c>
      <c r="C27" s="101">
        <v>11810.54</v>
      </c>
    </row>
    <row r="28">
      <c r="A28" s="25" t="s">
        <v>864</v>
      </c>
      <c r="B28" s="100">
        <v>8903369.8630137</v>
      </c>
      <c r="C28" s="101">
        <v>12998.92</v>
      </c>
    </row>
    <row r="29">
      <c r="A29" s="25" t="s">
        <v>865</v>
      </c>
      <c r="B29" s="100">
        <v>1.7123287671232875E7</v>
      </c>
      <c r="C29" s="101">
        <v>25000.0</v>
      </c>
    </row>
    <row r="30">
      <c r="A30" s="25" t="s">
        <v>869</v>
      </c>
      <c r="B30" s="100">
        <v>6849315.06849315</v>
      </c>
      <c r="C30" s="101">
        <v>10000.0</v>
      </c>
    </row>
    <row r="31">
      <c r="A31" s="25" t="s">
        <v>870</v>
      </c>
      <c r="B31" s="100">
        <v>2.054794520547945E7</v>
      </c>
      <c r="C31" s="101">
        <v>30000.0</v>
      </c>
    </row>
    <row r="32">
      <c r="A32" s="25" t="s">
        <v>872</v>
      </c>
      <c r="B32" s="100">
        <v>1.36986301369863E7</v>
      </c>
      <c r="C32" s="101">
        <v>20000.0</v>
      </c>
    </row>
    <row r="33">
      <c r="A33" s="25" t="s">
        <v>873</v>
      </c>
      <c r="B33" s="100">
        <v>1.36986301369863E7</v>
      </c>
      <c r="C33" s="101">
        <v>20000.0</v>
      </c>
    </row>
    <row r="34">
      <c r="A34" s="25" t="s">
        <v>875</v>
      </c>
      <c r="B34" s="100">
        <v>4.10958904109589E7</v>
      </c>
      <c r="C34" s="101">
        <v>60000.0</v>
      </c>
    </row>
    <row r="35">
      <c r="A35" s="25" t="s">
        <v>877</v>
      </c>
      <c r="B35" s="100">
        <v>1.36986301369863E7</v>
      </c>
      <c r="C35" s="101">
        <v>20000.0</v>
      </c>
    </row>
    <row r="36">
      <c r="A36" s="25" t="s">
        <v>880</v>
      </c>
      <c r="B36" s="100">
        <v>1.0273972602739725E7</v>
      </c>
      <c r="C36" s="101">
        <v>15000.0</v>
      </c>
    </row>
    <row r="37">
      <c r="A37" s="25" t="s">
        <v>881</v>
      </c>
      <c r="B37" s="100">
        <v>1.0273972602739725E7</v>
      </c>
      <c r="C37" s="101">
        <v>15000.0</v>
      </c>
    </row>
    <row r="38">
      <c r="A38" s="25" t="s">
        <v>882</v>
      </c>
      <c r="B38" s="100">
        <v>958904.1095890411</v>
      </c>
      <c r="C38" s="101">
        <v>1400.0</v>
      </c>
    </row>
    <row r="39">
      <c r="A39" s="25" t="s">
        <v>885</v>
      </c>
      <c r="B39" s="100">
        <v>1369863.01369863</v>
      </c>
      <c r="C39" s="101">
        <v>2000.0</v>
      </c>
    </row>
    <row r="40">
      <c r="A40" s="25" t="s">
        <v>886</v>
      </c>
      <c r="B40" s="100">
        <v>547945.205479452</v>
      </c>
      <c r="C40" s="101">
        <v>800.0</v>
      </c>
    </row>
    <row r="41">
      <c r="A41" s="25" t="s">
        <v>889</v>
      </c>
      <c r="B41" s="100">
        <v>2.397260273972603E7</v>
      </c>
      <c r="C41" s="101">
        <v>35000.0</v>
      </c>
    </row>
    <row r="42">
      <c r="A42" s="25" t="s">
        <v>890</v>
      </c>
      <c r="B42" s="100">
        <v>1369863.01369863</v>
      </c>
      <c r="C42" s="101">
        <v>2000.0</v>
      </c>
    </row>
    <row r="43">
      <c r="A43" s="25" t="s">
        <v>893</v>
      </c>
      <c r="B43" s="100">
        <v>3.1952260273972604E7</v>
      </c>
      <c r="C43" s="101">
        <v>46650.3</v>
      </c>
    </row>
    <row r="44">
      <c r="A44" s="25" t="s">
        <v>895</v>
      </c>
      <c r="B44" s="100">
        <v>3.2534246575342465E7</v>
      </c>
      <c r="C44" s="101">
        <v>47500.0</v>
      </c>
    </row>
    <row r="45">
      <c r="A45" s="25" t="s">
        <v>896</v>
      </c>
      <c r="B45" s="100">
        <v>3.2534246575342465E7</v>
      </c>
      <c r="C45" s="101">
        <v>47500.0</v>
      </c>
    </row>
    <row r="46">
      <c r="A46" s="25" t="s">
        <v>897</v>
      </c>
      <c r="B46" s="100">
        <v>684931.506849315</v>
      </c>
      <c r="C46" s="101">
        <v>1000.0</v>
      </c>
    </row>
    <row r="47">
      <c r="A47" s="25" t="s">
        <v>898</v>
      </c>
      <c r="B47" s="100">
        <v>1369863.01369863</v>
      </c>
      <c r="C47" s="101">
        <v>2000.0</v>
      </c>
    </row>
    <row r="48">
      <c r="A48" s="25" t="s">
        <v>900</v>
      </c>
      <c r="B48" s="100">
        <v>1830821.9178082193</v>
      </c>
      <c r="C48" s="101">
        <v>2673.0</v>
      </c>
    </row>
    <row r="49">
      <c r="A49" s="25" t="s">
        <v>901</v>
      </c>
      <c r="B49" s="100">
        <v>1.3336301369863013E7</v>
      </c>
      <c r="C49" s="101">
        <v>19471.0</v>
      </c>
    </row>
    <row r="50">
      <c r="A50" s="25" t="s">
        <v>902</v>
      </c>
      <c r="B50" s="100">
        <v>8219178.082191782</v>
      </c>
      <c r="C50" s="101">
        <v>12000.0</v>
      </c>
    </row>
    <row r="51">
      <c r="A51" s="25" t="s">
        <v>903</v>
      </c>
      <c r="B51" s="100">
        <v>974315.0684931506</v>
      </c>
      <c r="C51" s="101">
        <v>1422.5</v>
      </c>
    </row>
    <row r="52">
      <c r="A52" s="25" t="s">
        <v>905</v>
      </c>
      <c r="B52" s="100">
        <v>2739726.02739726</v>
      </c>
      <c r="C52" s="101">
        <v>4000.0</v>
      </c>
    </row>
    <row r="53">
      <c r="A53" s="25" t="s">
        <v>906</v>
      </c>
      <c r="B53" s="100">
        <v>2054794.5205479455</v>
      </c>
      <c r="C53" s="101">
        <v>3000.0</v>
      </c>
    </row>
    <row r="54">
      <c r="A54" s="25" t="s">
        <v>908</v>
      </c>
      <c r="B54" s="100">
        <v>1.5753424657534247E7</v>
      </c>
      <c r="C54" s="101">
        <v>23000.0</v>
      </c>
    </row>
    <row r="55">
      <c r="A55" s="25" t="s">
        <v>909</v>
      </c>
      <c r="B55" s="100">
        <v>6.164383561643836E7</v>
      </c>
      <c r="C55" s="101">
        <v>90000.0</v>
      </c>
    </row>
    <row r="56">
      <c r="A56" s="25" t="s">
        <v>910</v>
      </c>
      <c r="B56" s="100">
        <v>2.059315068493151E7</v>
      </c>
      <c r="C56" s="101">
        <v>30066.0</v>
      </c>
    </row>
    <row r="57">
      <c r="A57" s="25" t="s">
        <v>911</v>
      </c>
      <c r="B57" s="100">
        <v>1.5753424657534247E7</v>
      </c>
      <c r="C57" s="101">
        <v>23000.0</v>
      </c>
    </row>
    <row r="58">
      <c r="A58" s="25" t="s">
        <v>913</v>
      </c>
      <c r="B58" s="100">
        <v>1.2637102739726027E7</v>
      </c>
      <c r="C58" s="101">
        <v>18450.17</v>
      </c>
    </row>
    <row r="59">
      <c r="A59" s="25" t="s">
        <v>914</v>
      </c>
      <c r="B59" s="100">
        <v>6535698.630136987</v>
      </c>
      <c r="C59" s="101">
        <v>9542.12</v>
      </c>
    </row>
    <row r="60">
      <c r="A60" s="25" t="s">
        <v>915</v>
      </c>
      <c r="B60" s="100">
        <v>1.2493150684931507E7</v>
      </c>
      <c r="C60" s="101">
        <v>18240.0</v>
      </c>
    </row>
    <row r="61">
      <c r="A61" s="25" t="s">
        <v>917</v>
      </c>
      <c r="B61" s="100">
        <v>380212.3287671233</v>
      </c>
      <c r="C61" s="101">
        <v>555.11</v>
      </c>
    </row>
    <row r="62">
      <c r="A62" s="25" t="s">
        <v>918</v>
      </c>
      <c r="B62" s="100">
        <v>1.900313698630137E7</v>
      </c>
      <c r="C62" s="101">
        <v>27744.58</v>
      </c>
    </row>
    <row r="63">
      <c r="A63" s="25" t="s">
        <v>921</v>
      </c>
      <c r="B63" s="100">
        <v>1.1192465753424658E7</v>
      </c>
      <c r="C63" s="101">
        <v>16341.0</v>
      </c>
    </row>
    <row r="64">
      <c r="A64" s="25" t="s">
        <v>922</v>
      </c>
      <c r="B64" s="100">
        <v>5410958.904109589</v>
      </c>
      <c r="C64" s="101">
        <v>7900.0</v>
      </c>
    </row>
    <row r="65">
      <c r="A65" s="25" t="s">
        <v>925</v>
      </c>
      <c r="B65" s="100">
        <v>861643.8356164383</v>
      </c>
      <c r="C65" s="101">
        <v>1258.0</v>
      </c>
    </row>
    <row r="66">
      <c r="A66" s="25" t="s">
        <v>926</v>
      </c>
      <c r="B66" s="100">
        <v>5.585269178082191E7</v>
      </c>
      <c r="C66" s="101">
        <v>81544.93</v>
      </c>
    </row>
    <row r="67">
      <c r="A67" s="25" t="s">
        <v>928</v>
      </c>
      <c r="B67" s="100">
        <v>7.783698630136986E7</v>
      </c>
      <c r="C67" s="101">
        <v>113642.0</v>
      </c>
    </row>
    <row r="68">
      <c r="A68" s="25" t="s">
        <v>930</v>
      </c>
      <c r="B68" s="100">
        <v>7.85019602739726E7</v>
      </c>
      <c r="C68" s="101">
        <v>114612.862</v>
      </c>
    </row>
    <row r="69">
      <c r="A69" s="25" t="s">
        <v>931</v>
      </c>
      <c r="B69" s="100">
        <v>7.639632602739726E7</v>
      </c>
      <c r="C69" s="101">
        <v>111538.636</v>
      </c>
    </row>
    <row r="70">
      <c r="A70" s="25" t="s">
        <v>933</v>
      </c>
      <c r="B70" s="100">
        <v>6841095.89041096</v>
      </c>
      <c r="C70" s="101">
        <v>9988.0</v>
      </c>
    </row>
    <row r="71">
      <c r="A71" s="25" t="s">
        <v>934</v>
      </c>
      <c r="B71" s="100">
        <v>5695205.479452055</v>
      </c>
      <c r="C71" s="101">
        <v>8315.0</v>
      </c>
    </row>
    <row r="72">
      <c r="A72" s="25" t="s">
        <v>935</v>
      </c>
      <c r="B72" s="100">
        <v>4152876.7123287665</v>
      </c>
      <c r="C72" s="101">
        <v>6063.2</v>
      </c>
    </row>
    <row r="73">
      <c r="A73" s="25" t="s">
        <v>936</v>
      </c>
      <c r="B73" s="100">
        <v>3926246.5753424657</v>
      </c>
      <c r="C73" s="101">
        <v>5732.32</v>
      </c>
    </row>
    <row r="74">
      <c r="A74" s="25" t="s">
        <v>937</v>
      </c>
      <c r="B74" s="100">
        <v>1989041.095890411</v>
      </c>
      <c r="C74" s="101">
        <v>2904.0</v>
      </c>
    </row>
    <row r="75">
      <c r="A75" s="25" t="s">
        <v>939</v>
      </c>
      <c r="B75" s="100">
        <v>1420958.9041095888</v>
      </c>
      <c r="C75" s="101">
        <v>2074.6</v>
      </c>
    </row>
    <row r="76">
      <c r="A76" s="25" t="s">
        <v>942</v>
      </c>
      <c r="B76" s="100">
        <v>813013.6986301369</v>
      </c>
      <c r="C76" s="101">
        <v>1187.0</v>
      </c>
    </row>
    <row r="77">
      <c r="A77" s="25" t="s">
        <v>943</v>
      </c>
      <c r="B77" s="100">
        <v>403232.87671232875</v>
      </c>
      <c r="C77" s="101">
        <v>588.72</v>
      </c>
    </row>
    <row r="78">
      <c r="A78" s="25" t="s">
        <v>944</v>
      </c>
      <c r="B78" s="100">
        <v>482191.7808219178</v>
      </c>
      <c r="C78" s="101">
        <v>704.0</v>
      </c>
    </row>
    <row r="79">
      <c r="A79" s="25" t="s">
        <v>945</v>
      </c>
      <c r="B79" s="100">
        <v>1643835.616438356</v>
      </c>
      <c r="C79" s="101">
        <v>2400.0</v>
      </c>
    </row>
    <row r="80">
      <c r="A80" s="25" t="s">
        <v>946</v>
      </c>
      <c r="B80" s="112" t="e">
        <v>#NUM!</v>
      </c>
      <c r="C80" s="25" t="s">
        <v>949</v>
      </c>
    </row>
    <row r="81">
      <c r="A81" s="25" t="s">
        <v>950</v>
      </c>
      <c r="B81" s="112" t="e">
        <v>#NUM!</v>
      </c>
      <c r="C81" s="25" t="s">
        <v>951</v>
      </c>
    </row>
    <row r="82">
      <c r="A82" s="25" t="s">
        <v>952</v>
      </c>
      <c r="B82" s="112" t="e">
        <v>#NUM!</v>
      </c>
      <c r="C82" s="25" t="s">
        <v>953</v>
      </c>
    </row>
    <row r="83">
      <c r="A83" s="25" t="s">
        <v>954</v>
      </c>
      <c r="B83" s="112" t="e">
        <v>#NUM!</v>
      </c>
      <c r="C83" s="25" t="s">
        <v>956</v>
      </c>
    </row>
    <row r="84">
      <c r="A84" s="25" t="s">
        <v>957</v>
      </c>
      <c r="B84" s="112" t="e">
        <v>#NUM!</v>
      </c>
      <c r="C84" s="25" t="s">
        <v>956</v>
      </c>
    </row>
    <row r="85">
      <c r="A85" s="25" t="s">
        <v>958</v>
      </c>
      <c r="B85" s="112" t="e">
        <v>#NUM!</v>
      </c>
      <c r="C85" s="25" t="s">
        <v>960</v>
      </c>
    </row>
    <row r="86">
      <c r="A86" s="25" t="s">
        <v>961</v>
      </c>
      <c r="B86" s="112" t="e">
        <v>#NUM!</v>
      </c>
      <c r="C86" s="25" t="s">
        <v>962</v>
      </c>
    </row>
    <row r="87">
      <c r="A87" s="25" t="s">
        <v>963</v>
      </c>
      <c r="B87" s="100">
        <v>1695205.4794520547</v>
      </c>
      <c r="C87" s="101">
        <v>2475.0</v>
      </c>
    </row>
    <row r="88">
      <c r="A88" s="25" t="s">
        <v>965</v>
      </c>
      <c r="B88" s="100">
        <v>1695205.4794520547</v>
      </c>
      <c r="C88" s="101">
        <v>2475.0</v>
      </c>
    </row>
    <row r="89">
      <c r="A89" s="25" t="s">
        <v>967</v>
      </c>
      <c r="B89" s="100">
        <v>1695205.4794520547</v>
      </c>
      <c r="C89" s="101">
        <v>2475.0</v>
      </c>
    </row>
    <row r="90">
      <c r="A90" s="25" t="s">
        <v>969</v>
      </c>
      <c r="B90" s="100">
        <v>1695205.4794520547</v>
      </c>
      <c r="C90" s="101">
        <v>2475.0</v>
      </c>
    </row>
    <row r="91">
      <c r="A91" s="25" t="s">
        <v>970</v>
      </c>
      <c r="B91" s="100">
        <v>6164383.561643835</v>
      </c>
      <c r="C91" s="101">
        <v>9000.0</v>
      </c>
    </row>
    <row r="92">
      <c r="A92" s="25" t="s">
        <v>971</v>
      </c>
      <c r="B92" s="100">
        <v>1.0394520547945205E7</v>
      </c>
      <c r="C92" s="101">
        <v>15176.0</v>
      </c>
    </row>
    <row r="93">
      <c r="A93" s="25" t="s">
        <v>973</v>
      </c>
      <c r="B93" s="100">
        <v>1506849.3150684931</v>
      </c>
      <c r="C93" s="101">
        <v>2200.0</v>
      </c>
    </row>
    <row r="94">
      <c r="A94" s="25" t="s">
        <v>974</v>
      </c>
      <c r="B94" s="100">
        <v>706684.9315068492</v>
      </c>
      <c r="C94" s="101">
        <v>1031.76</v>
      </c>
    </row>
    <row r="95">
      <c r="A95" s="25" t="s">
        <v>976</v>
      </c>
      <c r="B95" s="100">
        <v>273972.602739726</v>
      </c>
      <c r="C95" s="101">
        <v>400.0</v>
      </c>
    </row>
    <row r="96">
      <c r="A96" s="25" t="s">
        <v>977</v>
      </c>
      <c r="B96" s="100">
        <v>195890.4109589041</v>
      </c>
      <c r="C96" s="101">
        <v>286.0</v>
      </c>
    </row>
    <row r="97">
      <c r="A97" s="25" t="s">
        <v>978</v>
      </c>
      <c r="B97" s="100">
        <v>2169863.01369863</v>
      </c>
      <c r="C97" s="101">
        <v>3168.0</v>
      </c>
    </row>
    <row r="98">
      <c r="A98" s="25" t="s">
        <v>980</v>
      </c>
      <c r="B98" s="100">
        <v>4006849.315068493</v>
      </c>
      <c r="C98" s="101">
        <v>5850.0</v>
      </c>
    </row>
    <row r="99">
      <c r="A99" s="25" t="s">
        <v>981</v>
      </c>
      <c r="B99" s="100">
        <v>941780.8219178083</v>
      </c>
      <c r="C99" s="101">
        <v>1375.0</v>
      </c>
    </row>
    <row r="100">
      <c r="A100" s="25" t="s">
        <v>983</v>
      </c>
      <c r="B100" s="100">
        <v>1369863.01369863</v>
      </c>
      <c r="C100" s="101">
        <v>2000.0</v>
      </c>
    </row>
    <row r="101">
      <c r="A101" s="25" t="s">
        <v>984</v>
      </c>
      <c r="B101" s="100">
        <v>530136.9863013698</v>
      </c>
      <c r="C101" s="101">
        <v>774.0</v>
      </c>
    </row>
    <row r="102">
      <c r="A102" s="25" t="s">
        <v>986</v>
      </c>
      <c r="B102" s="100">
        <v>883561.6438356164</v>
      </c>
      <c r="C102" s="101">
        <v>1290.0</v>
      </c>
    </row>
    <row r="103">
      <c r="A103" s="25" t="s">
        <v>987</v>
      </c>
      <c r="B103" s="100">
        <v>345205.47945205483</v>
      </c>
      <c r="C103" s="101">
        <v>504.0</v>
      </c>
    </row>
    <row r="104">
      <c r="A104" s="25" t="s">
        <v>988</v>
      </c>
      <c r="B104" s="100">
        <v>1027397.2602739728</v>
      </c>
      <c r="C104" s="101">
        <v>1500.0</v>
      </c>
    </row>
    <row r="105">
      <c r="A105" s="25" t="s">
        <v>991</v>
      </c>
      <c r="B105" s="100">
        <v>441780.8219178082</v>
      </c>
      <c r="C105" s="101">
        <v>645.0</v>
      </c>
    </row>
    <row r="106">
      <c r="A106" s="25" t="s">
        <v>993</v>
      </c>
      <c r="B106" s="100">
        <v>410958.904109589</v>
      </c>
      <c r="C106" s="101">
        <v>600.0</v>
      </c>
    </row>
    <row r="107">
      <c r="A107" s="25" t="s">
        <v>994</v>
      </c>
      <c r="B107" s="100">
        <v>93150.68493150685</v>
      </c>
      <c r="C107" s="101">
        <v>136.0</v>
      </c>
    </row>
    <row r="108">
      <c r="A108" s="25" t="s">
        <v>995</v>
      </c>
      <c r="B108" s="100">
        <v>1225342.4657534247</v>
      </c>
      <c r="C108" s="101">
        <v>1789.0</v>
      </c>
    </row>
    <row r="109">
      <c r="A109" s="25" t="s">
        <v>997</v>
      </c>
      <c r="B109" s="100">
        <v>2112424.6575342463</v>
      </c>
      <c r="C109" s="101">
        <v>3084.14</v>
      </c>
    </row>
    <row r="110">
      <c r="A110" s="25" t="s">
        <v>998</v>
      </c>
      <c r="B110" s="100">
        <v>917808.2191780822</v>
      </c>
      <c r="C110" s="101">
        <v>1340.0</v>
      </c>
    </row>
    <row r="111">
      <c r="A111" s="25" t="s">
        <v>999</v>
      </c>
      <c r="B111" s="100">
        <v>2186890.4109589043</v>
      </c>
      <c r="C111" s="101">
        <v>3192.86</v>
      </c>
    </row>
    <row r="112">
      <c r="A112" s="25" t="s">
        <v>1000</v>
      </c>
      <c r="B112" s="100">
        <v>244308.2191780822</v>
      </c>
      <c r="C112" s="101">
        <v>356.69</v>
      </c>
    </row>
    <row r="113">
      <c r="A113" s="25" t="s">
        <v>1001</v>
      </c>
      <c r="B113" s="100">
        <v>1130136.98630137</v>
      </c>
      <c r="C113" s="101">
        <v>1650.0</v>
      </c>
    </row>
    <row r="114">
      <c r="A114" s="25" t="s">
        <v>1004</v>
      </c>
      <c r="B114" s="100">
        <v>8.19349315068493E7</v>
      </c>
      <c r="C114" s="101">
        <v>119625.0</v>
      </c>
    </row>
    <row r="115">
      <c r="A115" s="25" t="s">
        <v>1005</v>
      </c>
      <c r="B115" s="100">
        <v>1.4121643835616438E7</v>
      </c>
      <c r="C115" s="101">
        <v>20617.6</v>
      </c>
    </row>
    <row r="116">
      <c r="A116" s="25" t="s">
        <v>1006</v>
      </c>
      <c r="B116" s="100">
        <v>2004404.109589041</v>
      </c>
      <c r="C116" s="101">
        <v>2926.43</v>
      </c>
    </row>
    <row r="117">
      <c r="A117" s="25" t="s">
        <v>1007</v>
      </c>
      <c r="B117" s="100">
        <v>2115068.493150685</v>
      </c>
      <c r="C117" s="101">
        <v>3088.0</v>
      </c>
    </row>
    <row r="118">
      <c r="A118" s="25" t="s">
        <v>1008</v>
      </c>
      <c r="B118" s="100">
        <v>2036828.7671232878</v>
      </c>
      <c r="C118" s="101">
        <v>2973.77</v>
      </c>
    </row>
    <row r="119">
      <c r="A119" s="25" t="s">
        <v>1009</v>
      </c>
      <c r="B119" s="100">
        <v>888143.8356164384</v>
      </c>
      <c r="C119" s="101">
        <v>1296.69</v>
      </c>
    </row>
    <row r="120">
      <c r="A120" s="25" t="s">
        <v>1010</v>
      </c>
      <c r="B120" s="100">
        <v>937671.2328767122</v>
      </c>
      <c r="C120" s="101">
        <v>1369.0</v>
      </c>
    </row>
    <row r="121">
      <c r="A121" s="25" t="s">
        <v>1011</v>
      </c>
      <c r="B121" s="100">
        <v>1132410.9589041097</v>
      </c>
      <c r="C121" s="101">
        <v>1653.32</v>
      </c>
    </row>
    <row r="122">
      <c r="A122" s="25" t="s">
        <v>1012</v>
      </c>
      <c r="B122" s="100">
        <v>1152691.7808219178</v>
      </c>
      <c r="C122" s="101">
        <v>1682.93</v>
      </c>
    </row>
    <row r="123">
      <c r="A123" s="25" t="s">
        <v>1015</v>
      </c>
      <c r="B123" s="100">
        <v>990931.5068493151</v>
      </c>
      <c r="C123" s="101">
        <v>1446.76</v>
      </c>
    </row>
    <row r="124">
      <c r="A124" s="25" t="s">
        <v>1016</v>
      </c>
      <c r="B124" s="100">
        <v>1214753.424657534</v>
      </c>
      <c r="C124" s="101">
        <v>1773.54</v>
      </c>
    </row>
    <row r="125">
      <c r="A125" s="25" t="s">
        <v>1017</v>
      </c>
      <c r="B125" s="100">
        <v>5.544263698630137E7</v>
      </c>
      <c r="C125" s="101">
        <v>80946.25</v>
      </c>
    </row>
    <row r="126">
      <c r="A126" s="25" t="s">
        <v>1018</v>
      </c>
      <c r="B126" s="100">
        <v>3.955479452054794E7</v>
      </c>
      <c r="C126" s="101">
        <v>57750.0</v>
      </c>
    </row>
    <row r="127">
      <c r="A127" s="25" t="s">
        <v>1019</v>
      </c>
      <c r="B127" s="100">
        <v>6592465.7534246575</v>
      </c>
      <c r="C127" s="101">
        <v>9625.0</v>
      </c>
    </row>
    <row r="128">
      <c r="A128" s="25" t="s">
        <v>1020</v>
      </c>
      <c r="B128" s="100">
        <v>3767123.287671233</v>
      </c>
      <c r="C128" s="101">
        <v>5500.0</v>
      </c>
    </row>
    <row r="129">
      <c r="A129" s="25" t="s">
        <v>1021</v>
      </c>
      <c r="B129" s="100">
        <v>2354452.0547945206</v>
      </c>
      <c r="C129" s="101">
        <v>3437.5</v>
      </c>
    </row>
    <row r="130">
      <c r="A130" s="25" t="s">
        <v>1022</v>
      </c>
      <c r="B130" s="100">
        <v>753424.6575342466</v>
      </c>
      <c r="C130" s="101">
        <v>1100.0</v>
      </c>
    </row>
    <row r="131">
      <c r="A131" s="25" t="s">
        <v>1023</v>
      </c>
      <c r="B131" s="100">
        <v>1883561.6438356165</v>
      </c>
      <c r="C131" s="101">
        <v>2750.0</v>
      </c>
    </row>
    <row r="132">
      <c r="A132" s="25" t="s">
        <v>1024</v>
      </c>
      <c r="B132" s="100">
        <v>1883561.6438356165</v>
      </c>
      <c r="C132" s="101">
        <v>2750.0</v>
      </c>
    </row>
    <row r="133">
      <c r="A133" s="25" t="s">
        <v>1025</v>
      </c>
      <c r="B133" s="100">
        <v>941780.8219178083</v>
      </c>
      <c r="C133" s="101">
        <v>1375.0</v>
      </c>
    </row>
    <row r="134">
      <c r="A134" s="25" t="s">
        <v>1026</v>
      </c>
      <c r="B134" s="100">
        <v>941780.8219178083</v>
      </c>
      <c r="C134" s="101">
        <v>1375.0</v>
      </c>
    </row>
    <row r="135">
      <c r="A135" s="25" t="s">
        <v>1027</v>
      </c>
      <c r="B135" s="100">
        <v>941780.8219178083</v>
      </c>
      <c r="C135" s="101">
        <v>1375.0</v>
      </c>
    </row>
    <row r="136">
      <c r="A136" s="25" t="s">
        <v>1028</v>
      </c>
      <c r="B136" s="100">
        <v>941780.8219178083</v>
      </c>
      <c r="C136" s="101">
        <v>1375.0</v>
      </c>
    </row>
    <row r="137">
      <c r="A137" s="25" t="s">
        <v>1029</v>
      </c>
      <c r="B137" s="100">
        <v>753424.6575342466</v>
      </c>
      <c r="C137" s="101">
        <v>1100.0</v>
      </c>
    </row>
    <row r="138">
      <c r="A138" s="25" t="s">
        <v>1030</v>
      </c>
      <c r="B138" s="100">
        <v>753424.6575342466</v>
      </c>
      <c r="C138" s="101">
        <v>1100.0</v>
      </c>
    </row>
    <row r="139">
      <c r="A139" s="25" t="s">
        <v>1032</v>
      </c>
      <c r="B139" s="100">
        <v>470890.41095890413</v>
      </c>
      <c r="C139" s="101">
        <v>687.5</v>
      </c>
    </row>
    <row r="140">
      <c r="A140" s="25" t="s">
        <v>1033</v>
      </c>
      <c r="B140" s="100">
        <v>329623.2876712329</v>
      </c>
      <c r="C140" s="101">
        <v>481.25</v>
      </c>
    </row>
    <row r="141">
      <c r="A141" s="25" t="s">
        <v>1034</v>
      </c>
      <c r="B141" s="100">
        <v>1883561.6438356165</v>
      </c>
      <c r="C141" s="101">
        <v>2750.0</v>
      </c>
    </row>
    <row r="142">
      <c r="A142" s="25" t="s">
        <v>1035</v>
      </c>
      <c r="B142" s="100">
        <v>941780.8219178083</v>
      </c>
      <c r="C142" s="101">
        <v>1375.0</v>
      </c>
    </row>
    <row r="143">
      <c r="A143" s="25" t="s">
        <v>1036</v>
      </c>
      <c r="B143" s="100">
        <v>847602.7397260274</v>
      </c>
      <c r="C143" s="101">
        <v>1237.5</v>
      </c>
    </row>
    <row r="144">
      <c r="A144" s="25" t="s">
        <v>1037</v>
      </c>
      <c r="B144" s="100">
        <v>1412671.2328767125</v>
      </c>
      <c r="C144" s="101">
        <v>2062.5</v>
      </c>
    </row>
    <row r="145">
      <c r="A145" s="25" t="s">
        <v>1038</v>
      </c>
      <c r="B145" s="100">
        <v>6940924.657534246</v>
      </c>
      <c r="C145" s="101">
        <v>10133.75</v>
      </c>
    </row>
    <row r="146">
      <c r="A146" s="25" t="s">
        <v>1039</v>
      </c>
      <c r="B146" s="100">
        <v>3.296232876712329E7</v>
      </c>
      <c r="C146" s="101">
        <v>48125.0</v>
      </c>
    </row>
    <row r="147">
      <c r="A147" s="25" t="s">
        <v>1041</v>
      </c>
      <c r="B147" s="100">
        <v>1318493.1506849315</v>
      </c>
      <c r="C147" s="101">
        <v>1925.0</v>
      </c>
    </row>
    <row r="148">
      <c r="A148" s="25" t="s">
        <v>1042</v>
      </c>
      <c r="B148" s="100">
        <v>1111301.3698630137</v>
      </c>
      <c r="C148" s="101">
        <v>1622.5</v>
      </c>
    </row>
    <row r="149">
      <c r="A149" s="25" t="s">
        <v>1043</v>
      </c>
      <c r="B149" s="100">
        <v>565068.493150685</v>
      </c>
      <c r="C149" s="101">
        <v>825.0</v>
      </c>
    </row>
    <row r="150">
      <c r="A150" s="25" t="s">
        <v>1044</v>
      </c>
      <c r="B150" s="100">
        <v>2015410.9589041097</v>
      </c>
      <c r="C150" s="101">
        <v>2942.5</v>
      </c>
    </row>
    <row r="151">
      <c r="A151" s="25" t="s">
        <v>1045</v>
      </c>
      <c r="B151" s="100">
        <v>8476027.397260275</v>
      </c>
      <c r="C151" s="101">
        <v>12375.0</v>
      </c>
    </row>
    <row r="152">
      <c r="A152" s="25" t="s">
        <v>1046</v>
      </c>
      <c r="B152" s="100">
        <v>6592465.7534246575</v>
      </c>
      <c r="C152" s="101">
        <v>9625.0</v>
      </c>
    </row>
    <row r="153">
      <c r="A153" s="25" t="s">
        <v>1047</v>
      </c>
      <c r="B153" s="100">
        <v>7191780.821917808</v>
      </c>
      <c r="C153" s="101">
        <v>10500.0</v>
      </c>
    </row>
    <row r="154">
      <c r="A154" s="25" t="s">
        <v>1048</v>
      </c>
      <c r="B154" s="100">
        <v>3107876.712328767</v>
      </c>
      <c r="C154" s="101">
        <v>4537.5</v>
      </c>
    </row>
    <row r="155">
      <c r="A155" s="25" t="s">
        <v>1050</v>
      </c>
      <c r="B155" s="100">
        <v>2825342.465753425</v>
      </c>
      <c r="C155" s="101">
        <v>4125.0</v>
      </c>
    </row>
    <row r="156">
      <c r="A156" s="25" t="s">
        <v>1051</v>
      </c>
      <c r="B156" s="100">
        <v>2354452.0547945206</v>
      </c>
      <c r="C156" s="101">
        <v>3437.5</v>
      </c>
    </row>
    <row r="157">
      <c r="A157" s="25" t="s">
        <v>1052</v>
      </c>
      <c r="B157" s="100">
        <v>2354452.0547945206</v>
      </c>
      <c r="C157" s="101">
        <v>3437.5</v>
      </c>
    </row>
    <row r="158">
      <c r="A158" s="25" t="s">
        <v>1053</v>
      </c>
      <c r="B158" s="100">
        <v>1369863.01369863</v>
      </c>
      <c r="C158" s="101">
        <v>2000.0</v>
      </c>
    </row>
    <row r="159">
      <c r="A159" s="25" t="s">
        <v>1054</v>
      </c>
      <c r="B159" s="100">
        <v>941780.8219178083</v>
      </c>
      <c r="C159" s="101">
        <v>1375.0</v>
      </c>
    </row>
    <row r="160">
      <c r="A160" s="25" t="s">
        <v>1055</v>
      </c>
      <c r="B160" s="100">
        <v>753424.6575342466</v>
      </c>
      <c r="C160" s="101">
        <v>1100.0</v>
      </c>
    </row>
    <row r="161">
      <c r="A161" s="25" t="s">
        <v>1056</v>
      </c>
      <c r="B161" s="100">
        <v>6592465.7534246575</v>
      </c>
      <c r="C161" s="101">
        <v>9625.0</v>
      </c>
    </row>
    <row r="162">
      <c r="A162" s="25" t="s">
        <v>1057</v>
      </c>
      <c r="B162" s="100">
        <v>5650684.93150685</v>
      </c>
      <c r="C162" s="101">
        <v>8250.0</v>
      </c>
    </row>
    <row r="163">
      <c r="A163" s="25" t="s">
        <v>1059</v>
      </c>
      <c r="B163" s="100">
        <v>4708904.109589041</v>
      </c>
      <c r="C163" s="101">
        <v>6875.0</v>
      </c>
    </row>
    <row r="164">
      <c r="A164" s="25" t="s">
        <v>1060</v>
      </c>
      <c r="B164" s="100">
        <v>4680650.684931507</v>
      </c>
      <c r="C164" s="101">
        <v>6833.75</v>
      </c>
    </row>
    <row r="165">
      <c r="A165" s="25" t="s">
        <v>1061</v>
      </c>
      <c r="B165" s="100">
        <v>3767123.287671233</v>
      </c>
      <c r="C165" s="101">
        <v>5500.0</v>
      </c>
    </row>
    <row r="166">
      <c r="A166" s="25" t="s">
        <v>1062</v>
      </c>
      <c r="B166" s="100">
        <v>3767123.287671233</v>
      </c>
      <c r="C166" s="101">
        <v>5500.0</v>
      </c>
    </row>
    <row r="167">
      <c r="A167" s="25" t="s">
        <v>1063</v>
      </c>
      <c r="B167" s="100">
        <v>3767123.287671233</v>
      </c>
      <c r="C167" s="101">
        <v>5500.0</v>
      </c>
    </row>
    <row r="168">
      <c r="A168" s="25" t="s">
        <v>1064</v>
      </c>
      <c r="B168" s="100">
        <v>3296232.8767123288</v>
      </c>
      <c r="C168" s="101">
        <v>4812.5</v>
      </c>
    </row>
    <row r="169">
      <c r="A169" s="25" t="s">
        <v>1065</v>
      </c>
      <c r="B169" s="100">
        <v>3296232.8767123288</v>
      </c>
      <c r="C169" s="101">
        <v>4812.5</v>
      </c>
    </row>
    <row r="170">
      <c r="A170" s="25" t="s">
        <v>1067</v>
      </c>
      <c r="B170" s="100">
        <v>3296232.8767123288</v>
      </c>
      <c r="C170" s="101">
        <v>4812.5</v>
      </c>
    </row>
    <row r="171">
      <c r="A171" s="25" t="s">
        <v>1068</v>
      </c>
      <c r="B171" s="100">
        <v>3296232.8767123288</v>
      </c>
      <c r="C171" s="101">
        <v>4812.5</v>
      </c>
    </row>
    <row r="172">
      <c r="A172" s="25" t="s">
        <v>1069</v>
      </c>
      <c r="B172" s="100">
        <v>3060787.671232877</v>
      </c>
      <c r="C172" s="101">
        <v>4468.75</v>
      </c>
    </row>
    <row r="173">
      <c r="A173" s="25" t="s">
        <v>1070</v>
      </c>
      <c r="B173" s="100">
        <v>2825342.465753425</v>
      </c>
      <c r="C173" s="101">
        <v>4125.0</v>
      </c>
    </row>
    <row r="174">
      <c r="A174" s="25" t="s">
        <v>1071</v>
      </c>
      <c r="B174" s="100">
        <v>2825342.465753425</v>
      </c>
      <c r="C174" s="101">
        <v>4125.0</v>
      </c>
    </row>
    <row r="175">
      <c r="A175" s="25" t="s">
        <v>1072</v>
      </c>
      <c r="B175" s="100">
        <v>2354452.0547945206</v>
      </c>
      <c r="C175" s="101">
        <v>3437.5</v>
      </c>
    </row>
    <row r="176">
      <c r="A176" s="25" t="s">
        <v>1073</v>
      </c>
      <c r="B176" s="100">
        <v>2354452.0547945206</v>
      </c>
      <c r="C176" s="101">
        <v>3437.5</v>
      </c>
    </row>
    <row r="177">
      <c r="A177" s="25" t="s">
        <v>1074</v>
      </c>
      <c r="B177" s="100">
        <v>565068.493150685</v>
      </c>
      <c r="C177" s="101">
        <v>825.0</v>
      </c>
    </row>
    <row r="178">
      <c r="A178" s="25" t="s">
        <v>1076</v>
      </c>
      <c r="B178" s="100">
        <v>821917.808219178</v>
      </c>
      <c r="C178" s="101">
        <v>1200.0</v>
      </c>
    </row>
    <row r="179">
      <c r="A179" s="25" t="s">
        <v>1077</v>
      </c>
      <c r="B179" s="100">
        <v>979452.0547945206</v>
      </c>
      <c r="C179" s="101">
        <v>1430.0</v>
      </c>
    </row>
    <row r="180">
      <c r="A180" s="25" t="s">
        <v>1078</v>
      </c>
      <c r="B180" s="100">
        <v>941780.8219178083</v>
      </c>
      <c r="C180" s="101">
        <v>1375.0</v>
      </c>
    </row>
    <row r="181">
      <c r="A181" s="25" t="s">
        <v>1079</v>
      </c>
      <c r="B181" s="100">
        <v>2054794.5205479455</v>
      </c>
      <c r="C181" s="101">
        <v>3000.0</v>
      </c>
    </row>
    <row r="182">
      <c r="A182" s="25" t="s">
        <v>1080</v>
      </c>
      <c r="B182" s="100">
        <v>171232.87671232875</v>
      </c>
      <c r="C182" s="101">
        <v>250.0</v>
      </c>
    </row>
    <row r="183">
      <c r="A183" s="25" t="s">
        <v>1081</v>
      </c>
      <c r="B183" s="100">
        <v>2043835.616438356</v>
      </c>
      <c r="C183" s="101">
        <v>2984.0</v>
      </c>
    </row>
    <row r="184">
      <c r="A184" s="25" t="s">
        <v>1082</v>
      </c>
      <c r="B184" s="100">
        <v>1220547.9452054794</v>
      </c>
      <c r="C184" s="101">
        <v>1782.0</v>
      </c>
    </row>
    <row r="185">
      <c r="A185" s="25" t="s">
        <v>1083</v>
      </c>
      <c r="B185" s="100">
        <v>952054.794520548</v>
      </c>
      <c r="C185" s="101">
        <v>1390.0</v>
      </c>
    </row>
    <row r="186">
      <c r="A186" s="25" t="s">
        <v>1086</v>
      </c>
      <c r="B186" s="100">
        <v>473972.602739726</v>
      </c>
      <c r="C186" s="101">
        <v>692.0</v>
      </c>
    </row>
    <row r="187">
      <c r="A187" s="25" t="s">
        <v>1087</v>
      </c>
      <c r="B187" s="100">
        <v>794520.5479452055</v>
      </c>
      <c r="C187" s="101">
        <v>1160.0</v>
      </c>
    </row>
    <row r="188">
      <c r="A188" s="25" t="s">
        <v>1088</v>
      </c>
      <c r="B188" s="100">
        <v>543835.6164383562</v>
      </c>
      <c r="C188" s="101">
        <v>794.0</v>
      </c>
    </row>
    <row r="189">
      <c r="A189" s="25" t="s">
        <v>1090</v>
      </c>
      <c r="B189" s="100">
        <v>530136.9863013698</v>
      </c>
      <c r="C189" s="101">
        <v>774.0</v>
      </c>
    </row>
    <row r="190">
      <c r="A190" s="25" t="s">
        <v>1091</v>
      </c>
      <c r="B190" s="100">
        <v>1023287.6712328767</v>
      </c>
      <c r="C190" s="101">
        <v>1494.0</v>
      </c>
    </row>
    <row r="191">
      <c r="A191" s="25" t="s">
        <v>1092</v>
      </c>
      <c r="B191" s="100">
        <v>343150.68493150687</v>
      </c>
      <c r="C191" s="101">
        <v>501.0</v>
      </c>
    </row>
    <row r="192">
      <c r="A192" s="25" t="s">
        <v>1093</v>
      </c>
      <c r="B192" s="100">
        <v>1129452.0547945206</v>
      </c>
      <c r="C192" s="101">
        <v>1649.0</v>
      </c>
    </row>
    <row r="193">
      <c r="A193" s="25" t="s">
        <v>1094</v>
      </c>
      <c r="B193" s="100">
        <v>317808.21917808225</v>
      </c>
      <c r="C193" s="101">
        <v>464.0</v>
      </c>
    </row>
    <row r="194">
      <c r="A194" s="25" t="s">
        <v>1095</v>
      </c>
      <c r="B194" s="100">
        <v>1185616.4383561644</v>
      </c>
      <c r="C194" s="101">
        <v>1731.0</v>
      </c>
    </row>
    <row r="195">
      <c r="A195" s="25" t="s">
        <v>1096</v>
      </c>
      <c r="B195" s="100">
        <v>665753.4246575343</v>
      </c>
      <c r="C195" s="101">
        <v>972.0</v>
      </c>
    </row>
    <row r="196">
      <c r="A196" s="25" t="s">
        <v>1098</v>
      </c>
      <c r="B196" s="100">
        <v>329452.05479452055</v>
      </c>
      <c r="C196" s="101">
        <v>481.0</v>
      </c>
    </row>
    <row r="197">
      <c r="A197" s="25" t="s">
        <v>1099</v>
      </c>
      <c r="B197" s="100">
        <v>341095.8904109589</v>
      </c>
      <c r="C197" s="101">
        <v>498.0</v>
      </c>
    </row>
    <row r="198">
      <c r="A198" s="25" t="s">
        <v>1100</v>
      </c>
      <c r="B198" s="100">
        <v>506164.38356164383</v>
      </c>
      <c r="C198" s="101">
        <v>739.0</v>
      </c>
    </row>
    <row r="199">
      <c r="A199" s="25" t="s">
        <v>1101</v>
      </c>
      <c r="B199" s="100">
        <v>376712.3287671233</v>
      </c>
      <c r="C199" s="101">
        <v>550.0</v>
      </c>
    </row>
    <row r="200">
      <c r="A200" s="25" t="s">
        <v>1102</v>
      </c>
      <c r="B200" s="100">
        <v>996575.3424657534</v>
      </c>
      <c r="C200" s="101">
        <v>1455.0</v>
      </c>
    </row>
    <row r="201">
      <c r="A201" s="25" t="s">
        <v>1103</v>
      </c>
      <c r="B201" s="100">
        <v>1261986.301369863</v>
      </c>
      <c r="C201" s="101">
        <v>1842.5</v>
      </c>
    </row>
    <row r="202">
      <c r="A202" s="25" t="s">
        <v>1104</v>
      </c>
      <c r="B202" s="100">
        <v>719178.0821917808</v>
      </c>
      <c r="C202" s="101">
        <v>1050.0</v>
      </c>
    </row>
    <row r="203">
      <c r="A203" s="25" t="s">
        <v>1105</v>
      </c>
      <c r="B203" s="100">
        <v>421232.8767123288</v>
      </c>
      <c r="C203" s="101">
        <v>615.0</v>
      </c>
    </row>
    <row r="204">
      <c r="A204" s="25" t="s">
        <v>1107</v>
      </c>
      <c r="B204" s="100">
        <v>6094520.547945206</v>
      </c>
      <c r="C204" s="101">
        <v>8898.0</v>
      </c>
    </row>
    <row r="205">
      <c r="A205" s="25" t="s">
        <v>1108</v>
      </c>
      <c r="B205" s="100">
        <v>771917.8082191781</v>
      </c>
      <c r="C205" s="101">
        <v>1127.0</v>
      </c>
    </row>
    <row r="206">
      <c r="A206" s="25" t="s">
        <v>1109</v>
      </c>
      <c r="B206" s="100">
        <v>2856164.383561644</v>
      </c>
      <c r="C206" s="101">
        <v>4170.0</v>
      </c>
    </row>
    <row r="207">
      <c r="A207" s="25" t="s">
        <v>1110</v>
      </c>
      <c r="B207" s="100">
        <v>753424.6575342466</v>
      </c>
      <c r="C207" s="101">
        <v>1100.0</v>
      </c>
    </row>
    <row r="208">
      <c r="A208" s="25" t="s">
        <v>1111</v>
      </c>
      <c r="B208" s="100">
        <v>580136.9863013698</v>
      </c>
      <c r="C208" s="101">
        <v>847.0</v>
      </c>
    </row>
    <row r="209">
      <c r="A209" s="25" t="s">
        <v>1112</v>
      </c>
      <c r="B209" s="100">
        <v>626712.3287671233</v>
      </c>
      <c r="C209" s="101">
        <v>915.0</v>
      </c>
    </row>
    <row r="210">
      <c r="A210" s="25" t="s">
        <v>1113</v>
      </c>
      <c r="B210" s="100">
        <v>3773972.602739726</v>
      </c>
      <c r="C210" s="101">
        <v>5510.0</v>
      </c>
    </row>
    <row r="211">
      <c r="A211" s="25" t="s">
        <v>1114</v>
      </c>
      <c r="B211" s="100">
        <v>1251369.8630136987</v>
      </c>
      <c r="C211" s="101">
        <v>1827.0</v>
      </c>
    </row>
    <row r="212">
      <c r="A212" s="25" t="s">
        <v>1115</v>
      </c>
      <c r="B212" s="100">
        <v>1503424.6575342466</v>
      </c>
      <c r="C212" s="101">
        <v>2195.0</v>
      </c>
    </row>
    <row r="213">
      <c r="A213" s="25" t="s">
        <v>1116</v>
      </c>
      <c r="B213" s="100">
        <v>671917.8082191781</v>
      </c>
      <c r="C213" s="101">
        <v>981.0</v>
      </c>
    </row>
    <row r="214">
      <c r="A214" s="25" t="s">
        <v>1118</v>
      </c>
      <c r="B214" s="100">
        <v>6479452.05479452</v>
      </c>
      <c r="C214" s="101">
        <v>9460.0</v>
      </c>
    </row>
    <row r="215">
      <c r="A215" s="25" t="s">
        <v>1120</v>
      </c>
      <c r="B215" s="100">
        <v>7.163219178082192E7</v>
      </c>
      <c r="C215" s="101">
        <v>104583.0</v>
      </c>
    </row>
    <row r="216">
      <c r="A216" s="25" t="s">
        <v>1121</v>
      </c>
      <c r="B216" s="100">
        <v>4582191.7808219185</v>
      </c>
      <c r="C216" s="101">
        <v>6690.0</v>
      </c>
    </row>
    <row r="217">
      <c r="A217" s="25" t="s">
        <v>1122</v>
      </c>
      <c r="B217" s="100">
        <v>4582191.7808219185</v>
      </c>
      <c r="C217" s="101">
        <v>6690.0</v>
      </c>
    </row>
    <row r="218">
      <c r="A218" s="25" t="s">
        <v>1123</v>
      </c>
      <c r="B218" s="100">
        <v>1685616.4383561644</v>
      </c>
      <c r="C218" s="101">
        <v>2461.0</v>
      </c>
    </row>
    <row r="219">
      <c r="A219" s="25" t="s">
        <v>1125</v>
      </c>
      <c r="B219" s="100">
        <v>246575.3424657534</v>
      </c>
      <c r="C219" s="101">
        <v>360.0</v>
      </c>
    </row>
    <row r="220">
      <c r="A220" s="25" t="s">
        <v>1126</v>
      </c>
      <c r="B220" s="100">
        <v>1.0849315068493152E7</v>
      </c>
      <c r="C220" s="101">
        <v>15840.0</v>
      </c>
    </row>
    <row r="221">
      <c r="A221" s="25" t="s">
        <v>1127</v>
      </c>
      <c r="B221" s="100">
        <v>7956164.383561644</v>
      </c>
      <c r="C221" s="101">
        <v>11616.0</v>
      </c>
    </row>
    <row r="222">
      <c r="A222" s="25" t="s">
        <v>1128</v>
      </c>
      <c r="B222" s="100">
        <v>975342.4657534247</v>
      </c>
      <c r="C222" s="101">
        <v>1424.0</v>
      </c>
    </row>
    <row r="223">
      <c r="A223" s="25" t="s">
        <v>1129</v>
      </c>
      <c r="B223" s="100">
        <v>1232876.7123287672</v>
      </c>
      <c r="C223" s="101">
        <v>1800.0</v>
      </c>
    </row>
    <row r="224">
      <c r="A224" s="25" t="s">
        <v>1130</v>
      </c>
      <c r="B224" s="100">
        <v>684931.506849315</v>
      </c>
      <c r="C224" s="101">
        <v>1000.0</v>
      </c>
    </row>
    <row r="225">
      <c r="A225" s="25" t="s">
        <v>1133</v>
      </c>
      <c r="B225" s="100">
        <v>1369863.01369863</v>
      </c>
      <c r="C225" s="101">
        <v>2000.0</v>
      </c>
    </row>
    <row r="226">
      <c r="A226" s="25" t="s">
        <v>1134</v>
      </c>
      <c r="B226" s="100">
        <v>583561.6438356165</v>
      </c>
      <c r="C226" s="101">
        <v>852.0</v>
      </c>
    </row>
    <row r="227">
      <c r="A227" s="25" t="s">
        <v>1135</v>
      </c>
      <c r="B227" s="100">
        <v>1232876.7123287672</v>
      </c>
      <c r="C227" s="101">
        <v>1800.0</v>
      </c>
    </row>
    <row r="228">
      <c r="A228" s="25" t="s">
        <v>1136</v>
      </c>
      <c r="B228" s="100">
        <v>1349739.7260273972</v>
      </c>
      <c r="C228" s="101">
        <v>1970.62</v>
      </c>
    </row>
    <row r="229">
      <c r="A229" s="25" t="s">
        <v>1137</v>
      </c>
      <c r="B229" s="100">
        <v>3013698.6301369863</v>
      </c>
      <c r="C229" s="101">
        <v>4400.0</v>
      </c>
    </row>
    <row r="230">
      <c r="A230" s="25" t="s">
        <v>1139</v>
      </c>
      <c r="B230" s="100">
        <v>5136986.301369863</v>
      </c>
      <c r="C230" s="101">
        <v>7500.0</v>
      </c>
    </row>
    <row r="231">
      <c r="A231" s="25" t="s">
        <v>1140</v>
      </c>
      <c r="B231" s="100">
        <v>1506849.3150684931</v>
      </c>
      <c r="C231" s="101">
        <v>2200.0</v>
      </c>
    </row>
    <row r="232">
      <c r="A232" s="25" t="s">
        <v>1141</v>
      </c>
      <c r="B232" s="100">
        <v>1917808.2191780822</v>
      </c>
      <c r="C232" s="101">
        <v>2800.0</v>
      </c>
    </row>
    <row r="233">
      <c r="A233" s="25" t="s">
        <v>1142</v>
      </c>
      <c r="B233" s="100">
        <v>1.13013698630137E7</v>
      </c>
      <c r="C233" s="101">
        <v>16500.0</v>
      </c>
    </row>
    <row r="234">
      <c r="A234" s="25" t="s">
        <v>1143</v>
      </c>
      <c r="B234" s="100">
        <v>2456849.315068493</v>
      </c>
      <c r="C234" s="101">
        <v>3587.0</v>
      </c>
    </row>
    <row r="235">
      <c r="A235" s="25" t="s">
        <v>1146</v>
      </c>
      <c r="B235" s="100">
        <v>3326027.397260274</v>
      </c>
      <c r="C235" s="101">
        <v>4856.0</v>
      </c>
    </row>
    <row r="236">
      <c r="A236" s="25" t="s">
        <v>1147</v>
      </c>
      <c r="B236" s="100">
        <v>7957534.2465753425</v>
      </c>
      <c r="C236" s="101">
        <v>11618.0</v>
      </c>
    </row>
    <row r="237">
      <c r="A237" s="25" t="s">
        <v>1148</v>
      </c>
      <c r="B237" s="100">
        <v>2397260.2739726026</v>
      </c>
      <c r="C237" s="101">
        <v>3500.0</v>
      </c>
    </row>
    <row r="238">
      <c r="A238" s="25" t="s">
        <v>1149</v>
      </c>
      <c r="B238" s="100">
        <v>2717123.287671233</v>
      </c>
      <c r="C238" s="101">
        <v>3967.0</v>
      </c>
    </row>
    <row r="239">
      <c r="A239" s="25" t="s">
        <v>1151</v>
      </c>
      <c r="B239" s="100">
        <v>239726.02739726027</v>
      </c>
      <c r="C239" s="101">
        <v>350.0</v>
      </c>
    </row>
    <row r="240">
      <c r="A240" s="25" t="s">
        <v>1152</v>
      </c>
      <c r="B240" s="100">
        <v>2089041.0958904112</v>
      </c>
      <c r="C240" s="101">
        <v>3050.0</v>
      </c>
    </row>
    <row r="241">
      <c r="A241" s="25" t="s">
        <v>1153</v>
      </c>
      <c r="B241" s="100">
        <v>1769178.082191781</v>
      </c>
      <c r="C241" s="101">
        <v>2583.0</v>
      </c>
    </row>
    <row r="242">
      <c r="A242" s="25" t="s">
        <v>1154</v>
      </c>
      <c r="B242" s="100">
        <v>1667808.2191780822</v>
      </c>
      <c r="C242" s="101">
        <v>2435.0</v>
      </c>
    </row>
    <row r="243">
      <c r="A243" s="25" t="s">
        <v>1155</v>
      </c>
      <c r="B243" s="100">
        <v>4109589.041095891</v>
      </c>
      <c r="C243" s="101">
        <v>6000.0</v>
      </c>
    </row>
    <row r="244">
      <c r="A244" s="25" t="s">
        <v>1157</v>
      </c>
      <c r="B244" s="100">
        <v>684931.506849315</v>
      </c>
      <c r="C244" s="101">
        <v>1000.0</v>
      </c>
    </row>
    <row r="245">
      <c r="A245" s="25" t="s">
        <v>1159</v>
      </c>
      <c r="B245" s="100">
        <v>684931.506849315</v>
      </c>
      <c r="C245" s="101">
        <v>1000.0</v>
      </c>
    </row>
    <row r="246">
      <c r="A246" s="25" t="s">
        <v>1160</v>
      </c>
      <c r="B246" s="100">
        <v>1369863.01369863</v>
      </c>
      <c r="C246" s="101">
        <v>2000.0</v>
      </c>
    </row>
    <row r="247">
      <c r="A247" s="25" t="s">
        <v>1161</v>
      </c>
      <c r="B247" s="100">
        <v>1609589.0410958903</v>
      </c>
      <c r="C247" s="101">
        <v>2350.0</v>
      </c>
    </row>
    <row r="248">
      <c r="A248" s="25" t="s">
        <v>1162</v>
      </c>
      <c r="B248" s="100">
        <v>2671232.8767123288</v>
      </c>
      <c r="C248" s="101">
        <v>3900.0</v>
      </c>
    </row>
    <row r="249">
      <c r="A249" s="25" t="s">
        <v>1163</v>
      </c>
      <c r="B249" s="100">
        <v>1849315.0684931506</v>
      </c>
      <c r="C249" s="101">
        <v>2700.0</v>
      </c>
    </row>
    <row r="250">
      <c r="A250" s="25" t="s">
        <v>1165</v>
      </c>
      <c r="B250" s="100">
        <v>1369863.01369863</v>
      </c>
      <c r="C250" s="101">
        <v>2000.0</v>
      </c>
    </row>
    <row r="251">
      <c r="A251" s="25" t="s">
        <v>1166</v>
      </c>
      <c r="B251" s="100">
        <v>1027397.2602739728</v>
      </c>
      <c r="C251" s="101">
        <v>1500.0</v>
      </c>
    </row>
    <row r="252">
      <c r="A252" s="25" t="s">
        <v>1167</v>
      </c>
      <c r="B252" s="100">
        <v>821917.808219178</v>
      </c>
      <c r="C252" s="101">
        <v>1200.0</v>
      </c>
    </row>
    <row r="253">
      <c r="A253" s="25" t="s">
        <v>1168</v>
      </c>
      <c r="B253" s="100">
        <v>272602.7397260274</v>
      </c>
      <c r="C253" s="101">
        <v>398.0</v>
      </c>
    </row>
    <row r="254">
      <c r="A254" s="25" t="s">
        <v>1170</v>
      </c>
      <c r="B254" s="100">
        <v>3549534.2465753425</v>
      </c>
      <c r="C254" s="101">
        <v>5182.32</v>
      </c>
    </row>
    <row r="255">
      <c r="A255" s="25" t="s">
        <v>1171</v>
      </c>
      <c r="B255" s="100">
        <v>3588712.3287671236</v>
      </c>
      <c r="C255" s="101">
        <v>5239.52</v>
      </c>
    </row>
    <row r="256">
      <c r="A256" s="25" t="s">
        <v>1172</v>
      </c>
      <c r="B256" s="100">
        <v>1911890.410958904</v>
      </c>
      <c r="C256" s="101">
        <v>2791.36</v>
      </c>
    </row>
    <row r="257">
      <c r="A257" s="25" t="s">
        <v>1173</v>
      </c>
      <c r="B257" s="100">
        <v>1130136.98630137</v>
      </c>
      <c r="C257" s="101">
        <v>1650.0</v>
      </c>
    </row>
    <row r="258">
      <c r="A258" s="25" t="s">
        <v>1174</v>
      </c>
      <c r="B258" s="100">
        <v>329623.2876712329</v>
      </c>
      <c r="C258" s="101">
        <v>481.25</v>
      </c>
    </row>
    <row r="259">
      <c r="A259" s="25" t="s">
        <v>1175</v>
      </c>
      <c r="B259" s="100">
        <v>235445.20547945207</v>
      </c>
      <c r="C259" s="101">
        <v>343.75</v>
      </c>
    </row>
    <row r="260">
      <c r="A260" s="25" t="s">
        <v>1176</v>
      </c>
      <c r="B260" s="100">
        <v>1695205.4794520547</v>
      </c>
      <c r="C260" s="101">
        <v>2475.0</v>
      </c>
    </row>
    <row r="261">
      <c r="A261" s="25" t="s">
        <v>1177</v>
      </c>
      <c r="B261" s="100">
        <v>1695205.4794520547</v>
      </c>
      <c r="C261" s="101">
        <v>2475.0</v>
      </c>
    </row>
    <row r="262">
      <c r="A262" s="25" t="s">
        <v>1178</v>
      </c>
      <c r="B262" s="100">
        <v>1695205.4794520547</v>
      </c>
      <c r="C262" s="101">
        <v>2475.0</v>
      </c>
    </row>
    <row r="263">
      <c r="A263" s="25" t="s">
        <v>1179</v>
      </c>
      <c r="B263" s="100">
        <v>1695205.4794520547</v>
      </c>
      <c r="C263" s="101">
        <v>2475.0</v>
      </c>
    </row>
    <row r="264">
      <c r="A264" s="25" t="s">
        <v>1181</v>
      </c>
      <c r="B264" s="100">
        <v>1695205.4794520547</v>
      </c>
      <c r="C264" s="101">
        <v>2475.0</v>
      </c>
    </row>
    <row r="265">
      <c r="A265" s="25" t="s">
        <v>1182</v>
      </c>
      <c r="B265" s="100">
        <v>1695205.4794520547</v>
      </c>
      <c r="C265" s="101">
        <v>2475.0</v>
      </c>
    </row>
    <row r="266">
      <c r="A266" s="25" t="s">
        <v>1183</v>
      </c>
      <c r="B266" s="100">
        <v>2602739.7260273974</v>
      </c>
      <c r="C266" s="101">
        <v>3800.0</v>
      </c>
    </row>
    <row r="267">
      <c r="A267" s="25" t="s">
        <v>1184</v>
      </c>
      <c r="B267" s="100">
        <v>3287671.232876712</v>
      </c>
      <c r="C267" s="101">
        <v>4800.0</v>
      </c>
    </row>
    <row r="268">
      <c r="A268" s="25" t="s">
        <v>1185</v>
      </c>
      <c r="B268" s="100">
        <v>1095890.410958904</v>
      </c>
      <c r="C268" s="101">
        <v>1600.0</v>
      </c>
    </row>
    <row r="269">
      <c r="A269" s="25" t="s">
        <v>1186</v>
      </c>
      <c r="B269" s="100">
        <v>1027397.2602739728</v>
      </c>
      <c r="C269" s="101">
        <v>1500.0</v>
      </c>
    </row>
    <row r="270">
      <c r="A270" s="25" t="s">
        <v>1188</v>
      </c>
      <c r="B270" s="100">
        <v>1027397.2602739728</v>
      </c>
      <c r="C270" s="101">
        <v>1500.0</v>
      </c>
    </row>
    <row r="271">
      <c r="A271" s="25" t="s">
        <v>1189</v>
      </c>
      <c r="B271" s="100">
        <v>342465.7534246575</v>
      </c>
      <c r="C271" s="101">
        <v>500.0</v>
      </c>
    </row>
    <row r="272">
      <c r="A272" s="25" t="s">
        <v>1190</v>
      </c>
      <c r="B272" s="100">
        <v>342465.7534246575</v>
      </c>
      <c r="C272" s="101">
        <v>500.0</v>
      </c>
    </row>
    <row r="273">
      <c r="A273" s="25" t="s">
        <v>1191</v>
      </c>
      <c r="B273" s="100">
        <v>342465.7534246575</v>
      </c>
      <c r="C273" s="101">
        <v>500.0</v>
      </c>
    </row>
    <row r="274">
      <c r="A274" s="25" t="s">
        <v>1192</v>
      </c>
      <c r="B274" s="100">
        <v>2589041.095890411</v>
      </c>
      <c r="C274" s="101">
        <v>3780.0</v>
      </c>
    </row>
    <row r="275">
      <c r="A275" s="25" t="s">
        <v>1194</v>
      </c>
      <c r="B275" s="100">
        <v>513698.6301369864</v>
      </c>
      <c r="C275" s="101">
        <v>750.0</v>
      </c>
    </row>
    <row r="276">
      <c r="A276" s="25" t="s">
        <v>1195</v>
      </c>
      <c r="B276" s="100">
        <v>513698.6301369864</v>
      </c>
      <c r="C276" s="101">
        <v>750.0</v>
      </c>
    </row>
    <row r="277">
      <c r="A277" s="25" t="s">
        <v>1196</v>
      </c>
      <c r="B277" s="100">
        <v>273972.602739726</v>
      </c>
      <c r="C277" s="101">
        <v>400.0</v>
      </c>
    </row>
    <row r="278">
      <c r="A278" s="25" t="s">
        <v>1197</v>
      </c>
      <c r="B278" s="100">
        <v>342465.7534246575</v>
      </c>
      <c r="C278" s="101">
        <v>500.0</v>
      </c>
    </row>
    <row r="279">
      <c r="A279" s="25" t="s">
        <v>1198</v>
      </c>
      <c r="B279" s="100">
        <v>3082191.7808219176</v>
      </c>
      <c r="C279" s="101">
        <v>4500.0</v>
      </c>
    </row>
    <row r="280">
      <c r="A280" s="25" t="s">
        <v>1200</v>
      </c>
      <c r="B280" s="100">
        <v>2397260.2739726026</v>
      </c>
      <c r="C280" s="101">
        <v>3500.0</v>
      </c>
    </row>
    <row r="281">
      <c r="A281" s="25" t="s">
        <v>1201</v>
      </c>
      <c r="B281" s="100">
        <v>239726.02739726027</v>
      </c>
      <c r="C281" s="101">
        <v>350.0</v>
      </c>
    </row>
    <row r="282">
      <c r="A282" s="25" t="s">
        <v>1202</v>
      </c>
      <c r="B282" s="100">
        <v>3082191.7808219176</v>
      </c>
      <c r="C282" s="101">
        <v>4500.0</v>
      </c>
    </row>
    <row r="283">
      <c r="A283" s="25" t="s">
        <v>1203</v>
      </c>
      <c r="B283" s="100">
        <v>252458.90410958906</v>
      </c>
      <c r="C283" s="101">
        <v>368.59</v>
      </c>
    </row>
    <row r="284">
      <c r="A284" s="25" t="s">
        <v>1204</v>
      </c>
      <c r="B284" s="100">
        <v>1.0273972602739725E7</v>
      </c>
      <c r="C284" s="101">
        <v>15000.0</v>
      </c>
    </row>
    <row r="285">
      <c r="A285" s="25" t="s">
        <v>1206</v>
      </c>
      <c r="B285" s="100">
        <v>1.36986301369863E7</v>
      </c>
      <c r="C285" s="101">
        <v>20000.0</v>
      </c>
    </row>
    <row r="286">
      <c r="A286" s="25" t="s">
        <v>1207</v>
      </c>
      <c r="B286" s="100">
        <v>702993.1506849314</v>
      </c>
      <c r="C286" s="101">
        <v>1026.37</v>
      </c>
    </row>
    <row r="287">
      <c r="A287" s="25" t="s">
        <v>1208</v>
      </c>
      <c r="B287" s="100">
        <v>2941821.91780822</v>
      </c>
      <c r="C287" s="101">
        <v>4295.06</v>
      </c>
    </row>
    <row r="288">
      <c r="A288" s="25" t="s">
        <v>1209</v>
      </c>
      <c r="B288" s="100">
        <v>2366575.342465753</v>
      </c>
      <c r="C288" s="101">
        <v>3455.2</v>
      </c>
    </row>
    <row r="289">
      <c r="A289" s="25" t="s">
        <v>1211</v>
      </c>
      <c r="B289" s="100">
        <v>5877952.05479452</v>
      </c>
      <c r="C289" s="101">
        <v>8581.81</v>
      </c>
    </row>
    <row r="290">
      <c r="A290" s="25" t="s">
        <v>1213</v>
      </c>
      <c r="B290" s="100">
        <v>3276650.684931507</v>
      </c>
      <c r="C290" s="101">
        <v>4783.91</v>
      </c>
    </row>
    <row r="291">
      <c r="A291" s="25" t="s">
        <v>1214</v>
      </c>
      <c r="B291" s="100">
        <v>362975.34246575343</v>
      </c>
      <c r="C291" s="101">
        <v>529.944</v>
      </c>
    </row>
    <row r="292">
      <c r="A292" s="25" t="s">
        <v>1215</v>
      </c>
      <c r="B292" s="100">
        <v>331824.65753424657</v>
      </c>
      <c r="C292" s="101">
        <v>484.464</v>
      </c>
    </row>
    <row r="293">
      <c r="A293" s="25" t="s">
        <v>1216</v>
      </c>
      <c r="B293" s="100">
        <v>348476.7123287672</v>
      </c>
      <c r="C293" s="101">
        <v>508.776</v>
      </c>
    </row>
    <row r="294">
      <c r="A294" s="25" t="s">
        <v>1218</v>
      </c>
      <c r="B294" s="100">
        <v>407917.80821917806</v>
      </c>
      <c r="C294" s="101">
        <v>595.56</v>
      </c>
    </row>
    <row r="295">
      <c r="A295" s="25" t="s">
        <v>1219</v>
      </c>
      <c r="B295" s="100">
        <v>363682.1917808219</v>
      </c>
      <c r="C295" s="101">
        <v>530.976</v>
      </c>
    </row>
    <row r="296">
      <c r="A296" s="25" t="s">
        <v>1220</v>
      </c>
      <c r="B296" s="100">
        <v>241857.53424657532</v>
      </c>
      <c r="C296" s="101">
        <v>353.11199999999997</v>
      </c>
    </row>
    <row r="297">
      <c r="A297" s="25" t="s">
        <v>1221</v>
      </c>
      <c r="B297" s="100">
        <v>429583.56164383556</v>
      </c>
      <c r="C297" s="101">
        <v>627.1919999999999</v>
      </c>
    </row>
    <row r="298">
      <c r="A298" s="25" t="s">
        <v>1222</v>
      </c>
      <c r="B298" s="100">
        <v>332390.41095890413</v>
      </c>
      <c r="C298" s="101">
        <v>485.29</v>
      </c>
    </row>
    <row r="299">
      <c r="A299" s="25" t="s">
        <v>1223</v>
      </c>
      <c r="B299" s="100">
        <v>418750.68493150687</v>
      </c>
      <c r="C299" s="101">
        <v>611.376</v>
      </c>
    </row>
    <row r="300">
      <c r="A300" s="25" t="s">
        <v>1225</v>
      </c>
      <c r="B300" s="100">
        <v>306591.7808219178</v>
      </c>
      <c r="C300" s="101">
        <v>447.62399999999997</v>
      </c>
    </row>
    <row r="301">
      <c r="A301" s="25" t="s">
        <v>1226</v>
      </c>
      <c r="B301" s="100">
        <v>403635.61643835617</v>
      </c>
      <c r="C301" s="101">
        <v>589.308</v>
      </c>
    </row>
    <row r="302">
      <c r="A302" s="25" t="s">
        <v>1227</v>
      </c>
      <c r="B302" s="100">
        <v>296893.1506849315</v>
      </c>
      <c r="C302" s="101">
        <v>433.464</v>
      </c>
    </row>
    <row r="303">
      <c r="A303" s="25" t="s">
        <v>1228</v>
      </c>
      <c r="B303" s="100">
        <v>297098.63013698626</v>
      </c>
      <c r="C303" s="101">
        <v>433.764</v>
      </c>
    </row>
    <row r="304">
      <c r="A304" s="25" t="s">
        <v>1229</v>
      </c>
      <c r="B304" s="100">
        <v>492794.5205479452</v>
      </c>
      <c r="C304" s="101">
        <v>719.48</v>
      </c>
    </row>
    <row r="305">
      <c r="A305" s="25" t="s">
        <v>1230</v>
      </c>
      <c r="B305" s="100">
        <v>108958.90410958906</v>
      </c>
      <c r="C305" s="101">
        <v>159.08</v>
      </c>
    </row>
    <row r="306">
      <c r="A306" s="25" t="s">
        <v>1231</v>
      </c>
      <c r="B306" s="100">
        <v>4.545730136986302E7</v>
      </c>
      <c r="C306" s="101">
        <v>66367.66</v>
      </c>
    </row>
    <row r="307">
      <c r="A307" s="25" t="s">
        <v>1232</v>
      </c>
      <c r="B307" s="100">
        <v>6637376.712328767</v>
      </c>
      <c r="C307" s="101">
        <v>9690.57</v>
      </c>
    </row>
    <row r="308">
      <c r="A308" s="25" t="s">
        <v>1235</v>
      </c>
      <c r="B308" s="100">
        <v>1.4349767123287672E7</v>
      </c>
      <c r="C308" s="101">
        <v>20950.66</v>
      </c>
    </row>
    <row r="309">
      <c r="A309" s="25" t="s">
        <v>1236</v>
      </c>
      <c r="B309" s="100">
        <v>1.585881506849315E7</v>
      </c>
      <c r="C309" s="101">
        <v>23153.87</v>
      </c>
    </row>
    <row r="310">
      <c r="A310" s="25" t="s">
        <v>1237</v>
      </c>
      <c r="B310" s="100">
        <v>1969260.2739726026</v>
      </c>
      <c r="C310" s="101">
        <v>2875.12</v>
      </c>
    </row>
    <row r="311">
      <c r="A311" s="25" t="s">
        <v>1238</v>
      </c>
      <c r="B311" s="100">
        <v>2296000.0</v>
      </c>
      <c r="C311" s="101">
        <v>3352.16</v>
      </c>
    </row>
    <row r="312">
      <c r="A312" s="25" t="s">
        <v>1239</v>
      </c>
      <c r="B312" s="100">
        <v>2364958.9041095893</v>
      </c>
      <c r="C312" s="101">
        <v>3452.84</v>
      </c>
    </row>
    <row r="313">
      <c r="A313" s="25" t="s">
        <v>1241</v>
      </c>
      <c r="B313" s="100">
        <v>1681321.9178082193</v>
      </c>
      <c r="C313" s="101">
        <v>2454.73</v>
      </c>
    </row>
    <row r="314">
      <c r="A314" s="25" t="s">
        <v>1242</v>
      </c>
      <c r="B314" s="100">
        <v>1872356.1643835616</v>
      </c>
      <c r="C314" s="101">
        <v>2733.64</v>
      </c>
    </row>
    <row r="315">
      <c r="A315" s="25" t="s">
        <v>1243</v>
      </c>
      <c r="B315" s="100">
        <v>2015753.424657534</v>
      </c>
      <c r="C315" s="101">
        <v>2943.0</v>
      </c>
    </row>
    <row r="316">
      <c r="A316" s="25" t="s">
        <v>1244</v>
      </c>
      <c r="B316" s="100">
        <v>1818534.2465753425</v>
      </c>
      <c r="C316" s="101">
        <v>2655.06</v>
      </c>
    </row>
    <row r="317">
      <c r="A317" s="25" t="s">
        <v>1246</v>
      </c>
      <c r="B317" s="100">
        <v>1916431.506849315</v>
      </c>
      <c r="C317" s="101">
        <v>2797.99</v>
      </c>
    </row>
    <row r="318">
      <c r="A318" s="25" t="s">
        <v>1247</v>
      </c>
      <c r="B318" s="100">
        <v>808650.684931507</v>
      </c>
      <c r="C318" s="101">
        <v>1180.63</v>
      </c>
    </row>
    <row r="319">
      <c r="A319" s="25" t="s">
        <v>1248</v>
      </c>
      <c r="B319" s="100">
        <v>1589623.2876712328</v>
      </c>
      <c r="C319" s="101">
        <v>2320.85</v>
      </c>
    </row>
    <row r="320">
      <c r="A320" s="25" t="s">
        <v>1249</v>
      </c>
      <c r="B320" s="100">
        <v>1.36986301369863E7</v>
      </c>
      <c r="C320" s="101">
        <v>20000.0</v>
      </c>
    </row>
    <row r="321">
      <c r="A321" s="25" t="s">
        <v>1251</v>
      </c>
      <c r="B321" s="100">
        <v>1.36986301369863E7</v>
      </c>
      <c r="C321" s="101">
        <v>20000.0</v>
      </c>
    </row>
    <row r="322">
      <c r="A322" s="25" t="s">
        <v>1252</v>
      </c>
      <c r="B322" s="100">
        <v>1190136.9863013697</v>
      </c>
      <c r="C322" s="101">
        <v>1737.6</v>
      </c>
    </row>
    <row r="323">
      <c r="A323" s="25" t="s">
        <v>1253</v>
      </c>
      <c r="B323" s="100">
        <v>560000.0</v>
      </c>
      <c r="C323" s="101">
        <v>817.6</v>
      </c>
    </row>
    <row r="324">
      <c r="A324" s="25" t="s">
        <v>1254</v>
      </c>
      <c r="B324" s="100">
        <v>2602739.7260273974</v>
      </c>
      <c r="C324" s="101">
        <v>3800.0</v>
      </c>
    </row>
    <row r="325">
      <c r="A325" s="25" t="s">
        <v>1255</v>
      </c>
      <c r="B325" s="100">
        <v>2.534246575342466E7</v>
      </c>
      <c r="C325" s="101">
        <v>37000.0</v>
      </c>
    </row>
    <row r="326">
      <c r="A326" s="25" t="s">
        <v>1258</v>
      </c>
      <c r="B326" s="100">
        <v>2.73972602739726E7</v>
      </c>
      <c r="C326" s="101">
        <v>40000.0</v>
      </c>
    </row>
    <row r="327">
      <c r="A327" s="25" t="s">
        <v>1259</v>
      </c>
      <c r="B327" s="100">
        <v>4794520.547945205</v>
      </c>
      <c r="C327" s="101">
        <v>7000.0</v>
      </c>
    </row>
    <row r="328">
      <c r="A328" s="25" t="s">
        <v>1260</v>
      </c>
      <c r="B328" s="100">
        <v>1448027.397260274</v>
      </c>
      <c r="C328" s="101">
        <v>2114.12</v>
      </c>
    </row>
    <row r="329">
      <c r="A329" s="25" t="s">
        <v>1261</v>
      </c>
      <c r="B329" s="100">
        <v>1712328.7671232875</v>
      </c>
      <c r="C329" s="101">
        <v>2500.0</v>
      </c>
    </row>
    <row r="330">
      <c r="A330" s="25" t="s">
        <v>1262</v>
      </c>
      <c r="B330" s="100">
        <v>2397260.2739726026</v>
      </c>
      <c r="C330" s="101">
        <v>3500.0</v>
      </c>
    </row>
    <row r="331">
      <c r="A331" s="25" t="s">
        <v>1264</v>
      </c>
      <c r="B331" s="100">
        <v>1.0273972602739725E7</v>
      </c>
      <c r="C331" s="101">
        <v>15000.0</v>
      </c>
    </row>
    <row r="332">
      <c r="A332" s="25" t="s">
        <v>1265</v>
      </c>
      <c r="B332" s="100">
        <v>2397260.2739726026</v>
      </c>
      <c r="C332" s="101">
        <v>3500.0</v>
      </c>
    </row>
    <row r="333">
      <c r="A333" s="25" t="s">
        <v>1266</v>
      </c>
      <c r="B333" s="100">
        <v>1095890.410958904</v>
      </c>
      <c r="C333" s="101">
        <v>1600.0</v>
      </c>
    </row>
    <row r="334">
      <c r="A334" s="25" t="s">
        <v>1267</v>
      </c>
      <c r="B334" s="100">
        <v>342465.7534246575</v>
      </c>
      <c r="C334" s="101">
        <v>500.0</v>
      </c>
    </row>
    <row r="335">
      <c r="A335" s="25" t="s">
        <v>1268</v>
      </c>
      <c r="B335" s="100">
        <v>4794520.547945205</v>
      </c>
      <c r="C335" s="101">
        <v>7000.0</v>
      </c>
    </row>
    <row r="336">
      <c r="A336" s="25" t="s">
        <v>1270</v>
      </c>
      <c r="B336" s="100">
        <v>1.0273972602739725E7</v>
      </c>
      <c r="C336" s="101">
        <v>15000.0</v>
      </c>
    </row>
    <row r="337">
      <c r="A337" s="25" t="s">
        <v>1271</v>
      </c>
      <c r="B337" s="100">
        <v>2065643.8356164384</v>
      </c>
      <c r="C337" s="101">
        <v>3015.84</v>
      </c>
    </row>
    <row r="338">
      <c r="A338" s="25" t="s">
        <v>1272</v>
      </c>
      <c r="B338" s="100">
        <v>342465.7534246575</v>
      </c>
      <c r="C338" s="101">
        <v>500.0</v>
      </c>
    </row>
    <row r="339">
      <c r="A339" s="25" t="s">
        <v>1273</v>
      </c>
      <c r="B339" s="100">
        <v>342465.7534246575</v>
      </c>
      <c r="C339" s="101">
        <v>500.0</v>
      </c>
    </row>
    <row r="340">
      <c r="A340" s="25" t="s">
        <v>1275</v>
      </c>
      <c r="B340" s="100">
        <v>1.7123287671232875E7</v>
      </c>
      <c r="C340" s="101">
        <v>25000.0</v>
      </c>
    </row>
    <row r="341">
      <c r="A341" s="25" t="s">
        <v>1276</v>
      </c>
      <c r="B341" s="100">
        <v>684931.506849315</v>
      </c>
      <c r="C341" s="101">
        <v>1000.0</v>
      </c>
    </row>
    <row r="342">
      <c r="A342" s="25" t="s">
        <v>1278</v>
      </c>
      <c r="B342" s="100">
        <v>1.6438356164383564E7</v>
      </c>
      <c r="C342" s="101">
        <v>24000.0</v>
      </c>
    </row>
    <row r="343">
      <c r="A343" s="25" t="s">
        <v>1279</v>
      </c>
      <c r="B343" s="100">
        <v>2.73972602739726E7</v>
      </c>
      <c r="C343" s="101">
        <v>40000.0</v>
      </c>
    </row>
    <row r="344">
      <c r="A344" s="25" t="s">
        <v>1280</v>
      </c>
      <c r="B344" s="100">
        <v>1027397.2602739728</v>
      </c>
      <c r="C344" s="101">
        <v>1500.0</v>
      </c>
    </row>
    <row r="345">
      <c r="A345" s="25" t="s">
        <v>1281</v>
      </c>
      <c r="B345" s="100">
        <v>1369863.01369863</v>
      </c>
      <c r="C345" s="101">
        <v>2000.0</v>
      </c>
    </row>
    <row r="346">
      <c r="A346" s="25" t="s">
        <v>1282</v>
      </c>
      <c r="B346" s="100">
        <v>1792678.0821917807</v>
      </c>
      <c r="C346" s="101">
        <v>2617.31</v>
      </c>
    </row>
    <row r="347">
      <c r="A347" s="25" t="s">
        <v>1283</v>
      </c>
      <c r="B347" s="100">
        <v>0.0</v>
      </c>
      <c r="C347" s="25"/>
    </row>
    <row r="348">
      <c r="A348" s="25" t="s">
        <v>1284</v>
      </c>
      <c r="B348" s="100">
        <v>0.0</v>
      </c>
      <c r="C348" s="25"/>
    </row>
    <row r="349">
      <c r="A349" s="25" t="s">
        <v>1286</v>
      </c>
      <c r="B349" s="100">
        <v>0.0</v>
      </c>
      <c r="C349" s="25"/>
    </row>
    <row r="350">
      <c r="A350" s="25" t="s">
        <v>1287</v>
      </c>
      <c r="B350" s="100">
        <v>2.3834931506849315E7</v>
      </c>
      <c r="C350" s="101">
        <v>34799.0</v>
      </c>
    </row>
    <row r="351">
      <c r="A351" s="25" t="s">
        <v>1288</v>
      </c>
      <c r="B351" s="100">
        <v>1350684.9315068491</v>
      </c>
      <c r="C351" s="101">
        <v>1972.0</v>
      </c>
    </row>
    <row r="352">
      <c r="A352" s="25" t="s">
        <v>1289</v>
      </c>
      <c r="B352" s="100">
        <v>4109589.041095891</v>
      </c>
      <c r="C352" s="101">
        <v>6000.0</v>
      </c>
    </row>
    <row r="353">
      <c r="A353" s="25" t="s">
        <v>1292</v>
      </c>
      <c r="B353" s="100">
        <v>1350684.9315068491</v>
      </c>
      <c r="C353" s="101">
        <v>1972.0</v>
      </c>
    </row>
    <row r="354">
      <c r="A354" s="25" t="s">
        <v>1295</v>
      </c>
      <c r="B354" s="100">
        <v>1350684.9315068491</v>
      </c>
      <c r="C354" s="101">
        <v>1972.0</v>
      </c>
    </row>
    <row r="355">
      <c r="A355" s="25" t="s">
        <v>1296</v>
      </c>
      <c r="B355" s="100">
        <v>1350684.9315068491</v>
      </c>
      <c r="C355" s="101">
        <v>1972.0</v>
      </c>
    </row>
    <row r="356">
      <c r="A356" s="25" t="s">
        <v>1297</v>
      </c>
      <c r="B356" s="100">
        <v>2095890.410958904</v>
      </c>
      <c r="C356" s="101">
        <v>3060.0</v>
      </c>
    </row>
    <row r="357">
      <c r="A357" s="25" t="s">
        <v>1298</v>
      </c>
      <c r="B357" s="100">
        <v>1.1643835616438355E7</v>
      </c>
      <c r="C357" s="101">
        <v>17000.0</v>
      </c>
    </row>
    <row r="358">
      <c r="A358" s="25" t="s">
        <v>1299</v>
      </c>
      <c r="B358" s="100">
        <v>1232876.7123287672</v>
      </c>
      <c r="C358" s="101">
        <v>1800.0</v>
      </c>
    </row>
    <row r="359">
      <c r="A359" s="25" t="s">
        <v>1302</v>
      </c>
      <c r="B359" s="100">
        <v>1035616.4383561644</v>
      </c>
      <c r="C359" s="101">
        <v>1512.0</v>
      </c>
    </row>
    <row r="360">
      <c r="A360" s="25" t="s">
        <v>1303</v>
      </c>
      <c r="B360" s="100">
        <v>1419178.0821917807</v>
      </c>
      <c r="C360" s="101">
        <v>2072.0</v>
      </c>
    </row>
    <row r="361">
      <c r="A361" s="25" t="s">
        <v>1304</v>
      </c>
      <c r="B361" s="100">
        <v>728767.1232876712</v>
      </c>
      <c r="C361" s="101">
        <v>1064.0</v>
      </c>
    </row>
    <row r="362">
      <c r="A362" s="25" t="s">
        <v>1305</v>
      </c>
      <c r="B362" s="100">
        <v>2265890.410958904</v>
      </c>
      <c r="C362" s="101">
        <v>3308.2</v>
      </c>
    </row>
    <row r="363">
      <c r="A363" s="25" t="s">
        <v>1307</v>
      </c>
      <c r="B363" s="100">
        <v>671232.8767123288</v>
      </c>
      <c r="C363" s="101">
        <v>980.0</v>
      </c>
    </row>
    <row r="364">
      <c r="A364" s="25" t="s">
        <v>1309</v>
      </c>
      <c r="B364" s="100">
        <v>1917808.2191780822</v>
      </c>
      <c r="C364" s="101">
        <v>2800.0</v>
      </c>
    </row>
    <row r="365">
      <c r="A365" s="25" t="s">
        <v>1310</v>
      </c>
      <c r="B365" s="100">
        <v>2095890.410958904</v>
      </c>
      <c r="C365" s="101">
        <v>3060.0</v>
      </c>
    </row>
    <row r="366">
      <c r="A366" s="25" t="s">
        <v>1311</v>
      </c>
      <c r="B366" s="100">
        <v>4482876.7123287665</v>
      </c>
      <c r="C366" s="101">
        <v>6545.0</v>
      </c>
    </row>
    <row r="367">
      <c r="A367" s="25" t="s">
        <v>1312</v>
      </c>
      <c r="B367" s="100">
        <v>2739726.02739726</v>
      </c>
      <c r="C367" s="101">
        <v>4000.0</v>
      </c>
    </row>
    <row r="368">
      <c r="A368" s="25" t="s">
        <v>1314</v>
      </c>
      <c r="B368" s="100">
        <v>2739726.02739726</v>
      </c>
      <c r="C368" s="101">
        <v>4000.0</v>
      </c>
    </row>
    <row r="369">
      <c r="A369" s="25" t="s">
        <v>1315</v>
      </c>
      <c r="B369" s="100">
        <v>2397260.2739726026</v>
      </c>
      <c r="C369" s="101">
        <v>3500.0</v>
      </c>
    </row>
    <row r="370">
      <c r="A370" s="25" t="s">
        <v>1316</v>
      </c>
      <c r="B370" s="100">
        <v>1917808.2191780822</v>
      </c>
      <c r="C370" s="101">
        <v>2800.0</v>
      </c>
    </row>
    <row r="371">
      <c r="A371" s="25" t="s">
        <v>1317</v>
      </c>
      <c r="B371" s="100">
        <v>0.0</v>
      </c>
      <c r="C371" s="25"/>
    </row>
    <row r="372">
      <c r="A372" s="25" t="s">
        <v>1318</v>
      </c>
      <c r="B372" s="100">
        <v>0.0</v>
      </c>
      <c r="C372" s="25"/>
    </row>
    <row r="373">
      <c r="A373" s="25" t="s">
        <v>1320</v>
      </c>
      <c r="B373" s="100">
        <v>1695205.4794520547</v>
      </c>
      <c r="C373" s="101">
        <v>2475.0</v>
      </c>
    </row>
    <row r="374">
      <c r="A374" s="25" t="s">
        <v>1321</v>
      </c>
      <c r="B374" s="100">
        <v>1.2637102739726027E7</v>
      </c>
      <c r="C374" s="101">
        <v>18450.17</v>
      </c>
    </row>
    <row r="375">
      <c r="A375" s="25" t="s">
        <v>1322</v>
      </c>
      <c r="B375" s="100">
        <v>7781458.90410959</v>
      </c>
      <c r="C375" s="101">
        <v>11360.93</v>
      </c>
    </row>
    <row r="376">
      <c r="A376" s="25" t="s">
        <v>1323</v>
      </c>
      <c r="B376" s="100">
        <v>5845421.232876712</v>
      </c>
      <c r="C376" s="101">
        <v>8534.315</v>
      </c>
    </row>
    <row r="377">
      <c r="A377" s="25" t="s">
        <v>1324</v>
      </c>
      <c r="B377" s="100">
        <v>3869732.8767123288</v>
      </c>
      <c r="C377" s="101">
        <v>5649.81</v>
      </c>
    </row>
    <row r="378">
      <c r="A378" s="25" t="s">
        <v>1326</v>
      </c>
      <c r="B378" s="100">
        <v>1.826184931506849E7</v>
      </c>
      <c r="C378" s="101">
        <v>26662.3</v>
      </c>
    </row>
    <row r="379">
      <c r="A379" s="25" t="s">
        <v>1327</v>
      </c>
      <c r="B379" s="100">
        <v>3710198.6301369867</v>
      </c>
      <c r="C379" s="101">
        <v>5416.89</v>
      </c>
    </row>
    <row r="380">
      <c r="A380" s="25" t="s">
        <v>1328</v>
      </c>
      <c r="B380" s="100">
        <v>1.043899315068493E7</v>
      </c>
      <c r="C380" s="101">
        <v>15240.93</v>
      </c>
    </row>
    <row r="381">
      <c r="A381" s="25" t="s">
        <v>1329</v>
      </c>
      <c r="B381" s="100">
        <v>474000.0</v>
      </c>
      <c r="C381" s="101">
        <v>692.04</v>
      </c>
    </row>
    <row r="382">
      <c r="A382" s="25" t="s">
        <v>1331</v>
      </c>
      <c r="B382" s="100">
        <v>890410.9589041095</v>
      </c>
      <c r="C382" s="101">
        <v>1300.0</v>
      </c>
    </row>
    <row r="383">
      <c r="A383" s="25" t="s">
        <v>1333</v>
      </c>
      <c r="B383" s="100">
        <v>781273.9726027398</v>
      </c>
      <c r="C383" s="101">
        <v>1140.66</v>
      </c>
    </row>
    <row r="384">
      <c r="A384" s="25" t="s">
        <v>1334</v>
      </c>
      <c r="B384" s="100">
        <v>6378493.150684932</v>
      </c>
      <c r="C384" s="101">
        <v>9312.6</v>
      </c>
    </row>
    <row r="385">
      <c r="A385" s="25" t="s">
        <v>1335</v>
      </c>
      <c r="B385" s="100">
        <v>2.8756164383561645E7</v>
      </c>
      <c r="C385" s="101">
        <v>41984.0</v>
      </c>
    </row>
    <row r="386">
      <c r="A386" s="25" t="s">
        <v>1336</v>
      </c>
      <c r="B386" s="100">
        <v>3377397.260273973</v>
      </c>
      <c r="C386" s="101">
        <v>4931.0</v>
      </c>
    </row>
    <row r="387">
      <c r="A387" s="25" t="s">
        <v>1338</v>
      </c>
      <c r="B387" s="100">
        <v>4368849.315068493</v>
      </c>
      <c r="C387" s="101">
        <v>6378.52</v>
      </c>
    </row>
    <row r="388">
      <c r="A388" s="25" t="s">
        <v>1339</v>
      </c>
      <c r="B388" s="100">
        <v>678082.191780822</v>
      </c>
      <c r="C388" s="101">
        <v>990.0</v>
      </c>
    </row>
    <row r="389">
      <c r="A389" s="25" t="s">
        <v>1340</v>
      </c>
      <c r="B389" s="100">
        <v>3500000.0</v>
      </c>
      <c r="C389" s="101">
        <v>5110.0</v>
      </c>
    </row>
    <row r="390">
      <c r="A390" s="25" t="s">
        <v>1341</v>
      </c>
      <c r="B390" s="100">
        <v>3424657.534246575</v>
      </c>
      <c r="C390" s="101">
        <v>5000.0</v>
      </c>
    </row>
    <row r="391">
      <c r="A391" s="25" t="s">
        <v>1343</v>
      </c>
      <c r="B391" s="100">
        <v>2568493.1506849313</v>
      </c>
      <c r="C391" s="101">
        <v>3750.0</v>
      </c>
    </row>
    <row r="392">
      <c r="A392" s="25" t="s">
        <v>1345</v>
      </c>
      <c r="B392" s="100">
        <v>2636986.301369863</v>
      </c>
      <c r="C392" s="101">
        <v>3850.0</v>
      </c>
    </row>
    <row r="393">
      <c r="A393" s="25" t="s">
        <v>1346</v>
      </c>
      <c r="B393" s="100">
        <v>2472602.7397260275</v>
      </c>
      <c r="C393" s="101">
        <v>3610.0</v>
      </c>
    </row>
    <row r="394">
      <c r="A394" s="25" t="s">
        <v>1347</v>
      </c>
      <c r="B394" s="100">
        <v>3684931.506849315</v>
      </c>
      <c r="C394" s="101">
        <v>5380.0</v>
      </c>
    </row>
    <row r="395">
      <c r="A395" s="25" t="s">
        <v>1348</v>
      </c>
      <c r="B395" s="100">
        <v>6404109.589041096</v>
      </c>
      <c r="C395" s="101">
        <v>9350.0</v>
      </c>
    </row>
    <row r="396">
      <c r="A396" s="25" t="s">
        <v>1349</v>
      </c>
      <c r="B396" s="100">
        <v>4116438.3561643837</v>
      </c>
      <c r="C396" s="101">
        <v>6010.0</v>
      </c>
    </row>
    <row r="397">
      <c r="A397" s="25" t="s">
        <v>1352</v>
      </c>
      <c r="B397" s="100">
        <v>863013.698630137</v>
      </c>
      <c r="C397" s="101">
        <v>1260.0</v>
      </c>
    </row>
    <row r="398">
      <c r="A398" s="25" t="s">
        <v>1353</v>
      </c>
      <c r="B398" s="100">
        <v>170616.43835616438</v>
      </c>
      <c r="C398" s="101">
        <v>249.1</v>
      </c>
    </row>
    <row r="399">
      <c r="A399" s="25" t="s">
        <v>1354</v>
      </c>
      <c r="B399" s="100">
        <v>5519931.506849315</v>
      </c>
      <c r="C399" s="101">
        <v>8059.1</v>
      </c>
    </row>
    <row r="400">
      <c r="A400" s="25" t="s">
        <v>1355</v>
      </c>
      <c r="B400" s="100">
        <v>180047.94520547945</v>
      </c>
      <c r="C400" s="101">
        <v>262.87</v>
      </c>
    </row>
    <row r="401">
      <c r="A401" s="25" t="s">
        <v>1357</v>
      </c>
      <c r="B401" s="100">
        <v>657534.2465753424</v>
      </c>
      <c r="C401" s="101">
        <v>960.0</v>
      </c>
    </row>
    <row r="402">
      <c r="A402" s="25" t="s">
        <v>1358</v>
      </c>
      <c r="B402" s="100">
        <v>547945.205479452</v>
      </c>
      <c r="C402" s="101">
        <v>800.0</v>
      </c>
    </row>
    <row r="403">
      <c r="A403" s="25" t="s">
        <v>1359</v>
      </c>
      <c r="B403" s="100">
        <v>5349315.06849315</v>
      </c>
      <c r="C403" s="101">
        <v>7810.0</v>
      </c>
    </row>
    <row r="404">
      <c r="A404" s="25" t="s">
        <v>1360</v>
      </c>
      <c r="B404" s="100">
        <v>678082.191780822</v>
      </c>
      <c r="C404" s="101">
        <v>990.0</v>
      </c>
    </row>
    <row r="405">
      <c r="A405" s="25" t="s">
        <v>1362</v>
      </c>
      <c r="B405" s="100">
        <v>136116.43835616438</v>
      </c>
      <c r="C405" s="101">
        <v>198.73</v>
      </c>
    </row>
    <row r="406">
      <c r="A406" s="25" t="s">
        <v>1364</v>
      </c>
      <c r="B406" s="100">
        <v>137493.15068493152</v>
      </c>
      <c r="C406" s="101">
        <v>200.74</v>
      </c>
    </row>
    <row r="407">
      <c r="A407" s="25" t="s">
        <v>1365</v>
      </c>
      <c r="B407" s="100">
        <v>139458.90410958906</v>
      </c>
      <c r="C407" s="101">
        <v>203.61</v>
      </c>
    </row>
    <row r="408">
      <c r="A408" s="25" t="s">
        <v>1366</v>
      </c>
      <c r="B408" s="100">
        <v>1712328.7671232875</v>
      </c>
      <c r="C408" s="101">
        <v>2500.0</v>
      </c>
    </row>
    <row r="409">
      <c r="A409" s="25" t="s">
        <v>1367</v>
      </c>
      <c r="B409" s="100">
        <v>3407006.26</v>
      </c>
      <c r="C409" s="101">
        <v>1839.9368</v>
      </c>
    </row>
    <row r="410">
      <c r="A410" s="25" t="s">
        <v>1369</v>
      </c>
      <c r="B410" s="100">
        <v>1731988.9</v>
      </c>
      <c r="C410" s="101">
        <v>2138.3499</v>
      </c>
    </row>
    <row r="411">
      <c r="A411" s="25" t="s">
        <v>1378</v>
      </c>
      <c r="B411" s="100">
        <v>1.360379679E7</v>
      </c>
      <c r="C411" s="101">
        <v>9790.0391</v>
      </c>
    </row>
    <row r="412">
      <c r="A412" s="25" t="s">
        <v>1380</v>
      </c>
      <c r="B412" s="100">
        <v>2551965.09</v>
      </c>
      <c r="C412" s="101">
        <v>1819.9699</v>
      </c>
    </row>
    <row r="413">
      <c r="A413" s="25" t="s">
        <v>1381</v>
      </c>
      <c r="B413" s="100">
        <v>2952433.41</v>
      </c>
      <c r="C413" s="101">
        <v>1370.274</v>
      </c>
    </row>
    <row r="414">
      <c r="A414" s="25" t="s">
        <v>1383</v>
      </c>
      <c r="B414" s="100">
        <v>3558689.58</v>
      </c>
      <c r="C414" s="101">
        <v>2995.6316</v>
      </c>
    </row>
    <row r="415">
      <c r="A415" s="25" t="s">
        <v>1384</v>
      </c>
      <c r="B415" s="100">
        <v>3512007.84</v>
      </c>
      <c r="C415" s="101">
        <v>3132.0163</v>
      </c>
    </row>
    <row r="416">
      <c r="A416" s="25" t="s">
        <v>1386</v>
      </c>
      <c r="B416" s="100">
        <v>3363808.65</v>
      </c>
      <c r="C416" s="101">
        <v>2988.9001</v>
      </c>
    </row>
    <row r="417">
      <c r="A417" s="25" t="s">
        <v>1388</v>
      </c>
      <c r="B417" s="100">
        <v>8275999.09</v>
      </c>
      <c r="C417" s="101">
        <v>2223.7116</v>
      </c>
    </row>
    <row r="418">
      <c r="A418" s="25" t="s">
        <v>1391</v>
      </c>
      <c r="B418" s="100">
        <v>1339152.88</v>
      </c>
      <c r="C418" s="101">
        <v>1749.0439</v>
      </c>
    </row>
    <row r="419">
      <c r="A419" s="25" t="s">
        <v>1392</v>
      </c>
      <c r="B419" s="100">
        <v>3454162.14</v>
      </c>
      <c r="C419" s="101">
        <v>4301.3218</v>
      </c>
    </row>
    <row r="420">
      <c r="A420" s="25" t="s">
        <v>1395</v>
      </c>
      <c r="B420" s="100">
        <v>1426654.86</v>
      </c>
      <c r="C420" s="101">
        <v>510.7071</v>
      </c>
    </row>
    <row r="421">
      <c r="A421" s="25" t="s">
        <v>1397</v>
      </c>
      <c r="B421" s="100">
        <v>3467876.92</v>
      </c>
      <c r="C421" s="101">
        <v>4247.5172</v>
      </c>
    </row>
    <row r="422">
      <c r="A422" s="25" t="s">
        <v>1399</v>
      </c>
      <c r="B422" s="100">
        <v>1961977.96</v>
      </c>
      <c r="C422" s="101">
        <v>996.8096</v>
      </c>
    </row>
    <row r="423">
      <c r="A423" s="25" t="s">
        <v>1401</v>
      </c>
      <c r="B423" s="100">
        <v>4284037.64</v>
      </c>
      <c r="C423" s="101">
        <v>2332.2816</v>
      </c>
    </row>
    <row r="424">
      <c r="A424" s="25" t="s">
        <v>1402</v>
      </c>
      <c r="B424" s="100">
        <v>722873.96</v>
      </c>
      <c r="C424" s="101">
        <v>791.3054</v>
      </c>
    </row>
    <row r="425">
      <c r="A425" s="25" t="s">
        <v>1404</v>
      </c>
      <c r="B425" s="100">
        <v>3697110.43</v>
      </c>
      <c r="C425" s="101">
        <v>1288.8206</v>
      </c>
    </row>
    <row r="426">
      <c r="A426" s="25" t="s">
        <v>1405</v>
      </c>
      <c r="B426" s="100">
        <v>167368.24</v>
      </c>
      <c r="C426" s="101">
        <v>176.6162</v>
      </c>
    </row>
    <row r="427">
      <c r="A427" s="25" t="s">
        <v>1407</v>
      </c>
      <c r="B427" s="100">
        <v>182455.21</v>
      </c>
      <c r="C427" s="101">
        <v>30.8805</v>
      </c>
    </row>
    <row r="428">
      <c r="A428" s="25" t="s">
        <v>1408</v>
      </c>
      <c r="B428" s="100">
        <v>3701928.51</v>
      </c>
      <c r="C428" s="101">
        <v>1363.1538</v>
      </c>
    </row>
    <row r="429">
      <c r="A429" s="25" t="s">
        <v>1410</v>
      </c>
      <c r="B429" s="100">
        <v>220983.66</v>
      </c>
      <c r="C429" s="101">
        <v>944.3827</v>
      </c>
    </row>
    <row r="430">
      <c r="A430" s="25" t="s">
        <v>1411</v>
      </c>
      <c r="B430" s="100">
        <v>2717939.83</v>
      </c>
      <c r="C430" s="101">
        <v>1459.0265</v>
      </c>
    </row>
    <row r="431">
      <c r="A431" s="25" t="s">
        <v>1413</v>
      </c>
      <c r="B431" s="100">
        <v>2435635.65</v>
      </c>
      <c r="C431" s="101">
        <v>1630.5948</v>
      </c>
    </row>
    <row r="432">
      <c r="A432" s="25" t="s">
        <v>1417</v>
      </c>
      <c r="B432" s="100">
        <v>3086072.1</v>
      </c>
      <c r="C432" s="101">
        <v>2222.1571</v>
      </c>
    </row>
    <row r="433">
      <c r="A433" s="25" t="s">
        <v>1418</v>
      </c>
      <c r="B433" s="100">
        <v>288039.6</v>
      </c>
      <c r="C433" s="101">
        <v>31.7564</v>
      </c>
    </row>
    <row r="434">
      <c r="A434" s="25" t="s">
        <v>1420</v>
      </c>
      <c r="B434" s="100">
        <v>1783618.66</v>
      </c>
      <c r="C434" s="101">
        <v>568.11</v>
      </c>
    </row>
    <row r="435">
      <c r="A435" s="25" t="s">
        <v>1421</v>
      </c>
      <c r="B435" s="100">
        <v>778677.65</v>
      </c>
      <c r="C435" s="101">
        <v>173.6184</v>
      </c>
    </row>
    <row r="436">
      <c r="A436" s="25" t="s">
        <v>1423</v>
      </c>
      <c r="B436" s="100">
        <v>3638670.61</v>
      </c>
      <c r="C436" s="101">
        <v>1241.1542</v>
      </c>
    </row>
    <row r="437">
      <c r="A437" s="25" t="s">
        <v>1427</v>
      </c>
      <c r="B437" s="100">
        <v>119835.84</v>
      </c>
      <c r="C437" s="101">
        <v>81.2196</v>
      </c>
    </row>
    <row r="438">
      <c r="A438" s="25" t="s">
        <v>1429</v>
      </c>
      <c r="B438" s="100">
        <v>4263507.59</v>
      </c>
      <c r="C438" s="101">
        <v>1590.7277</v>
      </c>
    </row>
    <row r="439">
      <c r="A439" s="25" t="s">
        <v>1431</v>
      </c>
      <c r="B439" s="100">
        <v>121067.03</v>
      </c>
      <c r="C439" s="101">
        <v>82.1966</v>
      </c>
    </row>
    <row r="440">
      <c r="A440" s="25" t="s">
        <v>1433</v>
      </c>
      <c r="B440" s="100">
        <v>1320551.47</v>
      </c>
      <c r="C440" s="101">
        <v>864.2244</v>
      </c>
    </row>
    <row r="441">
      <c r="A441" s="25" t="s">
        <v>1434</v>
      </c>
      <c r="B441" s="100">
        <v>3806186.71</v>
      </c>
      <c r="C441" s="101">
        <v>1627.6224</v>
      </c>
    </row>
    <row r="442">
      <c r="A442" s="25" t="s">
        <v>1437</v>
      </c>
      <c r="B442" s="100">
        <v>302899.45</v>
      </c>
      <c r="C442" s="101">
        <v>298.1463</v>
      </c>
    </row>
    <row r="443">
      <c r="A443" s="25" t="s">
        <v>1438</v>
      </c>
      <c r="B443" s="100">
        <v>158772.89</v>
      </c>
      <c r="C443" s="101">
        <v>162.1971</v>
      </c>
    </row>
    <row r="444">
      <c r="A444" s="25" t="s">
        <v>1440</v>
      </c>
      <c r="B444" s="100">
        <v>207483.56</v>
      </c>
      <c r="C444" s="101">
        <v>208.9725</v>
      </c>
    </row>
    <row r="445">
      <c r="A445" s="25" t="s">
        <v>1441</v>
      </c>
      <c r="B445" s="100">
        <v>3818027.18</v>
      </c>
      <c r="C445" s="101">
        <v>1534.1879</v>
      </c>
    </row>
    <row r="446">
      <c r="A446" s="25" t="s">
        <v>1443</v>
      </c>
      <c r="B446" s="100">
        <v>123078.17</v>
      </c>
      <c r="C446" s="101">
        <v>117.9557</v>
      </c>
    </row>
    <row r="447">
      <c r="A447" s="25" t="s">
        <v>1445</v>
      </c>
      <c r="B447" s="100">
        <v>122422.02</v>
      </c>
      <c r="C447" s="101">
        <v>100.6476</v>
      </c>
    </row>
    <row r="448">
      <c r="A448" s="25" t="s">
        <v>1446</v>
      </c>
      <c r="B448" s="100">
        <v>229445.65</v>
      </c>
      <c r="C448" s="101">
        <v>82.1781</v>
      </c>
    </row>
    <row r="449">
      <c r="A449" s="25" t="s">
        <v>1447</v>
      </c>
      <c r="B449" s="100">
        <v>200419.63</v>
      </c>
      <c r="C449" s="101">
        <v>124.8887</v>
      </c>
    </row>
    <row r="450">
      <c r="A450" s="25" t="s">
        <v>1449</v>
      </c>
      <c r="B450" s="100">
        <v>355608.68</v>
      </c>
      <c r="C450" s="101">
        <v>170.5411</v>
      </c>
    </row>
    <row r="451">
      <c r="A451" s="25" t="s">
        <v>1452</v>
      </c>
      <c r="B451" s="100">
        <v>3688564.25</v>
      </c>
      <c r="C451" s="101">
        <v>1277.1089</v>
      </c>
    </row>
    <row r="452">
      <c r="A452" s="25" t="s">
        <v>1453</v>
      </c>
      <c r="B452" s="100">
        <v>280990.83</v>
      </c>
      <c r="C452" s="101">
        <v>94.3753</v>
      </c>
    </row>
    <row r="453">
      <c r="A453" s="25" t="s">
        <v>1457</v>
      </c>
      <c r="B453" s="100">
        <v>683321.51</v>
      </c>
      <c r="C453" s="101">
        <v>257.5244</v>
      </c>
    </row>
    <row r="454">
      <c r="A454" s="25" t="s">
        <v>1459</v>
      </c>
      <c r="B454" s="100">
        <v>397496.72</v>
      </c>
      <c r="C454" s="101">
        <v>140.0363</v>
      </c>
    </row>
    <row r="455">
      <c r="A455" s="25" t="s">
        <v>1461</v>
      </c>
      <c r="B455" s="100">
        <v>636437.02</v>
      </c>
      <c r="C455" s="101">
        <v>258.3976</v>
      </c>
    </row>
    <row r="456">
      <c r="A456" s="25" t="s">
        <v>1463</v>
      </c>
      <c r="B456" s="100">
        <v>174124.36</v>
      </c>
      <c r="C456" s="101">
        <v>100.2003</v>
      </c>
    </row>
    <row r="457">
      <c r="A457" s="25" t="s">
        <v>1464</v>
      </c>
      <c r="B457" s="100">
        <v>308353.6</v>
      </c>
      <c r="C457" s="101">
        <v>32.3</v>
      </c>
    </row>
    <row r="458">
      <c r="A458" s="25" t="s">
        <v>1469</v>
      </c>
      <c r="B458" s="100">
        <v>992955.24</v>
      </c>
      <c r="C458" s="101">
        <v>156.1702</v>
      </c>
    </row>
    <row r="459">
      <c r="A459" s="25" t="s">
        <v>1470</v>
      </c>
      <c r="B459" s="100">
        <v>2938371.56</v>
      </c>
      <c r="C459" s="101">
        <v>292.368</v>
      </c>
    </row>
    <row r="460">
      <c r="A460" s="25" t="s">
        <v>1471</v>
      </c>
      <c r="B460" s="100">
        <v>747169.87</v>
      </c>
      <c r="C460" s="101">
        <v>272.5768</v>
      </c>
    </row>
    <row r="461">
      <c r="A461" s="25" t="s">
        <v>1472</v>
      </c>
      <c r="B461" s="100">
        <v>1095874.57</v>
      </c>
      <c r="C461" s="101">
        <v>422.9507</v>
      </c>
    </row>
    <row r="462">
      <c r="A462" s="25" t="s">
        <v>1475</v>
      </c>
      <c r="B462" s="100">
        <v>791340.26</v>
      </c>
      <c r="C462" s="101">
        <v>356.6167</v>
      </c>
    </row>
    <row r="463">
      <c r="A463" s="25" t="s">
        <v>1478</v>
      </c>
      <c r="B463" s="100">
        <v>476730.32</v>
      </c>
      <c r="C463" s="101">
        <v>191.1724</v>
      </c>
    </row>
    <row r="464">
      <c r="A464" s="25" t="s">
        <v>1480</v>
      </c>
      <c r="B464" s="100">
        <v>621487.19</v>
      </c>
      <c r="C464" s="101">
        <v>307.507</v>
      </c>
    </row>
    <row r="465">
      <c r="A465" s="25" t="s">
        <v>1482</v>
      </c>
      <c r="B465" s="100">
        <v>704494.03</v>
      </c>
      <c r="C465" s="101">
        <v>311.9549</v>
      </c>
    </row>
    <row r="466">
      <c r="A466" s="25" t="s">
        <v>1483</v>
      </c>
      <c r="B466" s="100">
        <v>204309.01</v>
      </c>
      <c r="C466" s="101">
        <v>147.1719</v>
      </c>
    </row>
    <row r="467">
      <c r="A467" s="25" t="s">
        <v>1484</v>
      </c>
      <c r="B467" s="100">
        <v>2356672.74</v>
      </c>
      <c r="C467" s="101">
        <v>479.915</v>
      </c>
    </row>
    <row r="468">
      <c r="A468" s="25" t="s">
        <v>1487</v>
      </c>
      <c r="B468" s="100">
        <v>149259.94</v>
      </c>
      <c r="C468" s="101">
        <v>93.5496</v>
      </c>
    </row>
    <row r="469">
      <c r="A469" s="25" t="s">
        <v>1488</v>
      </c>
      <c r="B469" s="100">
        <v>7457513.76</v>
      </c>
      <c r="C469" s="101">
        <v>1644.4265</v>
      </c>
    </row>
    <row r="470">
      <c r="A470" s="25" t="s">
        <v>1489</v>
      </c>
      <c r="B470" s="100">
        <v>449780.4</v>
      </c>
      <c r="C470" s="101">
        <v>165.9588</v>
      </c>
    </row>
    <row r="471">
      <c r="A471" s="25" t="s">
        <v>1490</v>
      </c>
      <c r="B471" s="100">
        <v>161500.99</v>
      </c>
      <c r="C471" s="101">
        <v>112.8051</v>
      </c>
    </row>
    <row r="472">
      <c r="A472" s="25" t="s">
        <v>1491</v>
      </c>
      <c r="B472" s="100">
        <v>115790.5</v>
      </c>
      <c r="C472" s="101">
        <v>81.3816</v>
      </c>
    </row>
    <row r="473">
      <c r="A473" s="25" t="s">
        <v>1492</v>
      </c>
      <c r="B473" s="100">
        <v>122845.42</v>
      </c>
      <c r="C473" s="101">
        <v>92.9207</v>
      </c>
    </row>
    <row r="474">
      <c r="A474" s="25" t="s">
        <v>1493</v>
      </c>
      <c r="B474" s="100">
        <v>3399012.55</v>
      </c>
      <c r="C474" s="101">
        <v>2440.7918</v>
      </c>
    </row>
    <row r="475">
      <c r="A475" s="25" t="s">
        <v>1496</v>
      </c>
      <c r="B475" s="100">
        <v>459498.59</v>
      </c>
      <c r="C475" s="101">
        <v>78.5659</v>
      </c>
    </row>
    <row r="476">
      <c r="A476" s="25" t="s">
        <v>1497</v>
      </c>
      <c r="B476" s="100">
        <v>137099.86</v>
      </c>
      <c r="C476" s="101">
        <v>94.6146</v>
      </c>
    </row>
    <row r="477">
      <c r="A477" s="25" t="s">
        <v>1498</v>
      </c>
      <c r="B477" s="100">
        <v>1960794.07</v>
      </c>
      <c r="C477" s="101">
        <v>535.8762</v>
      </c>
    </row>
    <row r="478">
      <c r="A478" s="25" t="s">
        <v>1499</v>
      </c>
      <c r="B478" s="100">
        <v>3702044.31</v>
      </c>
      <c r="C478" s="101">
        <v>1605.8224</v>
      </c>
    </row>
    <row r="479">
      <c r="A479" s="25" t="s">
        <v>1500</v>
      </c>
      <c r="B479" s="100">
        <v>178816.86</v>
      </c>
      <c r="C479" s="101">
        <v>35.1309</v>
      </c>
    </row>
    <row r="480">
      <c r="A480" s="25" t="s">
        <v>1501</v>
      </c>
      <c r="B480" s="100">
        <v>172971.88</v>
      </c>
      <c r="C480" s="101">
        <v>19.0702</v>
      </c>
    </row>
    <row r="481">
      <c r="A481" s="25" t="s">
        <v>1502</v>
      </c>
      <c r="B481" s="100">
        <v>120817.34</v>
      </c>
      <c r="C481" s="101">
        <v>75.1359</v>
      </c>
    </row>
    <row r="482">
      <c r="A482" s="25" t="s">
        <v>1503</v>
      </c>
      <c r="B482" s="100">
        <v>128142.28</v>
      </c>
      <c r="C482" s="101">
        <v>84.0479</v>
      </c>
    </row>
    <row r="483">
      <c r="A483" s="25" t="s">
        <v>1504</v>
      </c>
      <c r="B483" s="100">
        <v>100897.85</v>
      </c>
      <c r="C483" s="101">
        <v>106.5175</v>
      </c>
    </row>
    <row r="484">
      <c r="A484" s="25" t="s">
        <v>1507</v>
      </c>
      <c r="B484" s="100">
        <v>3659357.4</v>
      </c>
      <c r="C484" s="101">
        <v>1773.9164</v>
      </c>
    </row>
    <row r="485">
      <c r="A485" s="25" t="s">
        <v>1509</v>
      </c>
      <c r="B485" s="100">
        <v>686094.67</v>
      </c>
      <c r="C485" s="101">
        <v>218.091</v>
      </c>
    </row>
    <row r="486">
      <c r="A486" s="25" t="s">
        <v>1510</v>
      </c>
      <c r="B486" s="100">
        <v>212515.57</v>
      </c>
      <c r="C486" s="101">
        <v>38.4254</v>
      </c>
    </row>
    <row r="487">
      <c r="A487" s="25" t="s">
        <v>1511</v>
      </c>
      <c r="B487" s="100">
        <v>1387112.36</v>
      </c>
      <c r="C487" s="101">
        <v>363.0268</v>
      </c>
    </row>
    <row r="488">
      <c r="A488" s="25" t="s">
        <v>1512</v>
      </c>
      <c r="B488" s="100">
        <v>122512.44</v>
      </c>
      <c r="C488" s="101">
        <v>61.6861</v>
      </c>
    </row>
    <row r="489">
      <c r="A489" s="25" t="s">
        <v>1513</v>
      </c>
      <c r="B489" s="100">
        <v>268940.17</v>
      </c>
      <c r="C489" s="101">
        <v>47.5545</v>
      </c>
    </row>
    <row r="490">
      <c r="A490" s="25" t="s">
        <v>1514</v>
      </c>
      <c r="B490" s="100">
        <v>255311.66</v>
      </c>
      <c r="C490" s="101">
        <v>38.2854</v>
      </c>
    </row>
    <row r="491">
      <c r="A491" s="25" t="s">
        <v>1516</v>
      </c>
      <c r="B491" s="100">
        <v>1.310009244E7</v>
      </c>
      <c r="C491" s="101">
        <v>2306.2381</v>
      </c>
    </row>
    <row r="492">
      <c r="A492" s="25" t="s">
        <v>1517</v>
      </c>
      <c r="B492" s="100">
        <v>2014825.81</v>
      </c>
      <c r="C492" s="101">
        <v>1918.4989</v>
      </c>
    </row>
    <row r="493">
      <c r="A493" s="25" t="s">
        <v>1520</v>
      </c>
      <c r="B493" s="100">
        <v>2043673.45</v>
      </c>
      <c r="C493" s="101">
        <v>2089.7146</v>
      </c>
    </row>
    <row r="494">
      <c r="A494" s="25" t="s">
        <v>1523</v>
      </c>
      <c r="B494" s="100">
        <v>2571925.01</v>
      </c>
      <c r="C494" s="101">
        <v>2070.4409</v>
      </c>
    </row>
    <row r="495">
      <c r="A495" s="25" t="s">
        <v>1526</v>
      </c>
      <c r="B495" s="100">
        <v>2361132.86</v>
      </c>
      <c r="C495" s="101">
        <v>2033.7464</v>
      </c>
    </row>
    <row r="496">
      <c r="A496" s="25" t="s">
        <v>1528</v>
      </c>
      <c r="B496" s="100">
        <v>9401.7829</v>
      </c>
      <c r="C496" s="101">
        <v>12.645398</v>
      </c>
    </row>
    <row r="497">
      <c r="A497" s="25"/>
      <c r="B497" s="100">
        <v>62961.06667</v>
      </c>
      <c r="C497" s="101">
        <v>95.386016</v>
      </c>
    </row>
    <row r="498">
      <c r="A498" s="25" t="s">
        <v>1531</v>
      </c>
      <c r="B498" s="100">
        <v>26538.2</v>
      </c>
      <c r="C498" s="101">
        <v>30.784312</v>
      </c>
    </row>
    <row r="499">
      <c r="A499" s="25" t="s">
        <v>1533</v>
      </c>
      <c r="B499" s="100">
        <v>1.796758526E7</v>
      </c>
      <c r="C499" s="101">
        <v>15596.64954</v>
      </c>
    </row>
    <row r="500">
      <c r="A500" s="25" t="s">
        <v>1536</v>
      </c>
      <c r="B500" s="100">
        <v>1.765345292E7</v>
      </c>
      <c r="C500" s="101">
        <v>14898.48584</v>
      </c>
    </row>
    <row r="501">
      <c r="A501" s="25" t="s">
        <v>1537</v>
      </c>
      <c r="B501" s="100">
        <v>1.190925296E7</v>
      </c>
      <c r="C501" s="101">
        <v>13313.4899</v>
      </c>
    </row>
    <row r="502">
      <c r="A502" s="25" t="s">
        <v>1538</v>
      </c>
      <c r="B502" s="100">
        <v>5764645.348</v>
      </c>
      <c r="C502" s="101">
        <v>5972.450472</v>
      </c>
    </row>
    <row r="503">
      <c r="A503" s="25" t="s">
        <v>1539</v>
      </c>
      <c r="B503" s="100">
        <v>1.269437226E7</v>
      </c>
      <c r="C503" s="101">
        <v>11547.19329</v>
      </c>
    </row>
    <row r="504">
      <c r="A504" s="25" t="s">
        <v>1540</v>
      </c>
      <c r="B504" s="100">
        <v>1.275997815E7</v>
      </c>
      <c r="C504" s="101">
        <v>13075.14832</v>
      </c>
    </row>
    <row r="505">
      <c r="A505" s="25" t="s">
        <v>1541</v>
      </c>
      <c r="B505" s="100">
        <v>7569975.327</v>
      </c>
      <c r="C505" s="101">
        <v>4165.415305</v>
      </c>
    </row>
    <row r="506">
      <c r="A506" s="25" t="s">
        <v>1543</v>
      </c>
      <c r="B506" s="100">
        <v>3152572.94</v>
      </c>
      <c r="C506" s="101">
        <v>6524.888833</v>
      </c>
    </row>
    <row r="507">
      <c r="A507" s="25" t="s">
        <v>1545</v>
      </c>
      <c r="B507" s="100">
        <v>1.426836987E7</v>
      </c>
      <c r="C507" s="101">
        <v>12731.27475</v>
      </c>
    </row>
    <row r="508">
      <c r="A508" s="25" t="s">
        <v>1548</v>
      </c>
      <c r="B508" s="100">
        <v>5360240.206</v>
      </c>
      <c r="C508" s="101">
        <v>5677.133228</v>
      </c>
    </row>
    <row r="509">
      <c r="A509" s="25" t="s">
        <v>1551</v>
      </c>
      <c r="B509" s="100">
        <v>1.41178435E7</v>
      </c>
      <c r="C509" s="101">
        <v>12772.91609</v>
      </c>
    </row>
    <row r="510">
      <c r="A510" s="25" t="s">
        <v>1552</v>
      </c>
      <c r="B510" s="100">
        <v>7399477.975</v>
      </c>
      <c r="C510" s="101">
        <v>6613.350428</v>
      </c>
    </row>
    <row r="511">
      <c r="A511" s="25" t="s">
        <v>1553</v>
      </c>
      <c r="B511" s="100">
        <v>1.327269597E7</v>
      </c>
      <c r="C511" s="101">
        <v>13491.33172</v>
      </c>
    </row>
    <row r="512">
      <c r="A512" s="25" t="s">
        <v>1554</v>
      </c>
      <c r="B512" s="100">
        <v>1.651665891E7</v>
      </c>
      <c r="C512" s="101">
        <v>16306.03048</v>
      </c>
    </row>
    <row r="513">
      <c r="A513" s="25" t="s">
        <v>1555</v>
      </c>
      <c r="B513" s="100">
        <v>3320398.802</v>
      </c>
      <c r="C513" s="101">
        <v>2270.6029</v>
      </c>
    </row>
    <row r="514">
      <c r="A514" s="25" t="s">
        <v>1558</v>
      </c>
      <c r="B514" s="100">
        <v>1.431519513E7</v>
      </c>
      <c r="C514" s="101">
        <v>12183.50475</v>
      </c>
    </row>
    <row r="515">
      <c r="A515" s="25" t="s">
        <v>1561</v>
      </c>
      <c r="B515" s="100">
        <v>1.191380767E7</v>
      </c>
      <c r="C515" s="101">
        <v>10562.32736</v>
      </c>
    </row>
    <row r="516">
      <c r="A516" s="25" t="s">
        <v>1564</v>
      </c>
      <c r="B516" s="100">
        <v>7709209.647</v>
      </c>
      <c r="C516" s="101">
        <v>5445.135411</v>
      </c>
    </row>
    <row r="517">
      <c r="A517" s="25" t="s">
        <v>1567</v>
      </c>
      <c r="B517" s="100">
        <v>2.046982274E7</v>
      </c>
      <c r="C517" s="101">
        <v>18414.40083</v>
      </c>
    </row>
    <row r="518">
      <c r="A518" s="25" t="s">
        <v>1568</v>
      </c>
      <c r="B518" s="100">
        <v>1.685282818E7</v>
      </c>
      <c r="C518" s="101">
        <v>16696.24022</v>
      </c>
    </row>
    <row r="519">
      <c r="A519" s="25" t="s">
        <v>1569</v>
      </c>
      <c r="B519" s="100">
        <v>3879818.61</v>
      </c>
      <c r="C519" s="101">
        <v>3184.097285</v>
      </c>
    </row>
    <row r="520">
      <c r="A520" s="25" t="s">
        <v>1570</v>
      </c>
      <c r="B520" s="100">
        <v>8067.087931</v>
      </c>
      <c r="C520" s="101">
        <v>9.357822</v>
      </c>
    </row>
    <row r="521">
      <c r="A521" s="25" t="s">
        <v>1571</v>
      </c>
      <c r="B521" s="100">
        <v>1.287157714E7</v>
      </c>
      <c r="C521" s="101">
        <v>8457.77174</v>
      </c>
    </row>
    <row r="522">
      <c r="A522" s="25" t="s">
        <v>1573</v>
      </c>
      <c r="B522" s="100">
        <v>9253455.228</v>
      </c>
      <c r="C522" s="101">
        <v>2153.777094</v>
      </c>
    </row>
    <row r="523">
      <c r="A523" s="25" t="s">
        <v>1575</v>
      </c>
      <c r="B523" s="100">
        <v>2288492.501</v>
      </c>
      <c r="C523" s="101">
        <v>720.0018429</v>
      </c>
    </row>
    <row r="524">
      <c r="A524" s="25" t="s">
        <v>1576</v>
      </c>
      <c r="B524" s="100">
        <v>1.030310859E7</v>
      </c>
      <c r="C524" s="101">
        <v>4447.379112</v>
      </c>
    </row>
    <row r="525">
      <c r="A525" s="25" t="s">
        <v>1577</v>
      </c>
      <c r="B525" s="100">
        <v>2272760.147</v>
      </c>
      <c r="C525" s="101">
        <v>1649.072634</v>
      </c>
    </row>
    <row r="526">
      <c r="A526" s="25" t="s">
        <v>1580</v>
      </c>
      <c r="B526" s="100">
        <v>597381.1732</v>
      </c>
      <c r="C526" s="101">
        <v>240.4995813</v>
      </c>
    </row>
    <row r="527">
      <c r="A527" s="25" t="s">
        <v>1583</v>
      </c>
      <c r="B527" s="100">
        <v>4146092.167</v>
      </c>
      <c r="C527" s="101">
        <v>1776.300191</v>
      </c>
    </row>
    <row r="528">
      <c r="A528" s="25" t="s">
        <v>1586</v>
      </c>
      <c r="B528" s="100">
        <v>1.108476301E7</v>
      </c>
      <c r="C528" s="101">
        <v>4614.496125</v>
      </c>
    </row>
    <row r="529">
      <c r="A529" s="25" t="s">
        <v>1588</v>
      </c>
      <c r="B529" s="100">
        <v>1.381563457E7</v>
      </c>
      <c r="C529" s="101">
        <v>3207.170297</v>
      </c>
    </row>
    <row r="530">
      <c r="A530" s="25" t="s">
        <v>1589</v>
      </c>
      <c r="B530" s="100">
        <v>1.283428208E7</v>
      </c>
      <c r="C530" s="101">
        <v>4681.208913</v>
      </c>
    </row>
    <row r="531">
      <c r="A531" s="25" t="s">
        <v>1590</v>
      </c>
      <c r="B531" s="100">
        <v>1.282568904E7</v>
      </c>
      <c r="C531" s="101">
        <v>2872.463889</v>
      </c>
    </row>
    <row r="532">
      <c r="A532" s="25" t="s">
        <v>1591</v>
      </c>
      <c r="B532" s="100">
        <v>3452692.841</v>
      </c>
      <c r="C532" s="101">
        <v>2984.418765</v>
      </c>
    </row>
    <row r="533">
      <c r="A533" s="25" t="s">
        <v>1593</v>
      </c>
      <c r="B533" s="100">
        <v>4402562.852</v>
      </c>
      <c r="C533" s="101">
        <v>3598.236196</v>
      </c>
    </row>
    <row r="534">
      <c r="A534" s="25" t="s">
        <v>1594</v>
      </c>
      <c r="B534" s="100">
        <v>1.080927059E7</v>
      </c>
      <c r="C534" s="101">
        <v>9480.346113</v>
      </c>
    </row>
    <row r="535">
      <c r="A535" s="25" t="s">
        <v>1595</v>
      </c>
      <c r="B535" s="100">
        <v>9655893.279</v>
      </c>
      <c r="C535" s="101">
        <v>2975.766188</v>
      </c>
    </row>
    <row r="536">
      <c r="A536" s="25" t="s">
        <v>1596</v>
      </c>
      <c r="B536" s="100">
        <v>2.888881384E7</v>
      </c>
      <c r="C536" s="101">
        <v>8801.487973</v>
      </c>
    </row>
    <row r="537">
      <c r="A537" s="25" t="s">
        <v>1597</v>
      </c>
      <c r="B537" s="100">
        <v>4323996.99</v>
      </c>
      <c r="C537" s="101">
        <v>3623.055129</v>
      </c>
    </row>
    <row r="538">
      <c r="A538" s="25" t="s">
        <v>1599</v>
      </c>
      <c r="B538" s="100">
        <v>786452.3117</v>
      </c>
      <c r="C538" s="101">
        <v>373.6889046</v>
      </c>
    </row>
    <row r="539">
      <c r="A539" s="25" t="s">
        <v>1605</v>
      </c>
      <c r="B539" s="100">
        <v>2554457.988</v>
      </c>
      <c r="C539" s="101">
        <v>1561.662603</v>
      </c>
    </row>
    <row r="540">
      <c r="A540" s="25" t="s">
        <v>1607</v>
      </c>
      <c r="B540" s="100">
        <v>4958455.784</v>
      </c>
      <c r="C540" s="101">
        <v>2152.911655</v>
      </c>
    </row>
    <row r="541">
      <c r="A541" s="25" t="s">
        <v>1609</v>
      </c>
      <c r="B541" s="100">
        <v>5443998.433</v>
      </c>
      <c r="C541" s="101">
        <v>1647.994636</v>
      </c>
    </row>
    <row r="542">
      <c r="A542" s="25" t="s">
        <v>1612</v>
      </c>
      <c r="B542" s="100">
        <v>2897731.426</v>
      </c>
      <c r="C542" s="101">
        <v>1107.561305</v>
      </c>
    </row>
    <row r="543">
      <c r="A543" s="25" t="s">
        <v>1614</v>
      </c>
      <c r="B543" s="100">
        <v>1.245183784E7</v>
      </c>
      <c r="C543" s="101">
        <v>11681.29729</v>
      </c>
    </row>
    <row r="544">
      <c r="A544" s="25" t="s">
        <v>1615</v>
      </c>
      <c r="B544" s="100">
        <v>4572113.105</v>
      </c>
      <c r="C544" s="101">
        <v>1294.153278</v>
      </c>
    </row>
    <row r="545">
      <c r="A545" s="25" t="s">
        <v>1616</v>
      </c>
      <c r="B545" s="100">
        <v>3451735.149</v>
      </c>
      <c r="C545" s="101">
        <v>2530.878732</v>
      </c>
    </row>
    <row r="546">
      <c r="A546" s="25" t="s">
        <v>1617</v>
      </c>
      <c r="B546" s="100">
        <v>9823728.492</v>
      </c>
      <c r="C546" s="101">
        <v>7959.030872</v>
      </c>
    </row>
    <row r="547">
      <c r="A547" s="25" t="s">
        <v>1618</v>
      </c>
      <c r="B547" s="100">
        <v>2491544.585</v>
      </c>
      <c r="C547" s="101">
        <v>1501.916871</v>
      </c>
    </row>
    <row r="548">
      <c r="A548" s="25" t="s">
        <v>1620</v>
      </c>
      <c r="B548" s="100">
        <v>1.477008257E7</v>
      </c>
      <c r="C548" s="101">
        <v>6520.811047</v>
      </c>
    </row>
    <row r="549">
      <c r="A549" s="25" t="s">
        <v>1621</v>
      </c>
      <c r="B549" s="100">
        <v>1.559674779E7</v>
      </c>
      <c r="C549" s="101">
        <v>7625.687634</v>
      </c>
    </row>
    <row r="550">
      <c r="A550" s="25" t="s">
        <v>1622</v>
      </c>
      <c r="B550" s="100">
        <v>6407727.129</v>
      </c>
      <c r="C550" s="101">
        <v>2948.352695</v>
      </c>
    </row>
    <row r="551">
      <c r="A551" s="25" t="s">
        <v>1623</v>
      </c>
      <c r="B551" s="100">
        <v>1358697.96</v>
      </c>
      <c r="C551" s="101">
        <v>483.7094814</v>
      </c>
    </row>
    <row r="552">
      <c r="A552" s="25" t="s">
        <v>1625</v>
      </c>
      <c r="B552" s="100">
        <v>8329094.56</v>
      </c>
      <c r="C552" s="101">
        <v>1685.105514</v>
      </c>
    </row>
    <row r="553">
      <c r="A553" s="25" t="s">
        <v>1626</v>
      </c>
      <c r="B553" s="100">
        <v>3060945.655</v>
      </c>
      <c r="C553" s="101">
        <v>843.4612249</v>
      </c>
    </row>
    <row r="554">
      <c r="A554" s="25" t="s">
        <v>1627</v>
      </c>
      <c r="B554" s="100">
        <v>4902030.09</v>
      </c>
      <c r="C554" s="101">
        <v>1858.344949</v>
      </c>
    </row>
    <row r="555">
      <c r="A555" s="25" t="s">
        <v>1628</v>
      </c>
      <c r="B555" s="100">
        <v>2158969.792</v>
      </c>
      <c r="C555" s="101">
        <v>1335.194726</v>
      </c>
    </row>
    <row r="556">
      <c r="A556" s="25" t="s">
        <v>1629</v>
      </c>
      <c r="B556" s="100">
        <v>7573082.218</v>
      </c>
      <c r="C556" s="101">
        <v>3324.308125</v>
      </c>
    </row>
    <row r="557">
      <c r="A557" s="25" t="s">
        <v>1630</v>
      </c>
      <c r="B557" s="100">
        <v>3448703.531</v>
      </c>
      <c r="C557" s="101">
        <v>1119.005801</v>
      </c>
    </row>
    <row r="558">
      <c r="A558" s="25" t="s">
        <v>1632</v>
      </c>
      <c r="B558" s="100">
        <v>2496571.453</v>
      </c>
      <c r="C558" s="101">
        <v>937.6053299</v>
      </c>
    </row>
    <row r="559">
      <c r="A559" s="25" t="s">
        <v>1634</v>
      </c>
      <c r="B559" s="100">
        <v>9718432.097</v>
      </c>
      <c r="C559" s="101">
        <v>1811.462008</v>
      </c>
    </row>
    <row r="560">
      <c r="A560" s="25" t="s">
        <v>1635</v>
      </c>
      <c r="B560" s="100">
        <v>4126972.529</v>
      </c>
      <c r="C560" s="101">
        <v>1318.83216</v>
      </c>
    </row>
    <row r="561">
      <c r="A561" s="25" t="s">
        <v>1637</v>
      </c>
      <c r="B561" s="100">
        <v>5784477.842</v>
      </c>
      <c r="C561" s="101">
        <v>3088.788102</v>
      </c>
    </row>
    <row r="562">
      <c r="A562" s="25" t="s">
        <v>1640</v>
      </c>
      <c r="B562" s="100">
        <v>3990514.471</v>
      </c>
      <c r="C562" s="101">
        <v>1456.109058</v>
      </c>
    </row>
    <row r="563">
      <c r="A563" s="25" t="s">
        <v>1642</v>
      </c>
      <c r="B563" s="100">
        <v>2.183035493E7</v>
      </c>
      <c r="C563" s="101">
        <v>5324.457577</v>
      </c>
    </row>
    <row r="564">
      <c r="A564" s="25" t="s">
        <v>1643</v>
      </c>
      <c r="B564" s="100">
        <v>3.154372211E7</v>
      </c>
      <c r="C564" s="101">
        <v>13351.8785</v>
      </c>
    </row>
    <row r="565">
      <c r="A565" s="25" t="s">
        <v>1644</v>
      </c>
      <c r="B565" s="100">
        <v>1.142328522E7</v>
      </c>
      <c r="C565" s="101">
        <v>2926.2533</v>
      </c>
    </row>
    <row r="566">
      <c r="A566" s="25" t="s">
        <v>1645</v>
      </c>
      <c r="B566" s="100">
        <v>1.601490169E7</v>
      </c>
      <c r="C566" s="101">
        <v>3407.2253</v>
      </c>
    </row>
    <row r="567">
      <c r="A567" s="25" t="s">
        <v>1648</v>
      </c>
      <c r="B567" s="100">
        <v>3.161538341E7</v>
      </c>
      <c r="C567" s="101">
        <v>15241.6452</v>
      </c>
    </row>
    <row r="568">
      <c r="A568" s="25" t="s">
        <v>1651</v>
      </c>
      <c r="B568" s="100">
        <v>9208641.88</v>
      </c>
      <c r="C568" s="101">
        <v>1109.3334</v>
      </c>
    </row>
    <row r="569">
      <c r="A569" s="25" t="s">
        <v>1654</v>
      </c>
      <c r="B569" s="100">
        <v>3437459.72</v>
      </c>
      <c r="C569" s="101">
        <v>651.1037</v>
      </c>
    </row>
    <row r="570">
      <c r="A570" s="25" t="s">
        <v>1655</v>
      </c>
      <c r="B570" s="100">
        <v>4360096.31</v>
      </c>
      <c r="C570" s="101">
        <v>758.5566</v>
      </c>
    </row>
    <row r="571">
      <c r="A571" s="25" t="s">
        <v>1656</v>
      </c>
      <c r="B571" s="100">
        <v>2818581.79</v>
      </c>
      <c r="C571" s="101">
        <v>706.8984</v>
      </c>
    </row>
    <row r="572">
      <c r="A572" s="25" t="s">
        <v>1657</v>
      </c>
      <c r="B572" s="100">
        <v>1269821.56</v>
      </c>
      <c r="C572" s="101">
        <v>344.7</v>
      </c>
    </row>
    <row r="573">
      <c r="A573" s="25" t="s">
        <v>1661</v>
      </c>
      <c r="B573" s="100">
        <v>2895933.46</v>
      </c>
      <c r="C573" s="101">
        <v>596.5979</v>
      </c>
    </row>
    <row r="574">
      <c r="A574" s="25" t="s">
        <v>1662</v>
      </c>
      <c r="B574" s="100">
        <v>3837666.9</v>
      </c>
      <c r="C574" s="101">
        <v>667.8448</v>
      </c>
    </row>
    <row r="575">
      <c r="A575" s="25" t="s">
        <v>1671</v>
      </c>
      <c r="B575" s="100">
        <v>1352526.64</v>
      </c>
      <c r="C575" s="101">
        <v>501.8278</v>
      </c>
    </row>
    <row r="576">
      <c r="A576" s="25" t="s">
        <v>1676</v>
      </c>
      <c r="B576" s="100">
        <v>4844879.45</v>
      </c>
      <c r="C576" s="101">
        <v>1110.5639</v>
      </c>
    </row>
    <row r="577">
      <c r="A577" s="25" t="s">
        <v>1678</v>
      </c>
      <c r="B577" s="100">
        <v>1444044.55</v>
      </c>
      <c r="C577" s="101">
        <v>275.7226</v>
      </c>
    </row>
    <row r="578">
      <c r="A578" s="25" t="s">
        <v>1680</v>
      </c>
      <c r="B578" s="100">
        <v>1.326381432E7</v>
      </c>
      <c r="C578" s="101">
        <v>2531.434</v>
      </c>
    </row>
    <row r="579">
      <c r="A579" s="25" t="s">
        <v>1681</v>
      </c>
      <c r="B579" s="100">
        <v>1.504435587E7</v>
      </c>
      <c r="C579" s="101">
        <v>6131.2469</v>
      </c>
    </row>
    <row r="580">
      <c r="A580" s="25" t="s">
        <v>1684</v>
      </c>
      <c r="B580" s="100">
        <v>9182309.71</v>
      </c>
      <c r="C580" s="101">
        <v>1033.0098</v>
      </c>
    </row>
    <row r="581">
      <c r="A581" s="25" t="s">
        <v>1685</v>
      </c>
      <c r="B581" s="100">
        <v>2737461.56</v>
      </c>
      <c r="C581" s="101">
        <v>622.8882</v>
      </c>
    </row>
    <row r="582">
      <c r="A582" s="25" t="s">
        <v>1687</v>
      </c>
      <c r="B582" s="100">
        <v>1321971.28</v>
      </c>
      <c r="C582" s="101">
        <v>528.3688</v>
      </c>
    </row>
    <row r="583">
      <c r="A583" s="25" t="s">
        <v>1689</v>
      </c>
      <c r="B583" s="100">
        <v>1332394.95</v>
      </c>
      <c r="C583" s="101">
        <v>512.8575</v>
      </c>
    </row>
    <row r="584">
      <c r="A584" s="25" t="s">
        <v>1692</v>
      </c>
      <c r="B584" s="100">
        <v>1.844027357E7</v>
      </c>
      <c r="C584" s="101">
        <v>4382.3411</v>
      </c>
    </row>
    <row r="585">
      <c r="A585" s="25" t="s">
        <v>1694</v>
      </c>
      <c r="B585" s="100">
        <v>509772.84</v>
      </c>
      <c r="C585" s="101">
        <v>100.0991</v>
      </c>
    </row>
    <row r="586">
      <c r="A586" s="25" t="s">
        <v>1696</v>
      </c>
      <c r="B586" s="100">
        <v>113169.96</v>
      </c>
      <c r="C586" s="101">
        <v>28.3753</v>
      </c>
    </row>
    <row r="587">
      <c r="A587" s="25" t="s">
        <v>1698</v>
      </c>
      <c r="B587" s="100">
        <v>111913.64</v>
      </c>
      <c r="C587" s="101">
        <v>27.1145</v>
      </c>
    </row>
    <row r="588">
      <c r="A588" s="25" t="s">
        <v>1699</v>
      </c>
      <c r="B588" s="100">
        <v>42031.64</v>
      </c>
      <c r="C588" s="101">
        <v>8.9676</v>
      </c>
    </row>
    <row r="589">
      <c r="A589" s="25" t="s">
        <v>1701</v>
      </c>
      <c r="B589" s="100">
        <v>110425.4</v>
      </c>
      <c r="C589" s="101">
        <v>49.0765</v>
      </c>
    </row>
    <row r="590">
      <c r="A590" s="25" t="s">
        <v>1704</v>
      </c>
      <c r="B590" s="100">
        <v>2225882.02</v>
      </c>
      <c r="C590" s="101">
        <v>667.9768</v>
      </c>
    </row>
    <row r="591">
      <c r="A591" s="25" t="s">
        <v>1706</v>
      </c>
      <c r="B591" s="100">
        <v>1062361.73</v>
      </c>
      <c r="C591" s="101">
        <v>342.5152</v>
      </c>
    </row>
    <row r="592">
      <c r="A592" s="25" t="s">
        <v>1708</v>
      </c>
      <c r="B592" s="100">
        <v>339587.84</v>
      </c>
      <c r="C592" s="101">
        <v>98.9438</v>
      </c>
    </row>
    <row r="593">
      <c r="A593" s="25" t="s">
        <v>1710</v>
      </c>
      <c r="B593" s="100">
        <v>3283486.97</v>
      </c>
      <c r="C593" s="101">
        <v>787.2439</v>
      </c>
    </row>
    <row r="594">
      <c r="A594" s="25" t="s">
        <v>1712</v>
      </c>
      <c r="B594" s="100">
        <v>7797927.11</v>
      </c>
      <c r="C594" s="101">
        <v>2936.5786</v>
      </c>
    </row>
    <row r="595">
      <c r="A595" s="25" t="s">
        <v>1714</v>
      </c>
      <c r="B595" s="100">
        <v>8109746.36</v>
      </c>
      <c r="C595" s="101">
        <v>3484.9958</v>
      </c>
    </row>
    <row r="596">
      <c r="A596" s="25" t="s">
        <v>1715</v>
      </c>
      <c r="B596" s="100">
        <v>1.729325374E7</v>
      </c>
      <c r="C596" s="101">
        <v>7162.7859</v>
      </c>
    </row>
    <row r="597">
      <c r="A597" s="25" t="s">
        <v>1716</v>
      </c>
      <c r="B597" s="100">
        <v>7977596.18</v>
      </c>
      <c r="C597" s="101">
        <v>7420.0</v>
      </c>
    </row>
    <row r="598">
      <c r="A598" s="25" t="s">
        <v>1718</v>
      </c>
      <c r="B598" s="100">
        <v>3.890692974E7</v>
      </c>
      <c r="C598" s="101">
        <v>17217.2834</v>
      </c>
    </row>
    <row r="599">
      <c r="A599" s="25" t="s">
        <v>1719</v>
      </c>
      <c r="B599" s="100">
        <v>9525477.05</v>
      </c>
      <c r="C599" s="101">
        <v>9733.7805</v>
      </c>
    </row>
    <row r="600">
      <c r="A600" s="25" t="s">
        <v>1721</v>
      </c>
      <c r="B600" s="100">
        <v>903485.75</v>
      </c>
      <c r="C600" s="101">
        <v>274.856</v>
      </c>
    </row>
    <row r="601">
      <c r="A601" s="25" t="s">
        <v>1724</v>
      </c>
      <c r="B601" s="100">
        <v>1700677.08</v>
      </c>
      <c r="C601" s="101">
        <v>631.3786</v>
      </c>
    </row>
    <row r="602">
      <c r="A602" s="25" t="s">
        <v>1725</v>
      </c>
      <c r="B602" s="100">
        <v>1994845.36</v>
      </c>
      <c r="C602" s="101">
        <v>551.4811</v>
      </c>
    </row>
    <row r="603">
      <c r="A603" s="25" t="s">
        <v>1729</v>
      </c>
      <c r="B603" s="100">
        <v>4342289.43</v>
      </c>
      <c r="C603" s="101">
        <v>5046.0</v>
      </c>
    </row>
    <row r="604">
      <c r="A604" s="25" t="s">
        <v>1731</v>
      </c>
      <c r="B604" s="100">
        <v>1607616.18</v>
      </c>
      <c r="C604" s="101">
        <v>524.8121</v>
      </c>
    </row>
    <row r="605">
      <c r="A605" s="25" t="s">
        <v>1734</v>
      </c>
      <c r="B605" s="100">
        <v>1372456.31</v>
      </c>
      <c r="C605" s="101">
        <v>1209.9493</v>
      </c>
    </row>
    <row r="606">
      <c r="A606" s="25" t="s">
        <v>1736</v>
      </c>
      <c r="B606" s="100">
        <v>1544444.0</v>
      </c>
      <c r="C606" s="101">
        <v>608.2648</v>
      </c>
    </row>
    <row r="607">
      <c r="A607" s="25" t="s">
        <v>1738</v>
      </c>
      <c r="B607" s="100">
        <v>597873.64</v>
      </c>
      <c r="C607" s="101">
        <v>226.8189</v>
      </c>
    </row>
    <row r="608">
      <c r="A608" s="25" t="s">
        <v>1739</v>
      </c>
      <c r="B608" s="100">
        <v>683401.82</v>
      </c>
      <c r="C608" s="101">
        <v>226.2398</v>
      </c>
    </row>
    <row r="609">
      <c r="A609" s="25" t="s">
        <v>1741</v>
      </c>
      <c r="B609" s="100">
        <v>4029898.19</v>
      </c>
      <c r="C609" s="101">
        <v>1204.5084</v>
      </c>
    </row>
    <row r="610">
      <c r="A610" s="25" t="s">
        <v>1743</v>
      </c>
      <c r="B610" s="100">
        <v>3301036.73</v>
      </c>
      <c r="C610" s="101">
        <v>3995.0</v>
      </c>
    </row>
    <row r="611">
      <c r="A611" s="25" t="s">
        <v>1745</v>
      </c>
      <c r="B611" s="100">
        <v>583597.79</v>
      </c>
      <c r="C611" s="101">
        <v>202.0847</v>
      </c>
    </row>
    <row r="612">
      <c r="A612" s="25" t="s">
        <v>1748</v>
      </c>
      <c r="B612" s="100">
        <v>1306884.54</v>
      </c>
      <c r="C612" s="101">
        <v>1158.1623</v>
      </c>
    </row>
    <row r="613">
      <c r="A613" s="25" t="s">
        <v>1749</v>
      </c>
      <c r="B613" s="100">
        <v>954002.51</v>
      </c>
      <c r="C613" s="101">
        <v>1039.0</v>
      </c>
    </row>
    <row r="614">
      <c r="A614" s="25" t="s">
        <v>1754</v>
      </c>
      <c r="B614" s="100">
        <v>2040260.92</v>
      </c>
      <c r="C614" s="101">
        <v>562.1635</v>
      </c>
    </row>
    <row r="615">
      <c r="A615" s="25" t="s">
        <v>1757</v>
      </c>
      <c r="B615" s="100">
        <v>9.046479161E7</v>
      </c>
      <c r="C615" s="101">
        <v>32601.6452</v>
      </c>
    </row>
    <row r="616">
      <c r="A616" s="25" t="s">
        <v>1759</v>
      </c>
      <c r="B616" s="100">
        <v>2749504.4</v>
      </c>
      <c r="C616" s="101">
        <v>3113.5036</v>
      </c>
    </row>
    <row r="617">
      <c r="A617" s="25" t="s">
        <v>1760</v>
      </c>
      <c r="B617" s="100">
        <v>5452130.3</v>
      </c>
      <c r="C617" s="101">
        <v>7000.0</v>
      </c>
    </row>
    <row r="618">
      <c r="A618" s="25" t="s">
        <v>1762</v>
      </c>
      <c r="B618" s="100">
        <v>1.020348078E7</v>
      </c>
      <c r="C618" s="101">
        <v>10071.4373</v>
      </c>
    </row>
    <row r="619">
      <c r="A619" s="25" t="s">
        <v>1763</v>
      </c>
      <c r="B619" s="100">
        <v>762836.69</v>
      </c>
      <c r="C619" s="101">
        <v>597.5403</v>
      </c>
    </row>
    <row r="620">
      <c r="A620" s="25" t="s">
        <v>1765</v>
      </c>
      <c r="B620" s="100">
        <v>1.548008066E7</v>
      </c>
      <c r="C620" s="101">
        <v>15444.3334</v>
      </c>
    </row>
    <row r="621">
      <c r="A621" s="25" t="s">
        <v>1766</v>
      </c>
      <c r="B621" s="100">
        <v>801219.7</v>
      </c>
      <c r="C621" s="101">
        <v>627.8884</v>
      </c>
    </row>
    <row r="622">
      <c r="A622" s="25" t="s">
        <v>1767</v>
      </c>
      <c r="B622" s="100">
        <v>678491.1</v>
      </c>
      <c r="C622" s="101">
        <v>568.2444</v>
      </c>
    </row>
    <row r="623">
      <c r="A623" s="25" t="s">
        <v>1769</v>
      </c>
      <c r="B623" s="100">
        <v>695450.88</v>
      </c>
      <c r="C623" s="101">
        <v>574.2572</v>
      </c>
    </row>
    <row r="624">
      <c r="A624" s="25" t="s">
        <v>1770</v>
      </c>
      <c r="B624" s="100">
        <v>839484.22</v>
      </c>
      <c r="C624" s="101">
        <v>676.5616</v>
      </c>
    </row>
    <row r="625">
      <c r="A625" s="25" t="s">
        <v>1773</v>
      </c>
      <c r="B625" s="100">
        <v>893018.95</v>
      </c>
      <c r="C625" s="101">
        <v>758.1548</v>
      </c>
    </row>
    <row r="626">
      <c r="A626" s="25" t="s">
        <v>1774</v>
      </c>
      <c r="B626" s="100">
        <v>726255.72</v>
      </c>
      <c r="C626" s="101">
        <v>574.9355</v>
      </c>
    </row>
    <row r="627">
      <c r="A627" s="25" t="s">
        <v>1776</v>
      </c>
      <c r="B627" s="100">
        <v>1833497.7</v>
      </c>
      <c r="C627" s="101">
        <v>1492.4062</v>
      </c>
    </row>
    <row r="628">
      <c r="A628" s="25" t="s">
        <v>1778</v>
      </c>
      <c r="B628" s="100">
        <v>2034888.26</v>
      </c>
      <c r="C628" s="101">
        <v>1695.0675</v>
      </c>
    </row>
    <row r="629">
      <c r="A629" s="25" t="s">
        <v>1780</v>
      </c>
      <c r="B629" s="100">
        <v>1750720.83</v>
      </c>
      <c r="C629" s="101">
        <v>1420.3152</v>
      </c>
    </row>
    <row r="630">
      <c r="A630" s="25" t="s">
        <v>1782</v>
      </c>
      <c r="B630" s="100">
        <v>1080515.84</v>
      </c>
      <c r="C630" s="101">
        <v>859.9872</v>
      </c>
    </row>
    <row r="631">
      <c r="A631" s="25" t="s">
        <v>1783</v>
      </c>
      <c r="B631" s="100">
        <v>1.0809971896E8</v>
      </c>
      <c r="C631" s="101">
        <v>85546.1013</v>
      </c>
    </row>
    <row r="632">
      <c r="A632" s="25" t="s">
        <v>1785</v>
      </c>
      <c r="B632" s="100">
        <v>1208092.6</v>
      </c>
      <c r="C632" s="101">
        <v>1002.0102</v>
      </c>
    </row>
    <row r="633">
      <c r="A633" s="25" t="s">
        <v>1786</v>
      </c>
      <c r="B633" s="100">
        <v>2.311811794E7</v>
      </c>
      <c r="C633" s="101">
        <v>25261.4054</v>
      </c>
    </row>
    <row r="634">
      <c r="A634" s="25" t="s">
        <v>1788</v>
      </c>
      <c r="B634" s="100">
        <v>4.542529941E7</v>
      </c>
      <c r="C634" s="101">
        <v>55117.4857</v>
      </c>
    </row>
    <row r="635">
      <c r="A635" s="25" t="s">
        <v>1790</v>
      </c>
      <c r="B635" s="100">
        <v>1029065.58</v>
      </c>
      <c r="C635" s="101">
        <v>1142.5585</v>
      </c>
    </row>
    <row r="636">
      <c r="A636" s="25" t="s">
        <v>1794</v>
      </c>
      <c r="B636" s="100">
        <v>624471.31</v>
      </c>
      <c r="C636" s="101">
        <v>655.7515</v>
      </c>
    </row>
    <row r="637">
      <c r="A637" s="25" t="s">
        <v>1796</v>
      </c>
      <c r="B637" s="100">
        <v>152410.73</v>
      </c>
      <c r="C637" s="101">
        <v>145.9333</v>
      </c>
    </row>
    <row r="638">
      <c r="A638" s="25" t="s">
        <v>1798</v>
      </c>
      <c r="B638" s="100">
        <v>3974534.56</v>
      </c>
      <c r="C638" s="101">
        <v>4149.6656</v>
      </c>
    </row>
    <row r="639">
      <c r="A639" s="25" t="s">
        <v>1799</v>
      </c>
      <c r="B639" s="100">
        <v>4612655.88</v>
      </c>
      <c r="C639" s="101">
        <v>4520.4335</v>
      </c>
    </row>
    <row r="640">
      <c r="A640" s="25" t="s">
        <v>1801</v>
      </c>
      <c r="B640" s="100">
        <v>160361.15</v>
      </c>
      <c r="C640" s="101">
        <v>157.4746</v>
      </c>
    </row>
    <row r="641">
      <c r="A641" s="25" t="s">
        <v>1803</v>
      </c>
      <c r="B641" s="100">
        <v>4554519.17</v>
      </c>
      <c r="C641" s="101">
        <v>4557.792</v>
      </c>
    </row>
    <row r="642">
      <c r="A642" s="25" t="s">
        <v>1805</v>
      </c>
      <c r="B642" s="100">
        <v>5400274.15</v>
      </c>
      <c r="C642" s="101">
        <v>5341.1586</v>
      </c>
    </row>
    <row r="643">
      <c r="A643" s="25" t="s">
        <v>1807</v>
      </c>
      <c r="B643" s="100">
        <v>1358477.21</v>
      </c>
      <c r="C643" s="101">
        <v>1381.0793</v>
      </c>
    </row>
    <row r="644">
      <c r="A644" s="25" t="s">
        <v>1808</v>
      </c>
      <c r="B644" s="100">
        <v>1592696.08</v>
      </c>
      <c r="C644" s="101">
        <v>1717.1373</v>
      </c>
    </row>
    <row r="645">
      <c r="A645" s="25" t="s">
        <v>1812</v>
      </c>
      <c r="B645" s="100">
        <v>1332289.61</v>
      </c>
      <c r="C645" s="101">
        <v>1430.3892</v>
      </c>
    </row>
    <row r="646">
      <c r="A646" s="25" t="s">
        <v>1814</v>
      </c>
      <c r="B646" s="100">
        <v>794878.69</v>
      </c>
      <c r="C646" s="101">
        <v>809.5408</v>
      </c>
    </row>
    <row r="647">
      <c r="A647" s="25" t="s">
        <v>1818</v>
      </c>
      <c r="B647" s="100">
        <v>819782.48</v>
      </c>
      <c r="C647" s="101">
        <v>834.9458</v>
      </c>
    </row>
    <row r="648">
      <c r="A648" s="25" t="s">
        <v>1820</v>
      </c>
      <c r="B648" s="100">
        <v>4350295.44</v>
      </c>
      <c r="C648" s="101">
        <v>4586.0376</v>
      </c>
    </row>
    <row r="649">
      <c r="A649" s="25" t="s">
        <v>1822</v>
      </c>
      <c r="B649" s="100">
        <v>1461014.26</v>
      </c>
      <c r="C649" s="101">
        <v>1588.9875</v>
      </c>
    </row>
    <row r="650">
      <c r="A650" s="25" t="s">
        <v>1823</v>
      </c>
      <c r="B650" s="100">
        <v>2088718.76</v>
      </c>
      <c r="C650" s="101">
        <v>2219.1486</v>
      </c>
    </row>
    <row r="651">
      <c r="A651" s="25" t="s">
        <v>1825</v>
      </c>
      <c r="B651" s="100">
        <v>1204073.36</v>
      </c>
      <c r="C651" s="101">
        <v>1261.1949</v>
      </c>
    </row>
    <row r="652">
      <c r="A652" s="25" t="s">
        <v>1826</v>
      </c>
      <c r="B652" s="100">
        <v>960865.04</v>
      </c>
      <c r="C652" s="101">
        <v>1010.42</v>
      </c>
    </row>
    <row r="653">
      <c r="A653" s="25" t="s">
        <v>1829</v>
      </c>
      <c r="B653" s="100">
        <v>4019520.86</v>
      </c>
      <c r="C653" s="101">
        <v>4268.16</v>
      </c>
    </row>
    <row r="654">
      <c r="A654" s="25" t="s">
        <v>1830</v>
      </c>
      <c r="B654" s="100">
        <v>1926307.94</v>
      </c>
      <c r="C654" s="101">
        <v>2030.1421</v>
      </c>
    </row>
    <row r="655">
      <c r="A655" s="25" t="s">
        <v>1832</v>
      </c>
      <c r="B655" s="100">
        <v>1356134.9</v>
      </c>
      <c r="C655" s="101">
        <v>1498.3874</v>
      </c>
    </row>
    <row r="656">
      <c r="A656" s="25" t="s">
        <v>1834</v>
      </c>
      <c r="B656" s="100">
        <v>1466929.5</v>
      </c>
      <c r="C656" s="101">
        <v>1597.0222</v>
      </c>
    </row>
    <row r="657">
      <c r="A657" s="25" t="s">
        <v>1836</v>
      </c>
      <c r="B657" s="100">
        <v>2223233.48</v>
      </c>
      <c r="C657" s="101">
        <v>2313.1138</v>
      </c>
    </row>
    <row r="658">
      <c r="A658" s="25" t="s">
        <v>1841</v>
      </c>
      <c r="B658" s="100">
        <v>1005831.31</v>
      </c>
      <c r="C658" s="101">
        <v>1109.4057</v>
      </c>
    </row>
    <row r="659">
      <c r="A659" s="25" t="s">
        <v>1843</v>
      </c>
      <c r="B659" s="100">
        <v>132650.23</v>
      </c>
      <c r="C659" s="101">
        <v>133.9494</v>
      </c>
    </row>
    <row r="660">
      <c r="A660" s="25" t="s">
        <v>1845</v>
      </c>
      <c r="B660" s="100">
        <v>1400289.83</v>
      </c>
      <c r="C660" s="101">
        <v>1541.1781</v>
      </c>
    </row>
    <row r="661">
      <c r="A661" s="25" t="s">
        <v>1846</v>
      </c>
      <c r="B661" s="100">
        <v>1704439.14</v>
      </c>
      <c r="C661" s="101">
        <v>1867.0821</v>
      </c>
    </row>
    <row r="662">
      <c r="A662" s="25" t="s">
        <v>1848</v>
      </c>
      <c r="B662" s="100">
        <v>8910455.31</v>
      </c>
      <c r="C662" s="101">
        <v>9979.2016</v>
      </c>
    </row>
    <row r="663">
      <c r="A663" s="25" t="s">
        <v>1850</v>
      </c>
      <c r="B663" s="100">
        <v>1752453.68</v>
      </c>
      <c r="C663" s="101">
        <v>1853.546</v>
      </c>
    </row>
    <row r="664">
      <c r="A664" s="25" t="s">
        <v>1851</v>
      </c>
      <c r="B664" s="100">
        <v>1478310.47</v>
      </c>
      <c r="C664" s="101">
        <v>1696.6068</v>
      </c>
    </row>
    <row r="665">
      <c r="A665" s="25" t="s">
        <v>1853</v>
      </c>
      <c r="B665" s="100">
        <v>1122338.19</v>
      </c>
      <c r="C665" s="101">
        <v>1219.8473</v>
      </c>
    </row>
    <row r="666">
      <c r="A666" s="25" t="s">
        <v>1855</v>
      </c>
      <c r="B666" s="100">
        <v>2056225.24</v>
      </c>
      <c r="C666" s="101">
        <v>2315.0155</v>
      </c>
    </row>
    <row r="667">
      <c r="A667" s="25" t="s">
        <v>1858</v>
      </c>
      <c r="B667" s="100">
        <v>944626.03</v>
      </c>
      <c r="C667" s="101">
        <v>1090.8253</v>
      </c>
    </row>
    <row r="668">
      <c r="A668" s="25" t="s">
        <v>1859</v>
      </c>
      <c r="B668" s="100">
        <v>4185734.45</v>
      </c>
      <c r="C668" s="101">
        <v>4648.4427</v>
      </c>
    </row>
    <row r="669">
      <c r="A669" s="25" t="s">
        <v>1861</v>
      </c>
      <c r="B669" s="100">
        <v>2.873273077E7</v>
      </c>
      <c r="C669" s="101">
        <v>34159.5234</v>
      </c>
    </row>
    <row r="670">
      <c r="A670" s="25" t="s">
        <v>1862</v>
      </c>
      <c r="B670" s="100">
        <v>3073472.3</v>
      </c>
      <c r="C670" s="101">
        <v>3791.6202</v>
      </c>
    </row>
    <row r="671">
      <c r="A671" s="25" t="s">
        <v>1864</v>
      </c>
      <c r="B671" s="100">
        <v>525380.23</v>
      </c>
      <c r="C671" s="101">
        <v>663.6719</v>
      </c>
    </row>
    <row r="672">
      <c r="A672" s="25" t="s">
        <v>1865</v>
      </c>
      <c r="B672" s="100">
        <v>5055550.27</v>
      </c>
      <c r="C672" s="101">
        <v>6067.0951</v>
      </c>
    </row>
    <row r="673">
      <c r="A673" s="25" t="s">
        <v>1868</v>
      </c>
      <c r="B673" s="100">
        <v>4739352.45</v>
      </c>
      <c r="C673" s="101">
        <v>5742.9981</v>
      </c>
    </row>
    <row r="674">
      <c r="A674" s="25" t="s">
        <v>1869</v>
      </c>
      <c r="B674" s="100">
        <v>993212.42</v>
      </c>
      <c r="C674" s="101">
        <v>1156.0392</v>
      </c>
    </row>
    <row r="675">
      <c r="A675" s="25" t="s">
        <v>1871</v>
      </c>
      <c r="B675" s="100">
        <v>2514528.79</v>
      </c>
      <c r="C675" s="101">
        <v>3047.9825</v>
      </c>
    </row>
    <row r="676">
      <c r="A676" s="25" t="s">
        <v>1872</v>
      </c>
      <c r="B676" s="100">
        <v>1.676704327E7</v>
      </c>
      <c r="C676" s="101">
        <v>20682.3937</v>
      </c>
    </row>
    <row r="677">
      <c r="A677" s="25" t="s">
        <v>1874</v>
      </c>
      <c r="B677" s="100">
        <v>2740560.35</v>
      </c>
      <c r="C677" s="101">
        <v>3261.8761</v>
      </c>
    </row>
    <row r="678">
      <c r="A678" s="25" t="s">
        <v>1875</v>
      </c>
      <c r="B678" s="100">
        <v>2.060921261E7</v>
      </c>
      <c r="C678" s="101">
        <v>24762.8787</v>
      </c>
    </row>
    <row r="679">
      <c r="A679" s="25" t="s">
        <v>1876</v>
      </c>
      <c r="B679" s="100">
        <v>2.664092568E7</v>
      </c>
      <c r="C679" s="101">
        <v>35173.7548</v>
      </c>
    </row>
    <row r="680">
      <c r="A680" s="25" t="s">
        <v>1878</v>
      </c>
      <c r="B680" s="100">
        <v>1.780168382E7</v>
      </c>
      <c r="C680" s="101">
        <v>22680.2914</v>
      </c>
    </row>
    <row r="681">
      <c r="A681" s="25" t="s">
        <v>1879</v>
      </c>
      <c r="B681" s="100">
        <v>6146755.28</v>
      </c>
      <c r="C681" s="101">
        <v>7610.982</v>
      </c>
    </row>
    <row r="682">
      <c r="A682" s="25" t="s">
        <v>1882</v>
      </c>
      <c r="B682" s="100">
        <v>2836825.53</v>
      </c>
      <c r="C682" s="101">
        <v>3538.1036</v>
      </c>
    </row>
    <row r="683">
      <c r="A683" s="25" t="s">
        <v>1884</v>
      </c>
      <c r="B683" s="100">
        <v>2700208.78</v>
      </c>
      <c r="C683" s="101">
        <v>3360.1153</v>
      </c>
    </row>
    <row r="684">
      <c r="A684" s="25" t="s">
        <v>1887</v>
      </c>
      <c r="B684" s="100">
        <v>1.772127162E7</v>
      </c>
      <c r="C684" s="101">
        <v>22480.9971</v>
      </c>
    </row>
    <row r="685">
      <c r="A685" s="25" t="s">
        <v>1889</v>
      </c>
      <c r="B685" s="100">
        <v>2.471480164E7</v>
      </c>
      <c r="C685" s="101">
        <v>31101.7192</v>
      </c>
    </row>
    <row r="686">
      <c r="A686" s="25" t="s">
        <v>1890</v>
      </c>
      <c r="B686" s="100">
        <v>2.024182667E7</v>
      </c>
      <c r="C686" s="101">
        <v>26373.8729</v>
      </c>
    </row>
    <row r="687">
      <c r="A687" s="25" t="s">
        <v>1892</v>
      </c>
      <c r="B687" s="100">
        <v>2.725024069E7</v>
      </c>
      <c r="C687" s="101">
        <v>34908.2375</v>
      </c>
    </row>
    <row r="688">
      <c r="A688" s="25" t="s">
        <v>1893</v>
      </c>
      <c r="B688" s="100">
        <v>1.098761325E7</v>
      </c>
      <c r="C688" s="101">
        <v>13245.1818</v>
      </c>
    </row>
    <row r="689">
      <c r="A689" s="25" t="s">
        <v>1896</v>
      </c>
      <c r="B689" s="100">
        <v>249581.5</v>
      </c>
      <c r="C689" s="101">
        <v>297.6812</v>
      </c>
    </row>
    <row r="690">
      <c r="A690" s="25" t="s">
        <v>1897</v>
      </c>
      <c r="B690" s="100">
        <v>3087635.7</v>
      </c>
      <c r="C690" s="101">
        <v>3681.1898</v>
      </c>
    </row>
    <row r="691">
      <c r="A691" s="25" t="s">
        <v>1907</v>
      </c>
      <c r="B691" s="100">
        <v>346940.28</v>
      </c>
      <c r="C691" s="101">
        <v>421.0463</v>
      </c>
    </row>
    <row r="692">
      <c r="A692" s="25" t="s">
        <v>1908</v>
      </c>
      <c r="B692" s="100">
        <v>1.26156335E7</v>
      </c>
      <c r="C692" s="101">
        <v>12836.4071</v>
      </c>
    </row>
    <row r="693">
      <c r="A693" s="25" t="s">
        <v>1910</v>
      </c>
      <c r="B693" s="100">
        <v>948118.1</v>
      </c>
      <c r="C693" s="101">
        <v>1122.557</v>
      </c>
    </row>
    <row r="694">
      <c r="A694" s="25" t="s">
        <v>1911</v>
      </c>
      <c r="B694" s="100">
        <v>9235635.59</v>
      </c>
      <c r="C694" s="101">
        <v>9886.7479</v>
      </c>
    </row>
    <row r="695">
      <c r="A695" s="25" t="s">
        <v>1914</v>
      </c>
      <c r="B695" s="100">
        <v>1.699805303E7</v>
      </c>
      <c r="C695" s="101">
        <v>20612.7748</v>
      </c>
    </row>
    <row r="696">
      <c r="A696" s="25" t="s">
        <v>1915</v>
      </c>
      <c r="B696" s="100">
        <v>1.008352709E7</v>
      </c>
      <c r="C696" s="101">
        <v>5778.3947</v>
      </c>
    </row>
    <row r="697">
      <c r="A697" s="25" t="s">
        <v>1916</v>
      </c>
      <c r="B697" s="100">
        <v>1.952120156E7</v>
      </c>
      <c r="C697" s="101">
        <v>20272.7678</v>
      </c>
    </row>
    <row r="698">
      <c r="A698" s="25" t="s">
        <v>1919</v>
      </c>
      <c r="B698" s="100">
        <v>4975005.58</v>
      </c>
      <c r="C698" s="101">
        <v>5917.0483</v>
      </c>
    </row>
    <row r="699">
      <c r="A699" s="25" t="s">
        <v>1921</v>
      </c>
      <c r="B699" s="100">
        <v>680030.59</v>
      </c>
      <c r="C699" s="101">
        <v>827.4543</v>
      </c>
    </row>
    <row r="700">
      <c r="A700" s="25" t="s">
        <v>1924</v>
      </c>
      <c r="B700" s="100">
        <v>1.666839762E7</v>
      </c>
      <c r="C700" s="101">
        <v>20085.7534</v>
      </c>
    </row>
    <row r="701">
      <c r="A701" s="25" t="s">
        <v>1927</v>
      </c>
      <c r="B701" s="100">
        <v>5400933.83</v>
      </c>
      <c r="C701" s="101">
        <v>6853.0584</v>
      </c>
    </row>
    <row r="702">
      <c r="A702" s="25" t="s">
        <v>1929</v>
      </c>
      <c r="B702" s="100">
        <v>751651.69</v>
      </c>
      <c r="C702" s="101">
        <v>937.7509</v>
      </c>
    </row>
    <row r="703">
      <c r="A703" s="25" t="s">
        <v>1930</v>
      </c>
      <c r="B703" s="100">
        <v>6338624.69</v>
      </c>
      <c r="C703" s="101">
        <v>7994.2853</v>
      </c>
    </row>
    <row r="704">
      <c r="A704" s="25" t="s">
        <v>1932</v>
      </c>
      <c r="B704" s="100">
        <v>1374002.21</v>
      </c>
      <c r="C704" s="101">
        <v>1772.9013</v>
      </c>
    </row>
    <row r="705">
      <c r="A705" s="25" t="s">
        <v>1934</v>
      </c>
      <c r="B705" s="100">
        <v>4576253.13</v>
      </c>
      <c r="C705" s="101">
        <v>5740.0618</v>
      </c>
    </row>
    <row r="706">
      <c r="A706" s="25" t="s">
        <v>1935</v>
      </c>
      <c r="B706" s="100">
        <v>580695.49</v>
      </c>
      <c r="C706" s="101">
        <v>776.3559</v>
      </c>
    </row>
    <row r="707">
      <c r="A707" s="25" t="s">
        <v>1936</v>
      </c>
      <c r="B707" s="100">
        <v>3299934.95</v>
      </c>
      <c r="C707" s="101">
        <v>3955.5636</v>
      </c>
    </row>
    <row r="708">
      <c r="A708" s="25" t="s">
        <v>1939</v>
      </c>
      <c r="B708" s="100">
        <v>1024599.77</v>
      </c>
      <c r="C708" s="101">
        <v>1311.8776</v>
      </c>
    </row>
    <row r="709">
      <c r="A709" s="25" t="s">
        <v>1941</v>
      </c>
      <c r="B709" s="100">
        <v>1897665.37</v>
      </c>
      <c r="C709" s="101">
        <v>2378.504</v>
      </c>
    </row>
    <row r="710">
      <c r="A710" s="25" t="s">
        <v>1944</v>
      </c>
      <c r="B710" s="100">
        <v>1254641.65</v>
      </c>
      <c r="C710" s="101">
        <v>1624.3336</v>
      </c>
    </row>
    <row r="711">
      <c r="A711" s="25" t="s">
        <v>1945</v>
      </c>
      <c r="B711" s="100">
        <v>2.345319481E7</v>
      </c>
      <c r="C711" s="101">
        <v>29466.0927</v>
      </c>
    </row>
    <row r="712">
      <c r="A712" s="25" t="s">
        <v>1947</v>
      </c>
      <c r="B712" s="100">
        <v>6770749.2</v>
      </c>
      <c r="C712" s="101">
        <v>8745.8557</v>
      </c>
    </row>
    <row r="713">
      <c r="A713" s="25" t="s">
        <v>1949</v>
      </c>
      <c r="B713" s="100">
        <v>2595424.26</v>
      </c>
      <c r="C713" s="101">
        <v>3523.5967</v>
      </c>
    </row>
    <row r="714">
      <c r="A714" s="25" t="s">
        <v>1950</v>
      </c>
      <c r="B714" s="100">
        <v>500372.71</v>
      </c>
      <c r="C714" s="101">
        <v>703.7003</v>
      </c>
    </row>
    <row r="715">
      <c r="A715" s="25" t="s">
        <v>1952</v>
      </c>
      <c r="B715" s="100">
        <v>466711.37</v>
      </c>
      <c r="C715" s="101">
        <v>666.8405</v>
      </c>
    </row>
    <row r="716">
      <c r="A716" s="25" t="s">
        <v>1954</v>
      </c>
      <c r="B716" s="100">
        <v>1.252250632E7</v>
      </c>
      <c r="C716" s="101">
        <v>16604.7641</v>
      </c>
    </row>
    <row r="717">
      <c r="A717" s="25" t="s">
        <v>1957</v>
      </c>
      <c r="B717" s="100">
        <v>2.348009731E7</v>
      </c>
      <c r="C717" s="101">
        <v>31539.3494</v>
      </c>
    </row>
    <row r="718">
      <c r="A718" s="25" t="s">
        <v>1959</v>
      </c>
      <c r="B718" s="100">
        <v>513303.45</v>
      </c>
      <c r="C718" s="101">
        <v>692.9597</v>
      </c>
    </row>
    <row r="719">
      <c r="A719" s="25" t="s">
        <v>1961</v>
      </c>
      <c r="B719" s="100">
        <v>658441.52</v>
      </c>
      <c r="C719" s="101">
        <v>992.6909</v>
      </c>
    </row>
    <row r="720">
      <c r="A720" s="25" t="s">
        <v>1964</v>
      </c>
      <c r="B720" s="100">
        <v>2.365380101E7</v>
      </c>
      <c r="C720" s="101">
        <v>31710.1999</v>
      </c>
    </row>
    <row r="721">
      <c r="A721" s="25" t="s">
        <v>1965</v>
      </c>
      <c r="B721" s="100">
        <v>3.662642065E7</v>
      </c>
      <c r="C721" s="101">
        <v>49695.2236</v>
      </c>
    </row>
    <row r="722">
      <c r="A722" s="25" t="s">
        <v>1967</v>
      </c>
      <c r="B722" s="100">
        <v>6.531487764E7</v>
      </c>
      <c r="C722" s="101">
        <v>89053.4128</v>
      </c>
    </row>
    <row r="723">
      <c r="A723" s="25" t="s">
        <v>1970</v>
      </c>
      <c r="B723" s="100">
        <v>5.812102478E7</v>
      </c>
      <c r="C723" s="101">
        <v>79478.9119</v>
      </c>
    </row>
    <row r="724">
      <c r="A724" s="25" t="s">
        <v>1972</v>
      </c>
      <c r="B724" s="100">
        <v>227047.41</v>
      </c>
      <c r="C724" s="101">
        <v>290.6207</v>
      </c>
    </row>
    <row r="725">
      <c r="A725" s="25" t="s">
        <v>1973</v>
      </c>
      <c r="B725" s="100">
        <v>1330723.16</v>
      </c>
      <c r="C725" s="101">
        <v>1789.8227</v>
      </c>
    </row>
    <row r="726">
      <c r="A726" s="25" t="s">
        <v>1974</v>
      </c>
      <c r="B726" s="100">
        <v>6.283661657E7</v>
      </c>
      <c r="C726" s="101">
        <v>85838.8808</v>
      </c>
    </row>
    <row r="727">
      <c r="A727" s="25" t="s">
        <v>89</v>
      </c>
      <c r="B727" s="100">
        <v>1.383333333E7</v>
      </c>
      <c r="C727" s="101">
        <v>18781.6752</v>
      </c>
    </row>
    <row r="728">
      <c r="A728" s="25" t="s">
        <v>1976</v>
      </c>
      <c r="B728" s="100">
        <v>1245758.44</v>
      </c>
      <c r="C728" s="101">
        <v>1777.3543</v>
      </c>
    </row>
    <row r="729">
      <c r="A729" s="25" t="s">
        <v>1980</v>
      </c>
      <c r="B729" s="100">
        <v>4352273.22</v>
      </c>
      <c r="C729" s="101">
        <v>6364.3346</v>
      </c>
    </row>
    <row r="730">
      <c r="A730" s="25" t="s">
        <v>1983</v>
      </c>
      <c r="B730" s="100">
        <v>560004.18</v>
      </c>
      <c r="C730" s="101">
        <v>742.0055</v>
      </c>
    </row>
    <row r="731">
      <c r="A731" s="25" t="s">
        <v>121</v>
      </c>
      <c r="B731" s="100">
        <v>6622339.63</v>
      </c>
      <c r="C731" s="101">
        <v>8332.768</v>
      </c>
    </row>
    <row r="732">
      <c r="A732" s="25" t="s">
        <v>1987</v>
      </c>
      <c r="B732" s="100">
        <v>2.654780998E7</v>
      </c>
      <c r="C732" s="101">
        <v>36132.5721</v>
      </c>
    </row>
    <row r="733">
      <c r="A733" s="25" t="s">
        <v>1989</v>
      </c>
      <c r="B733" s="100">
        <v>278555.72</v>
      </c>
      <c r="C733" s="101">
        <v>355.1585</v>
      </c>
    </row>
    <row r="734">
      <c r="A734" s="25" t="s">
        <v>1991</v>
      </c>
      <c r="B734" s="100">
        <v>606011.5</v>
      </c>
      <c r="C734" s="101">
        <v>860.2872</v>
      </c>
    </row>
    <row r="735">
      <c r="A735" s="25" t="s">
        <v>1993</v>
      </c>
      <c r="B735" s="100">
        <v>1.03183245E7</v>
      </c>
      <c r="C735" s="101">
        <v>15338.4844</v>
      </c>
    </row>
    <row r="736">
      <c r="A736" s="25" t="s">
        <v>1994</v>
      </c>
      <c r="B736" s="100">
        <v>2.015655959E7</v>
      </c>
      <c r="C736" s="101">
        <v>24087.0887</v>
      </c>
    </row>
    <row r="737">
      <c r="A737" s="25" t="s">
        <v>1996</v>
      </c>
      <c r="B737" s="100">
        <v>264640.65</v>
      </c>
      <c r="C737" s="101">
        <v>362.5577</v>
      </c>
    </row>
    <row r="738">
      <c r="A738" s="25" t="s">
        <v>1998</v>
      </c>
      <c r="B738" s="100">
        <v>8765234.85</v>
      </c>
      <c r="C738" s="101">
        <v>13130.8921</v>
      </c>
    </row>
    <row r="739">
      <c r="A739" s="25" t="s">
        <v>2001</v>
      </c>
      <c r="B739" s="100">
        <v>1.788059982E7</v>
      </c>
      <c r="C739" s="101">
        <v>25441.8923</v>
      </c>
    </row>
    <row r="740">
      <c r="A740" s="25" t="s">
        <v>2002</v>
      </c>
      <c r="B740" s="100">
        <v>482271.64</v>
      </c>
      <c r="C740" s="101">
        <v>687.2371</v>
      </c>
    </row>
    <row r="741">
      <c r="A741" s="25" t="s">
        <v>2004</v>
      </c>
      <c r="B741" s="100">
        <v>258330.27</v>
      </c>
      <c r="C741" s="101">
        <v>375.8705</v>
      </c>
    </row>
    <row r="742">
      <c r="A742" s="25" t="s">
        <v>2008</v>
      </c>
      <c r="B742" s="100">
        <v>1479893.17</v>
      </c>
      <c r="C742" s="101">
        <v>1997.8558</v>
      </c>
    </row>
    <row r="743">
      <c r="A743" s="25" t="s">
        <v>2009</v>
      </c>
      <c r="B743" s="100">
        <v>1.503416834E7</v>
      </c>
      <c r="C743" s="101">
        <v>19619.5897</v>
      </c>
    </row>
    <row r="744">
      <c r="A744" s="25" t="s">
        <v>2012</v>
      </c>
      <c r="B744" s="100">
        <v>1.723436957E7</v>
      </c>
      <c r="C744" s="101">
        <v>20595.0716</v>
      </c>
    </row>
    <row r="745">
      <c r="A745" s="25" t="s">
        <v>2014</v>
      </c>
      <c r="B745" s="100">
        <v>277392.68</v>
      </c>
      <c r="C745" s="101">
        <v>389.7367</v>
      </c>
    </row>
    <row r="746">
      <c r="A746" s="25" t="s">
        <v>2020</v>
      </c>
      <c r="B746" s="100">
        <v>1558106.15</v>
      </c>
      <c r="C746" s="101">
        <v>2017.7475</v>
      </c>
    </row>
    <row r="747">
      <c r="A747" s="25" t="s">
        <v>2022</v>
      </c>
      <c r="B747" s="100">
        <v>1622331.65</v>
      </c>
      <c r="C747" s="101">
        <v>2149.5894</v>
      </c>
    </row>
    <row r="748">
      <c r="A748" s="25" t="s">
        <v>2025</v>
      </c>
      <c r="B748" s="100">
        <v>776371.31</v>
      </c>
      <c r="C748" s="101">
        <v>920.0</v>
      </c>
    </row>
    <row r="749">
      <c r="A749" s="25" t="s">
        <v>2027</v>
      </c>
      <c r="B749" s="100">
        <v>9063080.52</v>
      </c>
      <c r="C749" s="101">
        <v>12235.1587</v>
      </c>
    </row>
    <row r="750">
      <c r="A750" s="25" t="s">
        <v>2030</v>
      </c>
      <c r="B750" s="100">
        <v>1124722.82</v>
      </c>
      <c r="C750" s="101">
        <v>1417.1508</v>
      </c>
    </row>
    <row r="751">
      <c r="A751" s="25" t="s">
        <v>2032</v>
      </c>
      <c r="B751" s="100">
        <v>9317669.88</v>
      </c>
      <c r="C751" s="101">
        <v>10994.8505</v>
      </c>
    </row>
    <row r="752">
      <c r="A752" s="25" t="s">
        <v>2033</v>
      </c>
      <c r="B752" s="100">
        <v>1010104.68</v>
      </c>
      <c r="C752" s="101">
        <v>1444.4497</v>
      </c>
    </row>
    <row r="753">
      <c r="A753" s="25" t="s">
        <v>2037</v>
      </c>
      <c r="B753" s="100">
        <v>2067108.95</v>
      </c>
      <c r="C753" s="101">
        <v>2131.1893</v>
      </c>
    </row>
    <row r="754">
      <c r="A754" s="25" t="s">
        <v>2040</v>
      </c>
      <c r="B754" s="100">
        <v>7940460.79</v>
      </c>
      <c r="C754" s="101">
        <v>11315.1566</v>
      </c>
    </row>
    <row r="755">
      <c r="A755" s="25" t="s">
        <v>2043</v>
      </c>
      <c r="B755" s="100">
        <v>377291.87</v>
      </c>
      <c r="C755" s="101">
        <v>522.5492</v>
      </c>
    </row>
    <row r="756">
      <c r="A756" s="25" t="s">
        <v>2044</v>
      </c>
      <c r="B756" s="100">
        <v>1003312.4</v>
      </c>
      <c r="C756" s="101">
        <v>1459.8195</v>
      </c>
    </row>
    <row r="757">
      <c r="A757" s="25" t="s">
        <v>2046</v>
      </c>
      <c r="B757" s="100">
        <v>1208490.04</v>
      </c>
      <c r="C757" s="101">
        <v>1782.5228</v>
      </c>
    </row>
    <row r="758">
      <c r="A758" s="25" t="s">
        <v>2048</v>
      </c>
      <c r="B758" s="100">
        <v>1.437026905E7</v>
      </c>
      <c r="C758" s="101">
        <v>2003.45191858</v>
      </c>
    </row>
    <row r="759">
      <c r="A759" s="25" t="s">
        <v>2051</v>
      </c>
      <c r="B759" s="100">
        <v>263965.67</v>
      </c>
      <c r="C759" s="101">
        <v>66.40706206</v>
      </c>
    </row>
    <row r="760">
      <c r="A760" s="25" t="s">
        <v>2052</v>
      </c>
      <c r="B760" s="100">
        <v>2804755.0</v>
      </c>
      <c r="C760" s="101">
        <v>258.03746002</v>
      </c>
    </row>
    <row r="761">
      <c r="A761" s="25" t="s">
        <v>2053</v>
      </c>
      <c r="B761" s="100">
        <v>2760554.35</v>
      </c>
      <c r="C761" s="101">
        <v>253.971</v>
      </c>
    </row>
    <row r="762">
      <c r="A762" s="25" t="s">
        <v>2055</v>
      </c>
      <c r="B762" s="100">
        <v>269501.32</v>
      </c>
      <c r="C762" s="101">
        <v>38.91460155</v>
      </c>
    </row>
    <row r="763">
      <c r="A763" s="25" t="s">
        <v>2057</v>
      </c>
      <c r="B763" s="100">
        <v>274411.1</v>
      </c>
      <c r="C763" s="101">
        <v>151.83567625</v>
      </c>
    </row>
    <row r="764">
      <c r="A764" s="25" t="s">
        <v>2060</v>
      </c>
      <c r="B764" s="100">
        <v>1706230.92</v>
      </c>
      <c r="C764" s="101">
        <v>584.12475535</v>
      </c>
    </row>
    <row r="765">
      <c r="A765" s="25" t="s">
        <v>2061</v>
      </c>
      <c r="B765" s="100">
        <v>525876.86</v>
      </c>
      <c r="C765" s="101">
        <v>160.22399094</v>
      </c>
    </row>
    <row r="766">
      <c r="A766" s="25" t="s">
        <v>2063</v>
      </c>
      <c r="B766" s="100">
        <v>960674.87</v>
      </c>
      <c r="C766" s="101">
        <v>231.17362269</v>
      </c>
    </row>
    <row r="767">
      <c r="A767" s="25" t="s">
        <v>2064</v>
      </c>
      <c r="B767" s="100">
        <v>301917.8</v>
      </c>
      <c r="C767" s="101">
        <v>140.60942508000002</v>
      </c>
    </row>
    <row r="768">
      <c r="A768" s="25" t="s">
        <v>2066</v>
      </c>
      <c r="B768" s="100">
        <v>1.146318093E7</v>
      </c>
      <c r="C768" s="101">
        <v>1836.5009505</v>
      </c>
    </row>
    <row r="769">
      <c r="A769" s="25" t="s">
        <v>2068</v>
      </c>
      <c r="B769" s="100">
        <v>262079.34</v>
      </c>
      <c r="C769" s="101">
        <v>178.23377962</v>
      </c>
    </row>
    <row r="770">
      <c r="A770" s="25" t="s">
        <v>2070</v>
      </c>
      <c r="B770" s="100">
        <v>738317.69</v>
      </c>
      <c r="C770" s="101">
        <v>1042.50457828</v>
      </c>
    </row>
    <row r="771">
      <c r="A771" s="25" t="s">
        <v>2071</v>
      </c>
      <c r="B771" s="100">
        <v>871850.38</v>
      </c>
      <c r="C771" s="101">
        <v>195.33948833000002</v>
      </c>
    </row>
    <row r="772">
      <c r="A772" s="25" t="s">
        <v>2073</v>
      </c>
      <c r="B772" s="100">
        <v>751729.4</v>
      </c>
      <c r="C772" s="101">
        <v>169.08423361</v>
      </c>
    </row>
    <row r="773">
      <c r="A773" s="25" t="s">
        <v>2075</v>
      </c>
      <c r="B773" s="100">
        <v>1300000.0</v>
      </c>
      <c r="C773" s="101">
        <v>3642.0153</v>
      </c>
    </row>
    <row r="774">
      <c r="A774" s="25" t="s">
        <v>2078</v>
      </c>
      <c r="B774" s="100">
        <v>517293.17</v>
      </c>
      <c r="C774" s="101">
        <v>89.35499157</v>
      </c>
    </row>
    <row r="775">
      <c r="A775" s="25" t="s">
        <v>2079</v>
      </c>
      <c r="B775" s="100">
        <v>374525.13</v>
      </c>
      <c r="C775" s="101">
        <v>94.95702942</v>
      </c>
    </row>
    <row r="776">
      <c r="A776" s="25" t="s">
        <v>2081</v>
      </c>
      <c r="B776" s="100">
        <v>1217864.6</v>
      </c>
      <c r="C776" s="101">
        <v>387.35412041</v>
      </c>
    </row>
    <row r="777">
      <c r="A777" s="25" t="s">
        <v>2082</v>
      </c>
      <c r="B777" s="100">
        <v>31060.08</v>
      </c>
      <c r="C777" s="101">
        <v>43.85683296</v>
      </c>
    </row>
    <row r="778">
      <c r="A778" s="25" t="s">
        <v>2084</v>
      </c>
      <c r="B778" s="100">
        <v>147178.93</v>
      </c>
      <c r="C778" s="101">
        <v>31.08999136</v>
      </c>
    </row>
    <row r="779">
      <c r="A779" s="25" t="s">
        <v>2085</v>
      </c>
      <c r="B779" s="100">
        <v>6651155.11</v>
      </c>
      <c r="C779" s="101">
        <v>3013.0701742399997</v>
      </c>
    </row>
    <row r="780">
      <c r="A780" s="25" t="s">
        <v>2089</v>
      </c>
      <c r="B780" s="100">
        <v>871956.98</v>
      </c>
      <c r="C780" s="101">
        <v>367.93139535</v>
      </c>
    </row>
    <row r="781">
      <c r="A781" s="25" t="s">
        <v>2090</v>
      </c>
      <c r="B781" s="100">
        <v>267050.34</v>
      </c>
      <c r="C781" s="101">
        <v>59.265293899999996</v>
      </c>
    </row>
    <row r="782">
      <c r="A782" s="25" t="s">
        <v>2092</v>
      </c>
      <c r="B782" s="100">
        <v>1500345.02</v>
      </c>
      <c r="C782" s="101">
        <v>502.21830117</v>
      </c>
    </row>
    <row r="783">
      <c r="A783" s="25" t="s">
        <v>2095</v>
      </c>
      <c r="B783" s="100">
        <v>1735275.29</v>
      </c>
      <c r="C783" s="101">
        <v>402.97076049000003</v>
      </c>
    </row>
    <row r="784">
      <c r="A784" s="25" t="s">
        <v>2097</v>
      </c>
      <c r="B784" s="100">
        <v>7760497.21</v>
      </c>
      <c r="C784" s="101">
        <v>1494.56418732</v>
      </c>
    </row>
    <row r="785">
      <c r="A785" s="25" t="s">
        <v>2102</v>
      </c>
      <c r="B785" s="100">
        <v>2826988.67</v>
      </c>
      <c r="C785" s="101">
        <v>372.13050726999995</v>
      </c>
    </row>
    <row r="786">
      <c r="A786" s="25" t="s">
        <v>2104</v>
      </c>
      <c r="B786" s="100">
        <v>1.494667069E7</v>
      </c>
      <c r="C786" s="101">
        <v>7881.1803033900005</v>
      </c>
    </row>
    <row r="787">
      <c r="A787" s="25" t="s">
        <v>2106</v>
      </c>
      <c r="B787" s="100">
        <v>2933878.17</v>
      </c>
      <c r="C787" s="101">
        <v>970.65327354</v>
      </c>
    </row>
    <row r="788">
      <c r="A788" s="25" t="s">
        <v>2107</v>
      </c>
      <c r="B788" s="100">
        <v>4302707.79</v>
      </c>
      <c r="C788" s="101">
        <v>1010.04787302</v>
      </c>
    </row>
    <row r="789">
      <c r="A789" s="25" t="s">
        <v>2109</v>
      </c>
      <c r="B789" s="100">
        <v>3593236.64</v>
      </c>
      <c r="C789" s="101">
        <v>742.32859147</v>
      </c>
    </row>
    <row r="790">
      <c r="A790" s="25" t="s">
        <v>2110</v>
      </c>
      <c r="B790" s="100">
        <v>3665493.05</v>
      </c>
      <c r="C790" s="101">
        <v>1523.6780367200001</v>
      </c>
    </row>
    <row r="791">
      <c r="A791" s="25" t="s">
        <v>2114</v>
      </c>
      <c r="B791" s="100">
        <v>2321420.53</v>
      </c>
      <c r="C791" s="101">
        <v>919.96477638</v>
      </c>
    </row>
    <row r="792">
      <c r="A792" s="25" t="s">
        <v>2116</v>
      </c>
      <c r="B792" s="100">
        <v>1.404093421E7</v>
      </c>
      <c r="C792" s="101">
        <v>6703.10008588</v>
      </c>
    </row>
    <row r="793">
      <c r="A793" s="25" t="s">
        <v>2119</v>
      </c>
      <c r="B793" s="100">
        <v>1174050.7</v>
      </c>
      <c r="C793" s="101">
        <v>228.77637872999998</v>
      </c>
    </row>
    <row r="794">
      <c r="A794" s="25" t="s">
        <v>2121</v>
      </c>
      <c r="B794" s="100">
        <v>1994930.83</v>
      </c>
      <c r="C794" s="101">
        <v>942.98592186</v>
      </c>
    </row>
    <row r="795">
      <c r="A795" s="25" t="s">
        <v>2123</v>
      </c>
      <c r="B795" s="100">
        <v>1925228.47</v>
      </c>
      <c r="C795" s="101">
        <v>950.9092572899999</v>
      </c>
    </row>
    <row r="796">
      <c r="A796" s="25" t="s">
        <v>2124</v>
      </c>
      <c r="B796" s="100">
        <v>2940616.18</v>
      </c>
      <c r="C796" s="101">
        <v>1634.5717334600001</v>
      </c>
    </row>
    <row r="797">
      <c r="A797" s="25" t="s">
        <v>2126</v>
      </c>
      <c r="B797" s="100">
        <v>8785413.9</v>
      </c>
      <c r="C797" s="101">
        <v>2730.90631763</v>
      </c>
    </row>
    <row r="798">
      <c r="A798" s="25" t="s">
        <v>2127</v>
      </c>
      <c r="B798" s="100">
        <v>1470895.3</v>
      </c>
      <c r="C798" s="101">
        <v>497.72628277999996</v>
      </c>
    </row>
    <row r="799">
      <c r="A799" s="25" t="s">
        <v>2129</v>
      </c>
      <c r="B799" s="100">
        <v>2571399.61</v>
      </c>
      <c r="C799" s="101">
        <v>763.6808184299999</v>
      </c>
    </row>
    <row r="800">
      <c r="A800" s="25" t="s">
        <v>2131</v>
      </c>
      <c r="B800" s="100">
        <v>1027914.94</v>
      </c>
      <c r="C800" s="101">
        <v>220.63370756999998</v>
      </c>
    </row>
    <row r="801">
      <c r="A801" s="25" t="s">
        <v>2135</v>
      </c>
      <c r="B801" s="100">
        <v>4638040.71</v>
      </c>
      <c r="C801" s="101">
        <v>2677.16816861</v>
      </c>
    </row>
    <row r="802">
      <c r="A802" s="25" t="s">
        <v>2137</v>
      </c>
      <c r="B802" s="100">
        <v>6263583.58</v>
      </c>
      <c r="C802" s="101">
        <v>3109.17679398</v>
      </c>
    </row>
    <row r="803">
      <c r="A803" s="25" t="s">
        <v>2138</v>
      </c>
      <c r="B803" s="100">
        <v>1.087415069E7</v>
      </c>
      <c r="C803" s="101">
        <v>4831.63020658</v>
      </c>
    </row>
    <row r="804">
      <c r="A804" s="25" t="s">
        <v>2140</v>
      </c>
      <c r="B804" s="100">
        <v>4176780.27</v>
      </c>
      <c r="C804" s="101">
        <v>1592.40213023</v>
      </c>
    </row>
    <row r="805">
      <c r="A805" s="25" t="s">
        <v>2141</v>
      </c>
      <c r="B805" s="100">
        <v>3200228.37</v>
      </c>
      <c r="C805" s="101">
        <v>2429.7397451300003</v>
      </c>
    </row>
    <row r="806">
      <c r="A806" s="25" t="s">
        <v>2143</v>
      </c>
      <c r="B806" s="100">
        <v>1626855.64</v>
      </c>
      <c r="C806" s="101">
        <v>548.98607475</v>
      </c>
    </row>
    <row r="807">
      <c r="A807" s="25" t="s">
        <v>2144</v>
      </c>
      <c r="B807" s="100">
        <v>2524595.88</v>
      </c>
      <c r="C807" s="101">
        <v>362.33000001</v>
      </c>
    </row>
    <row r="808">
      <c r="A808" s="25" t="s">
        <v>2145</v>
      </c>
      <c r="B808" s="100">
        <v>2011896.27</v>
      </c>
      <c r="C808" s="101">
        <v>362.3224</v>
      </c>
    </row>
    <row r="809">
      <c r="A809" s="25" t="s">
        <v>2146</v>
      </c>
      <c r="B809" s="100">
        <v>2512591.27</v>
      </c>
      <c r="C809" s="101">
        <v>360.607099</v>
      </c>
    </row>
    <row r="810">
      <c r="A810" s="25" t="s">
        <v>2147</v>
      </c>
      <c r="B810" s="100">
        <v>897876.62</v>
      </c>
      <c r="C810" s="101">
        <v>402.24873508999997</v>
      </c>
    </row>
    <row r="811">
      <c r="A811" s="25" t="s">
        <v>2149</v>
      </c>
      <c r="B811" s="100">
        <v>741385.71</v>
      </c>
      <c r="C811" s="101">
        <v>703.00885788</v>
      </c>
    </row>
    <row r="812">
      <c r="A812" s="25" t="s">
        <v>2150</v>
      </c>
      <c r="B812" s="100">
        <v>3127319.8</v>
      </c>
      <c r="C812" s="101">
        <v>4107.36031525</v>
      </c>
    </row>
    <row r="813">
      <c r="A813" s="25" t="s">
        <v>2152</v>
      </c>
      <c r="B813" s="100">
        <v>1155819.46</v>
      </c>
      <c r="C813" s="101">
        <v>763.52684445</v>
      </c>
    </row>
    <row r="814">
      <c r="A814" s="25" t="s">
        <v>2153</v>
      </c>
      <c r="B814" s="100">
        <v>624746.44</v>
      </c>
      <c r="C814" s="101">
        <v>470.01574293</v>
      </c>
    </row>
    <row r="815">
      <c r="A815" s="25" t="s">
        <v>2154</v>
      </c>
      <c r="B815" s="100">
        <v>1320287.66</v>
      </c>
      <c r="C815" s="101">
        <v>1236.78038206</v>
      </c>
    </row>
    <row r="816">
      <c r="A816" s="25" t="s">
        <v>2156</v>
      </c>
      <c r="B816" s="100">
        <v>2308663.49</v>
      </c>
      <c r="C816" s="101">
        <v>808.2630895499999</v>
      </c>
    </row>
    <row r="817">
      <c r="A817" s="25" t="s">
        <v>2159</v>
      </c>
      <c r="B817" s="100">
        <v>6303745.91</v>
      </c>
      <c r="C817" s="101">
        <v>8900.88922492</v>
      </c>
    </row>
    <row r="818">
      <c r="A818" s="25" t="s">
        <v>2163</v>
      </c>
      <c r="B818" s="100">
        <v>578865.13</v>
      </c>
      <c r="C818" s="101">
        <v>307.4439557</v>
      </c>
    </row>
    <row r="819">
      <c r="A819" s="25" t="s">
        <v>2165</v>
      </c>
      <c r="B819" s="100">
        <v>96803.91</v>
      </c>
      <c r="C819" s="101">
        <v>149.1167823</v>
      </c>
    </row>
    <row r="820">
      <c r="A820" s="25" t="s">
        <v>2167</v>
      </c>
      <c r="B820" s="100">
        <v>46166.05</v>
      </c>
      <c r="C820" s="101">
        <v>62.36383451</v>
      </c>
    </row>
    <row r="821">
      <c r="A821" s="25" t="s">
        <v>2168</v>
      </c>
      <c r="B821" s="100">
        <v>57590.17</v>
      </c>
      <c r="C821" s="101">
        <v>63.26131925</v>
      </c>
    </row>
    <row r="822">
      <c r="A822" s="25" t="s">
        <v>2170</v>
      </c>
      <c r="B822" s="100">
        <v>3423860.56</v>
      </c>
      <c r="C822" s="101">
        <v>4606.90877953</v>
      </c>
    </row>
    <row r="823">
      <c r="A823" s="25" t="s">
        <v>2172</v>
      </c>
      <c r="B823" s="100">
        <v>987330.55</v>
      </c>
      <c r="C823" s="101">
        <v>1317.44487661</v>
      </c>
    </row>
    <row r="824">
      <c r="A824" s="25" t="s">
        <v>2177</v>
      </c>
      <c r="B824" s="100">
        <v>665173.22</v>
      </c>
      <c r="C824" s="101">
        <v>798.08271798</v>
      </c>
    </row>
    <row r="825">
      <c r="A825" s="25" t="s">
        <v>2180</v>
      </c>
      <c r="B825" s="100">
        <v>4035103.81</v>
      </c>
      <c r="C825" s="101">
        <v>5211.2609</v>
      </c>
    </row>
    <row r="826">
      <c r="A826" s="25" t="s">
        <v>2181</v>
      </c>
      <c r="B826" s="100">
        <v>180557.29</v>
      </c>
      <c r="C826" s="101">
        <v>178.63789474</v>
      </c>
    </row>
    <row r="827">
      <c r="A827" s="25" t="s">
        <v>2183</v>
      </c>
      <c r="B827" s="100">
        <v>2091063.35</v>
      </c>
      <c r="C827" s="101">
        <v>2530.39489989</v>
      </c>
    </row>
    <row r="828">
      <c r="A828" s="25" t="s">
        <v>2184</v>
      </c>
      <c r="B828" s="100">
        <v>6239535.61</v>
      </c>
      <c r="C828" s="101">
        <v>7652.9826924399995</v>
      </c>
    </row>
    <row r="829">
      <c r="A829" s="25" t="s">
        <v>2185</v>
      </c>
      <c r="B829" s="100">
        <v>2200023.21</v>
      </c>
      <c r="C829" s="101">
        <v>2326.68040234</v>
      </c>
    </row>
    <row r="830">
      <c r="A830" s="25" t="s">
        <v>2189</v>
      </c>
      <c r="B830" s="100">
        <v>5440655.68</v>
      </c>
      <c r="C830" s="101">
        <v>6659.282465859999</v>
      </c>
    </row>
    <row r="831">
      <c r="A831" s="25" t="s">
        <v>2190</v>
      </c>
      <c r="B831" s="100">
        <v>622285.71</v>
      </c>
      <c r="C831" s="101">
        <v>878.66742252</v>
      </c>
    </row>
    <row r="832">
      <c r="A832" s="25" t="s">
        <v>2193</v>
      </c>
      <c r="B832" s="100">
        <v>1465488.57</v>
      </c>
      <c r="C832" s="101">
        <v>1791.19438552</v>
      </c>
    </row>
    <row r="833">
      <c r="A833" s="25" t="s">
        <v>2194</v>
      </c>
      <c r="B833" s="100">
        <v>3335060.85</v>
      </c>
      <c r="C833" s="101">
        <v>3917.38275046</v>
      </c>
    </row>
    <row r="834">
      <c r="A834" s="25" t="s">
        <v>2197</v>
      </c>
      <c r="B834" s="100">
        <v>970601.87</v>
      </c>
      <c r="C834" s="101">
        <v>1122.00078709</v>
      </c>
    </row>
    <row r="835">
      <c r="A835" s="25" t="s">
        <v>2199</v>
      </c>
      <c r="B835" s="100">
        <v>2653596.49</v>
      </c>
      <c r="C835" s="101">
        <v>3159.81050492</v>
      </c>
    </row>
    <row r="836">
      <c r="A836" s="25" t="s">
        <v>2200</v>
      </c>
      <c r="B836" s="100">
        <v>1534465.61</v>
      </c>
      <c r="C836" s="101">
        <v>1730.76553214</v>
      </c>
    </row>
    <row r="837">
      <c r="A837" s="25" t="s">
        <v>2203</v>
      </c>
      <c r="B837" s="100">
        <v>4126060.26</v>
      </c>
      <c r="C837" s="101">
        <v>4682.13996644</v>
      </c>
    </row>
    <row r="838">
      <c r="A838" s="25" t="s">
        <v>2205</v>
      </c>
      <c r="B838" s="100">
        <v>2032006.2</v>
      </c>
      <c r="C838" s="101">
        <v>2637.2377995399997</v>
      </c>
    </row>
    <row r="839">
      <c r="A839" s="25" t="s">
        <v>2207</v>
      </c>
      <c r="B839" s="100">
        <v>2.836184505E7</v>
      </c>
      <c r="C839" s="101">
        <v>36288.141652980004</v>
      </c>
    </row>
    <row r="840">
      <c r="A840" s="25" t="s">
        <v>2209</v>
      </c>
      <c r="B840" s="100">
        <v>1643865.5</v>
      </c>
      <c r="C840" s="101">
        <v>1939.7473864</v>
      </c>
    </row>
    <row r="841">
      <c r="A841" s="25" t="s">
        <v>2211</v>
      </c>
      <c r="B841" s="100">
        <v>1227317.99</v>
      </c>
      <c r="C841" s="101">
        <v>1682.37733085</v>
      </c>
    </row>
    <row r="842">
      <c r="A842" s="25" t="s">
        <v>2212</v>
      </c>
      <c r="B842" s="100">
        <v>1238933.95</v>
      </c>
      <c r="C842" s="101">
        <v>1698.7644824200001</v>
      </c>
    </row>
    <row r="843">
      <c r="A843" s="25" t="s">
        <v>2214</v>
      </c>
      <c r="B843" s="100">
        <v>3495234.33</v>
      </c>
      <c r="C843" s="101">
        <v>4021.70064284</v>
      </c>
    </row>
    <row r="844">
      <c r="A844" s="25" t="s">
        <v>2218</v>
      </c>
      <c r="B844" s="100">
        <v>5703668.09</v>
      </c>
      <c r="C844" s="101">
        <v>6753.51543371</v>
      </c>
    </row>
    <row r="845">
      <c r="A845" s="25" t="s">
        <v>2220</v>
      </c>
      <c r="B845" s="100">
        <v>1.089E7</v>
      </c>
      <c r="C845" s="101">
        <v>15376.68</v>
      </c>
    </row>
    <row r="846">
      <c r="A846" s="25" t="s">
        <v>2223</v>
      </c>
      <c r="B846" s="100">
        <v>3248005.71</v>
      </c>
      <c r="C846" s="101">
        <v>3875.0384101</v>
      </c>
    </row>
    <row r="847">
      <c r="A847" s="25" t="s">
        <v>2224</v>
      </c>
      <c r="B847" s="100">
        <v>1086110.91</v>
      </c>
      <c r="C847" s="101">
        <v>1397.3243155999999</v>
      </c>
    </row>
    <row r="848">
      <c r="A848" s="25" t="s">
        <v>2226</v>
      </c>
      <c r="B848" s="100">
        <v>1897870.06</v>
      </c>
      <c r="C848" s="101">
        <v>2191.79150489</v>
      </c>
    </row>
    <row r="849">
      <c r="A849" s="25" t="s">
        <v>2227</v>
      </c>
      <c r="B849" s="100">
        <v>5091967.49</v>
      </c>
      <c r="C849" s="101">
        <v>8129.18787058</v>
      </c>
    </row>
    <row r="850">
      <c r="A850" s="25" t="s">
        <v>2229</v>
      </c>
      <c r="B850" s="100">
        <v>9819587.43</v>
      </c>
      <c r="C850" s="101">
        <v>11978.38385177</v>
      </c>
    </row>
    <row r="851">
      <c r="A851" s="25" t="s">
        <v>2231</v>
      </c>
      <c r="B851" s="100">
        <v>5752255.81</v>
      </c>
      <c r="C851" s="101">
        <v>7197.88161263</v>
      </c>
    </row>
    <row r="852">
      <c r="A852" s="25" t="s">
        <v>2234</v>
      </c>
      <c r="B852" s="100">
        <v>4077200.91</v>
      </c>
      <c r="C852" s="101">
        <v>4969.84918148</v>
      </c>
    </row>
    <row r="853">
      <c r="A853" s="25" t="s">
        <v>2235</v>
      </c>
      <c r="B853" s="100">
        <v>372771.47</v>
      </c>
      <c r="C853" s="101">
        <v>526.35331564</v>
      </c>
    </row>
    <row r="854">
      <c r="A854" s="25" t="s">
        <v>2237</v>
      </c>
      <c r="B854" s="100">
        <v>8448474.09</v>
      </c>
      <c r="C854" s="101">
        <v>10539.55467005</v>
      </c>
    </row>
    <row r="855">
      <c r="A855" s="25" t="s">
        <v>2238</v>
      </c>
      <c r="B855" s="100">
        <v>9100429.72</v>
      </c>
      <c r="C855" s="101">
        <v>12849.80676464</v>
      </c>
    </row>
    <row r="856">
      <c r="A856" s="25" t="s">
        <v>2240</v>
      </c>
      <c r="B856" s="100">
        <v>321675.71</v>
      </c>
      <c r="C856" s="101">
        <v>1007.9711465800001</v>
      </c>
    </row>
    <row r="857">
      <c r="A857" s="25" t="s">
        <v>2241</v>
      </c>
      <c r="B857" s="100">
        <v>413290.11</v>
      </c>
      <c r="C857" s="101">
        <v>583.5656353200001</v>
      </c>
    </row>
    <row r="858">
      <c r="A858" s="25" t="s">
        <v>2244</v>
      </c>
      <c r="B858" s="100">
        <v>1718126.63</v>
      </c>
      <c r="C858" s="101">
        <v>2254.51829456</v>
      </c>
    </row>
    <row r="859">
      <c r="A859" s="25" t="s">
        <v>2247</v>
      </c>
      <c r="B859" s="100">
        <v>3858610.01</v>
      </c>
      <c r="C859" s="101">
        <v>4867.289731399999</v>
      </c>
    </row>
    <row r="860">
      <c r="A860" s="25" t="s">
        <v>2250</v>
      </c>
      <c r="B860" s="100">
        <v>2.078233E7</v>
      </c>
      <c r="C860" s="101">
        <v>25987.27191957</v>
      </c>
    </row>
    <row r="861">
      <c r="A861" s="25" t="s">
        <v>2253</v>
      </c>
      <c r="B861" s="100">
        <v>8426256.80620996</v>
      </c>
      <c r="C861" s="101">
        <v>9583.52647721</v>
      </c>
    </row>
    <row r="862">
      <c r="A862" s="25" t="s">
        <v>2255</v>
      </c>
      <c r="B862" s="100">
        <v>1245288.79</v>
      </c>
      <c r="C862" s="101">
        <v>1907.59830674</v>
      </c>
    </row>
    <row r="863">
      <c r="A863" s="25" t="s">
        <v>2256</v>
      </c>
      <c r="B863" s="100">
        <v>4998938.98</v>
      </c>
      <c r="C863" s="101">
        <v>6796.05341585</v>
      </c>
    </row>
    <row r="864">
      <c r="A864" s="25" t="s">
        <v>2258</v>
      </c>
      <c r="B864" s="100">
        <v>1252587.99</v>
      </c>
      <c r="C864" s="101">
        <v>6906.78742933</v>
      </c>
    </row>
    <row r="865">
      <c r="A865" s="25" t="s">
        <v>2260</v>
      </c>
      <c r="B865" s="100">
        <v>2.598817436E7</v>
      </c>
      <c r="C865" s="101">
        <v>35171.95974154</v>
      </c>
    </row>
    <row r="866">
      <c r="A866" s="25" t="s">
        <v>2263</v>
      </c>
      <c r="B866" s="100">
        <v>6555356.01</v>
      </c>
      <c r="C866" s="101">
        <v>8754.57720222</v>
      </c>
    </row>
    <row r="867">
      <c r="A867" s="25" t="s">
        <v>2265</v>
      </c>
      <c r="B867" s="100">
        <v>2717533.0</v>
      </c>
      <c r="C867" s="101">
        <v>3306.70200569</v>
      </c>
    </row>
    <row r="868">
      <c r="A868" s="25" t="s">
        <v>2267</v>
      </c>
      <c r="B868" s="100">
        <v>1050243.11</v>
      </c>
      <c r="C868" s="101">
        <v>1482.94327132</v>
      </c>
    </row>
    <row r="869">
      <c r="A869" s="25" t="s">
        <v>2270</v>
      </c>
      <c r="B869" s="100">
        <v>1526169.13078172</v>
      </c>
      <c r="C869" s="101">
        <v>2235.67071516</v>
      </c>
    </row>
    <row r="870">
      <c r="A870" s="25" t="s">
        <v>2274</v>
      </c>
      <c r="B870" s="100">
        <v>5132204.21</v>
      </c>
      <c r="C870" s="101">
        <v>7246.6723445200005</v>
      </c>
    </row>
    <row r="871">
      <c r="A871" s="25" t="s">
        <v>2276</v>
      </c>
      <c r="B871" s="100">
        <v>5132204.21</v>
      </c>
      <c r="C871" s="101">
        <v>7246.6723445200005</v>
      </c>
    </row>
    <row r="872">
      <c r="A872" s="25" t="s">
        <v>2278</v>
      </c>
      <c r="B872" s="100">
        <v>1159771.06</v>
      </c>
      <c r="C872" s="101">
        <v>1637.59673672</v>
      </c>
    </row>
    <row r="873">
      <c r="A873" s="25" t="s">
        <v>2280</v>
      </c>
      <c r="B873" s="100">
        <v>1.770371E7</v>
      </c>
      <c r="C873" s="101">
        <v>26310.535643479998</v>
      </c>
    </row>
    <row r="874">
      <c r="A874" s="25" t="s">
        <v>2282</v>
      </c>
      <c r="B874" s="100">
        <v>1.4128493E7</v>
      </c>
      <c r="C874" s="101">
        <v>19949.432116</v>
      </c>
    </row>
    <row r="875">
      <c r="A875" s="25" t="s">
        <v>2285</v>
      </c>
      <c r="B875" s="100">
        <v>6050000.0</v>
      </c>
      <c r="C875" s="101">
        <v>8542.6</v>
      </c>
    </row>
    <row r="876">
      <c r="A876" s="25" t="s">
        <v>2286</v>
      </c>
      <c r="B876" s="100">
        <v>3696550.0</v>
      </c>
      <c r="C876" s="101">
        <v>5219.5286</v>
      </c>
    </row>
    <row r="877">
      <c r="A877" s="25" t="s">
        <v>2289</v>
      </c>
      <c r="B877" s="100">
        <v>2928200.0</v>
      </c>
      <c r="C877" s="101">
        <v>4134.6184</v>
      </c>
    </row>
    <row r="878">
      <c r="A878" s="25" t="s">
        <v>2292</v>
      </c>
      <c r="B878" s="100">
        <v>1524600.0</v>
      </c>
      <c r="C878" s="101">
        <v>2152.7352</v>
      </c>
    </row>
    <row r="879">
      <c r="A879" s="25" t="s">
        <v>2293</v>
      </c>
      <c r="B879" s="100">
        <v>1292670.81</v>
      </c>
      <c r="C879" s="101">
        <v>1825.25118372</v>
      </c>
    </row>
    <row r="880">
      <c r="A880" s="25" t="s">
        <v>2296</v>
      </c>
      <c r="B880" s="100">
        <v>701800.0</v>
      </c>
      <c r="C880" s="101">
        <v>990.9416</v>
      </c>
    </row>
    <row r="881">
      <c r="A881" s="25" t="s">
        <v>2297</v>
      </c>
      <c r="B881" s="100">
        <v>1.9906651E7</v>
      </c>
      <c r="C881" s="101">
        <v>28108.191212</v>
      </c>
    </row>
    <row r="882">
      <c r="A882" s="25" t="s">
        <v>2299</v>
      </c>
      <c r="B882" s="100">
        <v>8169661.10551373</v>
      </c>
      <c r="C882" s="101">
        <v>12046.16530008</v>
      </c>
    </row>
    <row r="883">
      <c r="A883" s="25" t="s">
        <v>2302</v>
      </c>
      <c r="B883" s="100">
        <v>1555714.29</v>
      </c>
      <c r="C883" s="101">
        <v>2196.66857748</v>
      </c>
    </row>
    <row r="884">
      <c r="A884" s="25" t="s">
        <v>2307</v>
      </c>
      <c r="B884" s="100">
        <v>2.7E7</v>
      </c>
      <c r="C884" s="101">
        <v>38124.0</v>
      </c>
    </row>
    <row r="885">
      <c r="A885" s="25" t="s">
        <v>2308</v>
      </c>
      <c r="B885" s="100">
        <v>9500000.0</v>
      </c>
      <c r="C885" s="101">
        <v>13414.0</v>
      </c>
    </row>
    <row r="886">
      <c r="A886" s="25" t="s">
        <v>2310</v>
      </c>
      <c r="B886" s="100">
        <v>2.379284461E7</v>
      </c>
      <c r="C886" s="101">
        <v>31739.66989518</v>
      </c>
    </row>
    <row r="887">
      <c r="A887" s="25" t="s">
        <v>2311</v>
      </c>
      <c r="B887" s="100">
        <v>1149500.0</v>
      </c>
      <c r="C887" s="101">
        <v>1623.094</v>
      </c>
    </row>
    <row r="888">
      <c r="A888" s="25" t="s">
        <v>2313</v>
      </c>
      <c r="B888" s="100">
        <v>1454725.6</v>
      </c>
      <c r="C888" s="101">
        <v>2054.0725472</v>
      </c>
    </row>
    <row r="889">
      <c r="A889" s="25" t="s">
        <v>2317</v>
      </c>
      <c r="B889" s="100">
        <v>5.566E7</v>
      </c>
      <c r="C889" s="101">
        <v>78591.92</v>
      </c>
    </row>
    <row r="890">
      <c r="A890" s="25" t="s">
        <v>2319</v>
      </c>
      <c r="B890" s="100">
        <v>5.324E7</v>
      </c>
      <c r="C890" s="101">
        <v>75174.88</v>
      </c>
    </row>
    <row r="891">
      <c r="A891" s="25" t="s">
        <v>2320</v>
      </c>
      <c r="B891" s="100">
        <v>5.324E7</v>
      </c>
      <c r="C891" s="101">
        <v>75174.88</v>
      </c>
    </row>
    <row r="892">
      <c r="A892" s="25" t="s">
        <v>2322</v>
      </c>
      <c r="B892" s="100">
        <v>1.936E7</v>
      </c>
      <c r="C892" s="101">
        <v>27336.32</v>
      </c>
    </row>
    <row r="893">
      <c r="A893" s="25" t="s">
        <v>2323</v>
      </c>
      <c r="B893" s="100">
        <v>1505069.69</v>
      </c>
      <c r="C893" s="101">
        <v>2125.15840228</v>
      </c>
    </row>
    <row r="894">
      <c r="A894" s="25" t="s">
        <v>2326</v>
      </c>
      <c r="B894" s="100">
        <v>8228000.0</v>
      </c>
      <c r="C894" s="101">
        <v>11617.936</v>
      </c>
    </row>
    <row r="895">
      <c r="A895" s="25" t="s">
        <v>2328</v>
      </c>
      <c r="B895" s="100">
        <v>7100815.41882876</v>
      </c>
      <c r="C895" s="101">
        <v>9579.0</v>
      </c>
    </row>
    <row r="896">
      <c r="A896" s="25" t="s">
        <v>2330</v>
      </c>
      <c r="B896" s="100">
        <v>1798877.51</v>
      </c>
      <c r="C896" s="101">
        <v>2371.89721581</v>
      </c>
    </row>
    <row r="897">
      <c r="A897" s="25" t="s">
        <v>2331</v>
      </c>
      <c r="B897" s="100">
        <v>453808.75</v>
      </c>
      <c r="C897" s="101">
        <v>640.777955</v>
      </c>
    </row>
    <row r="898">
      <c r="A898" s="25" t="s">
        <v>2333</v>
      </c>
      <c r="B898" s="100">
        <v>1.2E7</v>
      </c>
      <c r="C898" s="101">
        <v>16944.0</v>
      </c>
    </row>
    <row r="899">
      <c r="A899" s="25" t="s">
        <v>2334</v>
      </c>
      <c r="B899" s="100">
        <v>2800000.0</v>
      </c>
      <c r="C899" s="101">
        <v>3953.6</v>
      </c>
    </row>
    <row r="900">
      <c r="A900" s="25" t="s">
        <v>2337</v>
      </c>
      <c r="B900" s="100">
        <v>2225808.86010145</v>
      </c>
      <c r="C900" s="101">
        <v>3071.61622694</v>
      </c>
    </row>
    <row r="901">
      <c r="A901" s="25" t="s">
        <v>2339</v>
      </c>
      <c r="B901" s="100">
        <v>1961102.11</v>
      </c>
      <c r="C901" s="101">
        <v>2769.0761793200004</v>
      </c>
    </row>
    <row r="902">
      <c r="A902" s="25" t="s">
        <v>2341</v>
      </c>
      <c r="B902" s="100">
        <v>3592501.98</v>
      </c>
      <c r="C902" s="101">
        <v>4666.95392405</v>
      </c>
    </row>
    <row r="903">
      <c r="A903" s="25" t="s">
        <v>2343</v>
      </c>
      <c r="B903" s="100">
        <v>378173.96</v>
      </c>
      <c r="C903" s="101">
        <v>533.98163152</v>
      </c>
    </row>
    <row r="904">
      <c r="A904" s="25" t="s">
        <v>2344</v>
      </c>
      <c r="B904" s="100">
        <v>7018000.0</v>
      </c>
      <c r="C904" s="101">
        <v>9909.416</v>
      </c>
    </row>
    <row r="905">
      <c r="A905" s="25" t="s">
        <v>2347</v>
      </c>
      <c r="B905" s="100">
        <v>3712000.01</v>
      </c>
      <c r="C905" s="101">
        <v>5241.34401412</v>
      </c>
    </row>
    <row r="906">
      <c r="A906" s="25" t="s">
        <v>2348</v>
      </c>
      <c r="B906" s="100">
        <v>1412111.31</v>
      </c>
      <c r="C906" s="101">
        <v>1882.7551602</v>
      </c>
    </row>
    <row r="907">
      <c r="A907" s="25" t="s">
        <v>2351</v>
      </c>
      <c r="B907" s="100">
        <v>1255529.0</v>
      </c>
      <c r="C907" s="101">
        <v>1847.6324257200001</v>
      </c>
    </row>
    <row r="908">
      <c r="A908" s="25" t="s">
        <v>2353</v>
      </c>
      <c r="B908" s="100">
        <v>4589720.67</v>
      </c>
      <c r="C908" s="101">
        <v>7439.459795979999</v>
      </c>
    </row>
    <row r="909">
      <c r="A909" s="25" t="s">
        <v>2356</v>
      </c>
      <c r="B909" s="100">
        <v>620205.29</v>
      </c>
      <c r="C909" s="101">
        <v>875.72986948</v>
      </c>
    </row>
    <row r="910">
      <c r="A910" s="25" t="s">
        <v>2357</v>
      </c>
      <c r="B910" s="100">
        <v>1.2221E7</v>
      </c>
      <c r="C910" s="101">
        <v>17256.052</v>
      </c>
    </row>
    <row r="911">
      <c r="A911" s="25" t="s">
        <v>2359</v>
      </c>
      <c r="B911" s="100">
        <v>478795.33</v>
      </c>
      <c r="C911" s="101">
        <v>489.93204699</v>
      </c>
    </row>
    <row r="912">
      <c r="A912" s="25" t="s">
        <v>2361</v>
      </c>
      <c r="B912" s="100">
        <v>1991224.0</v>
      </c>
      <c r="C912" s="101">
        <v>2572.99524685</v>
      </c>
    </row>
    <row r="913">
      <c r="A913" s="25" t="s">
        <v>2365</v>
      </c>
      <c r="B913" s="100">
        <v>3071065.99</v>
      </c>
      <c r="C913" s="101">
        <v>4336.34517788</v>
      </c>
    </row>
    <row r="914">
      <c r="A914" s="25" t="s">
        <v>2368</v>
      </c>
      <c r="B914" s="100">
        <v>2.5056559E7</v>
      </c>
      <c r="C914" s="101">
        <v>35379.861308</v>
      </c>
    </row>
    <row r="915">
      <c r="A915" s="25" t="s">
        <v>2369</v>
      </c>
      <c r="B915" s="100">
        <v>1.21E7</v>
      </c>
      <c r="C915" s="101">
        <v>17085.2</v>
      </c>
    </row>
    <row r="916">
      <c r="A916" s="25" t="s">
        <v>2371</v>
      </c>
      <c r="B916" s="100">
        <v>1.21E7</v>
      </c>
      <c r="C916" s="101">
        <v>17085.2</v>
      </c>
    </row>
    <row r="917">
      <c r="A917" s="25" t="s">
        <v>2372</v>
      </c>
      <c r="B917" s="100">
        <v>1576804.0</v>
      </c>
      <c r="C917" s="101">
        <v>2222.06384824</v>
      </c>
    </row>
    <row r="918">
      <c r="A918" s="25" t="s">
        <v>2374</v>
      </c>
      <c r="B918" s="100">
        <v>2808390.0</v>
      </c>
      <c r="C918" s="101">
        <v>4019.3742705</v>
      </c>
    </row>
    <row r="919">
      <c r="A919" s="25" t="s">
        <v>2376</v>
      </c>
      <c r="B919" s="100">
        <v>3630000.0</v>
      </c>
      <c r="C919" s="101">
        <v>5125.56</v>
      </c>
    </row>
    <row r="920">
      <c r="A920" s="25" t="s">
        <v>2378</v>
      </c>
      <c r="B920" s="100">
        <v>1.21E7</v>
      </c>
      <c r="C920" s="101">
        <v>17085.2</v>
      </c>
    </row>
    <row r="921">
      <c r="A921" s="25" t="s">
        <v>2382</v>
      </c>
      <c r="B921" s="100">
        <v>3090909.09</v>
      </c>
      <c r="C921" s="101">
        <v>4364.36363508</v>
      </c>
    </row>
    <row r="922">
      <c r="A922" s="25" t="s">
        <v>2383</v>
      </c>
      <c r="B922" s="100">
        <v>1700000.0</v>
      </c>
      <c r="C922" s="101">
        <v>2400.4</v>
      </c>
    </row>
    <row r="923">
      <c r="A923" s="25" t="s">
        <v>2385</v>
      </c>
      <c r="B923" s="100">
        <v>6490909.09</v>
      </c>
      <c r="C923" s="101">
        <v>9165.16363508</v>
      </c>
    </row>
    <row r="924">
      <c r="A924" s="25" t="s">
        <v>2387</v>
      </c>
      <c r="B924" s="100">
        <v>4171618.04</v>
      </c>
      <c r="C924" s="101">
        <v>5890.324672479999</v>
      </c>
    </row>
    <row r="925">
      <c r="A925" s="25" t="s">
        <v>2389</v>
      </c>
      <c r="B925" s="100">
        <v>2533343.0</v>
      </c>
      <c r="C925" s="101">
        <v>3576.9221875</v>
      </c>
    </row>
    <row r="926">
      <c r="A926" s="25" t="s">
        <v>2392</v>
      </c>
      <c r="B926" s="100">
        <v>3409090.91</v>
      </c>
      <c r="C926" s="101">
        <v>4813.63636492</v>
      </c>
    </row>
    <row r="927">
      <c r="A927" s="25" t="s">
        <v>2394</v>
      </c>
      <c r="B927" s="100">
        <v>2374300.72</v>
      </c>
      <c r="C927" s="101">
        <v>3352.51261664</v>
      </c>
    </row>
    <row r="928">
      <c r="A928" s="25" t="s">
        <v>2396</v>
      </c>
      <c r="B928" s="100">
        <v>2163636.36</v>
      </c>
      <c r="C928" s="101">
        <v>3055.0545403200003</v>
      </c>
    </row>
    <row r="929">
      <c r="A929" s="25" t="s">
        <v>2398</v>
      </c>
      <c r="B929" s="100">
        <v>0.0</v>
      </c>
      <c r="C929" s="25"/>
    </row>
    <row r="930">
      <c r="A930" s="25" t="s">
        <v>2399</v>
      </c>
      <c r="B930" s="100">
        <v>950334.18</v>
      </c>
      <c r="C930" s="101">
        <v>1723.01308001</v>
      </c>
    </row>
    <row r="931">
      <c r="A931" s="25" t="s">
        <v>2403</v>
      </c>
      <c r="B931" s="100">
        <v>3583467.77</v>
      </c>
      <c r="C931" s="101">
        <v>4286.77966297</v>
      </c>
    </row>
    <row r="932">
      <c r="A932" s="25" t="s">
        <v>2405</v>
      </c>
      <c r="B932" s="100">
        <v>3630000.0</v>
      </c>
      <c r="C932" s="101">
        <v>5125.56</v>
      </c>
    </row>
    <row r="933">
      <c r="A933" s="25" t="s">
        <v>2406</v>
      </c>
      <c r="B933" s="100">
        <v>2.6561585975943398E7</v>
      </c>
      <c r="C933" s="101">
        <v>34709.830582611605</v>
      </c>
    </row>
    <row r="934">
      <c r="A934" s="25" t="s">
        <v>2407</v>
      </c>
      <c r="B934" s="100">
        <v>1.473050313127223E7</v>
      </c>
      <c r="C934" s="101">
        <v>15889.64616541</v>
      </c>
    </row>
    <row r="935">
      <c r="A935" s="25" t="s">
        <v>2409</v>
      </c>
      <c r="B935" s="100">
        <v>1.7960117608244684E7</v>
      </c>
      <c r="C935" s="101">
        <v>19048.3756707</v>
      </c>
    </row>
    <row r="936">
      <c r="A936" s="25" t="s">
        <v>2412</v>
      </c>
      <c r="B936" s="100">
        <v>1.161908979250725E7</v>
      </c>
      <c r="C936" s="101">
        <v>12871.8365631614</v>
      </c>
    </row>
    <row r="937">
      <c r="A937" s="25" t="s">
        <v>2414</v>
      </c>
      <c r="B937" s="100">
        <v>1.8883539614578485E7</v>
      </c>
      <c r="C937" s="101">
        <v>22007.683558250003</v>
      </c>
    </row>
    <row r="938">
      <c r="A938" s="25" t="s">
        <v>2417</v>
      </c>
      <c r="B938" s="100">
        <v>1.2789201646090535E7</v>
      </c>
      <c r="C938" s="101">
        <v>15538.88</v>
      </c>
    </row>
    <row r="939">
      <c r="A939" s="25" t="s">
        <v>2418</v>
      </c>
      <c r="B939" s="100">
        <v>3.879209607005833E7</v>
      </c>
      <c r="C939" s="101">
        <v>51461.90528407</v>
      </c>
    </row>
    <row r="940">
      <c r="A940" s="25" t="s">
        <v>2420</v>
      </c>
      <c r="B940" s="100">
        <v>1.770440396587503E7</v>
      </c>
      <c r="C940" s="101">
        <v>21286.25</v>
      </c>
    </row>
    <row r="941">
      <c r="A941" s="25" t="s">
        <v>2421</v>
      </c>
      <c r="B941" s="100">
        <v>4.486234724463915E7</v>
      </c>
      <c r="C941" s="101">
        <v>53516.33</v>
      </c>
    </row>
    <row r="942">
      <c r="A942" s="25" t="s">
        <v>2424</v>
      </c>
      <c r="B942" s="100">
        <v>3280774.366070193</v>
      </c>
      <c r="C942" s="101">
        <v>3880.99211008</v>
      </c>
    </row>
    <row r="943">
      <c r="A943" s="25" t="s">
        <v>2426</v>
      </c>
      <c r="B943" s="100">
        <v>1305658.0430808081</v>
      </c>
      <c r="C943" s="101">
        <v>1305.21080016</v>
      </c>
    </row>
    <row r="944">
      <c r="A944" s="25" t="s">
        <v>2428</v>
      </c>
      <c r="B944" s="100">
        <v>5.408545E7</v>
      </c>
      <c r="C944" s="101">
        <v>73528.57</v>
      </c>
    </row>
    <row r="945">
      <c r="A945" s="25" t="s">
        <v>2429</v>
      </c>
      <c r="B945" s="100">
        <v>4.8753008333333336E7</v>
      </c>
      <c r="C945" s="101">
        <v>66178.88</v>
      </c>
    </row>
    <row r="946">
      <c r="A946" s="25" t="s">
        <v>2430</v>
      </c>
      <c r="B946" s="100">
        <v>5.6466666666666664E7</v>
      </c>
      <c r="C946" s="101">
        <v>75805.11</v>
      </c>
    </row>
    <row r="947">
      <c r="A947" s="25" t="s">
        <v>2432</v>
      </c>
      <c r="B947" s="100">
        <v>1.3793103448275862E7</v>
      </c>
      <c r="C947" s="101">
        <v>20000.0</v>
      </c>
    </row>
    <row r="948">
      <c r="A948" s="25" t="s">
        <v>2435</v>
      </c>
      <c r="B948" s="100">
        <v>2397260.2739726026</v>
      </c>
      <c r="C948" s="101">
        <v>3500.0</v>
      </c>
    </row>
    <row r="949">
      <c r="A949" s="25" t="s">
        <v>2437</v>
      </c>
      <c r="B949" s="100">
        <v>1712328.7671232875</v>
      </c>
      <c r="C949" s="101">
        <v>2500.0</v>
      </c>
    </row>
    <row r="950">
      <c r="A950" s="25" t="s">
        <v>2439</v>
      </c>
      <c r="B950" s="100">
        <v>2054794.5205479455</v>
      </c>
      <c r="C950" s="101">
        <v>3000.0</v>
      </c>
    </row>
    <row r="951">
      <c r="A951" s="25" t="s">
        <v>2440</v>
      </c>
      <c r="B951" s="100">
        <v>2260273.97260274</v>
      </c>
      <c r="C951" s="101">
        <v>3300.0</v>
      </c>
    </row>
    <row r="952">
      <c r="A952" s="25" t="s">
        <v>2442</v>
      </c>
      <c r="B952" s="100">
        <v>0.0</v>
      </c>
      <c r="C952" s="25"/>
    </row>
    <row r="953">
      <c r="A953" s="25" t="s">
        <v>2445</v>
      </c>
      <c r="B953" s="100">
        <v>0.0</v>
      </c>
      <c r="C953" s="25"/>
    </row>
    <row r="954">
      <c r="A954" s="25" t="s">
        <v>2447</v>
      </c>
      <c r="B954" s="100">
        <v>0.0</v>
      </c>
      <c r="C954" s="25"/>
    </row>
    <row r="955">
      <c r="A955" s="25" t="s">
        <v>2449</v>
      </c>
      <c r="B955" s="100">
        <v>0.0</v>
      </c>
      <c r="C955" s="25"/>
    </row>
    <row r="956">
      <c r="A956" s="25" t="s">
        <v>2450</v>
      </c>
      <c r="B956" s="100">
        <v>0.0</v>
      </c>
      <c r="C956" s="25"/>
    </row>
    <row r="957">
      <c r="A957" s="25" t="s">
        <v>2452</v>
      </c>
      <c r="B957" s="100">
        <v>0.0</v>
      </c>
      <c r="C957" s="25"/>
    </row>
    <row r="958">
      <c r="A958" s="25" t="s">
        <v>2454</v>
      </c>
      <c r="B958" s="100">
        <v>0.0</v>
      </c>
      <c r="C958" s="25"/>
    </row>
    <row r="959">
      <c r="A959" s="25" t="s">
        <v>2457</v>
      </c>
      <c r="B959" s="100">
        <v>1106558.6206896552</v>
      </c>
      <c r="C959" s="101">
        <v>1604.51</v>
      </c>
    </row>
    <row r="960">
      <c r="A960" s="25" t="s">
        <v>2459</v>
      </c>
      <c r="B960" s="100">
        <v>111034.4827586207</v>
      </c>
      <c r="C960" s="101">
        <v>161.0</v>
      </c>
    </row>
    <row r="961">
      <c r="A961" s="25" t="s">
        <v>2461</v>
      </c>
      <c r="B961" s="100">
        <v>413793.1034482759</v>
      </c>
      <c r="C961" s="101">
        <v>600.0</v>
      </c>
    </row>
    <row r="962">
      <c r="A962" s="25" t="s">
        <v>2462</v>
      </c>
      <c r="B962" s="100">
        <v>1034482.7586206896</v>
      </c>
      <c r="C962" s="101">
        <v>1500.0</v>
      </c>
    </row>
    <row r="963">
      <c r="A963" s="25" t="s">
        <v>2463</v>
      </c>
      <c r="B963" s="100">
        <v>310344.8275862069</v>
      </c>
      <c r="C963" s="101">
        <v>450.0</v>
      </c>
    </row>
    <row r="964">
      <c r="A964" s="25" t="s">
        <v>2466</v>
      </c>
      <c r="B964" s="100">
        <v>2896551.724137931</v>
      </c>
      <c r="C964" s="101">
        <v>4200.0</v>
      </c>
    </row>
    <row r="965">
      <c r="A965" s="25" t="s">
        <v>2467</v>
      </c>
      <c r="B965" s="100">
        <v>758620.6896551724</v>
      </c>
      <c r="C965" s="101">
        <v>1100.0</v>
      </c>
    </row>
    <row r="966">
      <c r="A966" s="25" t="s">
        <v>2469</v>
      </c>
      <c r="B966" s="100">
        <v>265517.2413793103</v>
      </c>
      <c r="C966" s="101">
        <v>385.0</v>
      </c>
    </row>
    <row r="967">
      <c r="A967" s="25" t="s">
        <v>2471</v>
      </c>
      <c r="B967" s="100">
        <v>651724.1379310344</v>
      </c>
      <c r="C967" s="101">
        <v>945.0</v>
      </c>
    </row>
    <row r="968">
      <c r="A968" s="25" t="s">
        <v>2474</v>
      </c>
      <c r="B968" s="100">
        <v>2726206.896551724</v>
      </c>
      <c r="C968" s="101">
        <v>3953.0</v>
      </c>
    </row>
    <row r="969">
      <c r="A969" s="25" t="s">
        <v>2477</v>
      </c>
      <c r="B969" s="100">
        <v>1517241.3793103448</v>
      </c>
      <c r="C969" s="101">
        <v>2200.0</v>
      </c>
    </row>
    <row r="970">
      <c r="A970" s="25" t="s">
        <v>2479</v>
      </c>
      <c r="B970" s="100">
        <v>3724137.9310344825</v>
      </c>
      <c r="C970" s="101">
        <v>5400.0</v>
      </c>
    </row>
    <row r="971">
      <c r="A971" s="25" t="s">
        <v>2481</v>
      </c>
      <c r="B971" s="100">
        <v>293103.4482758621</v>
      </c>
      <c r="C971" s="101">
        <v>425.0</v>
      </c>
    </row>
    <row r="972">
      <c r="A972" s="25" t="s">
        <v>2484</v>
      </c>
      <c r="B972" s="100">
        <v>235710.3448275862</v>
      </c>
      <c r="C972" s="101">
        <v>341.78</v>
      </c>
    </row>
    <row r="973">
      <c r="A973" s="25" t="s">
        <v>2486</v>
      </c>
      <c r="B973" s="100">
        <v>2646206.896551724</v>
      </c>
      <c r="C973" s="101">
        <v>3837.0</v>
      </c>
    </row>
    <row r="974">
      <c r="A974" s="25" t="s">
        <v>2488</v>
      </c>
      <c r="B974" s="100">
        <v>362282.7586206896</v>
      </c>
      <c r="C974" s="101">
        <v>525.31</v>
      </c>
    </row>
    <row r="975">
      <c r="A975" s="25" t="s">
        <v>2490</v>
      </c>
      <c r="B975" s="100">
        <v>986227.5862068966</v>
      </c>
      <c r="C975" s="101">
        <v>1430.03</v>
      </c>
    </row>
    <row r="976">
      <c r="A976" s="25" t="s">
        <v>2493</v>
      </c>
      <c r="B976" s="100">
        <v>2413793.103448276</v>
      </c>
      <c r="C976" s="101">
        <v>3500.0</v>
      </c>
    </row>
    <row r="977">
      <c r="A977" s="25" t="s">
        <v>2495</v>
      </c>
      <c r="B977" s="100">
        <v>882758.6206896552</v>
      </c>
      <c r="C977" s="101">
        <v>1280.0</v>
      </c>
    </row>
    <row r="978">
      <c r="A978" s="25" t="s">
        <v>2496</v>
      </c>
      <c r="B978" s="100">
        <v>9413793.103448275</v>
      </c>
      <c r="C978" s="101">
        <v>13650.0</v>
      </c>
    </row>
    <row r="979">
      <c r="A979" s="25" t="s">
        <v>2499</v>
      </c>
      <c r="B979" s="100">
        <v>1.095103448275862E7</v>
      </c>
      <c r="C979" s="101">
        <v>15879.0</v>
      </c>
    </row>
    <row r="980">
      <c r="A980" s="25" t="s">
        <v>2500</v>
      </c>
      <c r="B980" s="100">
        <v>1.8443448275862068E7</v>
      </c>
      <c r="C980" s="101">
        <v>26743.0</v>
      </c>
    </row>
    <row r="981">
      <c r="A981" s="25" t="s">
        <v>2502</v>
      </c>
      <c r="B981" s="100">
        <v>2.708896551724138E7</v>
      </c>
      <c r="C981" s="101">
        <v>39279.0</v>
      </c>
    </row>
    <row r="982">
      <c r="A982" s="25" t="s">
        <v>2503</v>
      </c>
      <c r="B982" s="100">
        <v>1.4793103448275862E7</v>
      </c>
      <c r="C982" s="101">
        <v>21450.0</v>
      </c>
    </row>
    <row r="983">
      <c r="A983" s="25" t="s">
        <v>2506</v>
      </c>
      <c r="B983" s="100">
        <v>2.7053448275862068E7</v>
      </c>
      <c r="C983" s="101">
        <v>39227.5</v>
      </c>
    </row>
    <row r="984">
      <c r="A984" s="25" t="s">
        <v>2508</v>
      </c>
      <c r="B984" s="100">
        <v>1.0344827586206897E8</v>
      </c>
      <c r="C984" s="101">
        <v>150000.0</v>
      </c>
    </row>
    <row r="985">
      <c r="A985" s="25" t="s">
        <v>2511</v>
      </c>
      <c r="B985" s="100">
        <v>1448275.8620689656</v>
      </c>
      <c r="C985" s="101">
        <v>2100.0</v>
      </c>
    </row>
    <row r="986">
      <c r="A986" s="25" t="s">
        <v>2512</v>
      </c>
      <c r="B986" s="100">
        <v>1206896.551724138</v>
      </c>
      <c r="C986" s="101">
        <v>1750.0</v>
      </c>
    </row>
    <row r="987">
      <c r="A987" s="25" t="s">
        <v>2514</v>
      </c>
      <c r="B987" s="100">
        <v>6620689.655172414</v>
      </c>
      <c r="C987" s="101">
        <v>9600.0</v>
      </c>
    </row>
    <row r="988">
      <c r="A988" s="25" t="s">
        <v>2515</v>
      </c>
      <c r="B988" s="100">
        <v>241379.3103448276</v>
      </c>
      <c r="C988" s="101">
        <v>350.0</v>
      </c>
    </row>
    <row r="989">
      <c r="A989" s="25" t="s">
        <v>2518</v>
      </c>
      <c r="B989" s="100">
        <v>434482.7586206897</v>
      </c>
      <c r="C989" s="101">
        <v>630.0</v>
      </c>
    </row>
    <row r="990">
      <c r="A990" s="25" t="s">
        <v>2520</v>
      </c>
      <c r="B990" s="100">
        <v>2758620.6896551726</v>
      </c>
      <c r="C990" s="101">
        <v>4000.0</v>
      </c>
    </row>
    <row r="991">
      <c r="A991" s="25" t="s">
        <v>2521</v>
      </c>
      <c r="B991" s="100">
        <v>2758620.6896551726</v>
      </c>
      <c r="C991" s="101">
        <v>4000.0</v>
      </c>
    </row>
    <row r="992">
      <c r="A992" s="25" t="s">
        <v>2523</v>
      </c>
      <c r="B992" s="100">
        <v>1379310.3448275863</v>
      </c>
      <c r="C992" s="101">
        <v>2000.0</v>
      </c>
    </row>
    <row r="993">
      <c r="A993" s="25" t="s">
        <v>2524</v>
      </c>
      <c r="B993" s="100">
        <v>827586.2068965518</v>
      </c>
      <c r="C993" s="101">
        <v>1200.0</v>
      </c>
    </row>
    <row r="994">
      <c r="A994" s="25" t="s">
        <v>2526</v>
      </c>
      <c r="B994" s="100">
        <v>4137931.0344827585</v>
      </c>
      <c r="C994" s="101">
        <v>6000.0</v>
      </c>
    </row>
    <row r="995">
      <c r="A995" s="25" t="s">
        <v>2528</v>
      </c>
      <c r="B995" s="100">
        <v>1793103.448275862</v>
      </c>
      <c r="C995" s="101">
        <v>2600.0</v>
      </c>
    </row>
    <row r="996">
      <c r="A996" s="25" t="s">
        <v>2531</v>
      </c>
      <c r="B996" s="100">
        <v>7.322033898305085E7</v>
      </c>
      <c r="C996" s="101">
        <v>108000.0</v>
      </c>
    </row>
    <row r="997">
      <c r="A997" s="25" t="s">
        <v>2533</v>
      </c>
      <c r="B997" s="100">
        <v>3753376.511164659</v>
      </c>
      <c r="C997" s="101">
        <v>4274.537719129336</v>
      </c>
    </row>
    <row r="998">
      <c r="A998" s="25" t="s">
        <v>2534</v>
      </c>
      <c r="B998" s="100">
        <v>5.154170972066038E7</v>
      </c>
      <c r="C998" s="101">
        <v>67353.05692824793</v>
      </c>
    </row>
    <row r="999">
      <c r="A999" s="25" t="s">
        <v>2536</v>
      </c>
      <c r="B999" s="100">
        <v>2.0589831754133336E7</v>
      </c>
      <c r="C999" s="101">
        <v>26065.25997522032</v>
      </c>
    </row>
    <row r="1000">
      <c r="A1000" s="25" t="s">
        <v>2538</v>
      </c>
      <c r="B1000" s="100">
        <v>1072498.9158230454</v>
      </c>
      <c r="C1000" s="101">
        <v>1272.020608128836</v>
      </c>
    </row>
    <row r="1001">
      <c r="A1001" s="25" t="s">
        <v>2541</v>
      </c>
      <c r="B1001" s="100">
        <v>7812614.274056603</v>
      </c>
      <c r="C1001" s="101">
        <v>10209.274329680398</v>
      </c>
    </row>
    <row r="1002">
      <c r="A1002" s="25" t="s">
        <v>2542</v>
      </c>
      <c r="B1002" s="100">
        <v>6921543.476153847</v>
      </c>
      <c r="C1002" s="101">
        <v>8231.3763635812</v>
      </c>
    </row>
    <row r="1003">
      <c r="A1003" s="25" t="s">
        <v>2544</v>
      </c>
      <c r="B1003" s="100">
        <v>8165323.008584905</v>
      </c>
      <c r="C1003" s="101">
        <v>10670.182817282479</v>
      </c>
    </row>
    <row r="1004">
      <c r="A1004" s="25" t="s">
        <v>2545</v>
      </c>
      <c r="B1004" s="100">
        <v>3578954.221325301</v>
      </c>
      <c r="C1004" s="101">
        <v>4816.093832278772</v>
      </c>
    </row>
    <row r="1005">
      <c r="A1005" s="25" t="s">
        <v>2547</v>
      </c>
      <c r="B1005" s="100">
        <v>1862151.257074236</v>
      </c>
      <c r="C1005" s="101">
        <v>2164.316210245398</v>
      </c>
    </row>
    <row r="1006">
      <c r="A1006" s="25" t="s">
        <v>2548</v>
      </c>
      <c r="B1006" s="100">
        <v>1774405.6511692845</v>
      </c>
      <c r="C1006" s="101">
        <v>2121.5180785811917</v>
      </c>
    </row>
    <row r="1007">
      <c r="A1007" s="25" t="s">
        <v>2551</v>
      </c>
      <c r="B1007" s="100">
        <v>7.747169825584905E7</v>
      </c>
      <c r="C1007" s="101">
        <v>101237.53618639936</v>
      </c>
    </row>
    <row r="1008">
      <c r="A1008" s="25" t="s">
        <v>2553</v>
      </c>
      <c r="B1008" s="100">
        <v>395083.28782489744</v>
      </c>
      <c r="C1008" s="101">
        <v>428.1980430230101</v>
      </c>
    </row>
    <row r="1009">
      <c r="A1009" s="25" t="s">
        <v>2556</v>
      </c>
      <c r="B1009" s="100">
        <v>423289.6372093023</v>
      </c>
      <c r="C1009" s="101">
        <v>458.76856822471996</v>
      </c>
    </row>
    <row r="1010">
      <c r="A1010" s="25" t="s">
        <v>2557</v>
      </c>
      <c r="B1010" s="100">
        <v>682536.2451436389</v>
      </c>
      <c r="C1010" s="101">
        <v>739.7444879832801</v>
      </c>
    </row>
    <row r="1011">
      <c r="A1011" s="25" t="s">
        <v>2559</v>
      </c>
      <c r="B1011" s="100">
        <v>389069.41447332414</v>
      </c>
      <c r="C1011" s="101">
        <v>421.680103946647</v>
      </c>
    </row>
    <row r="1012">
      <c r="A1012" s="25" t="s">
        <v>2560</v>
      </c>
      <c r="B1012" s="100">
        <v>753571.5152120383</v>
      </c>
      <c r="C1012" s="101">
        <v>816.7337319382931</v>
      </c>
    </row>
    <row r="1013">
      <c r="A1013" s="25" t="s">
        <v>2563</v>
      </c>
      <c r="B1013" s="100">
        <v>755206.4733789329</v>
      </c>
      <c r="C1013" s="101">
        <v>818.505727639106</v>
      </c>
    </row>
    <row r="1014">
      <c r="A1014" s="25" t="s">
        <v>2565</v>
      </c>
      <c r="B1014" s="100">
        <v>933999.8171819428</v>
      </c>
      <c r="C1014" s="101">
        <v>1012.2850199586542</v>
      </c>
    </row>
    <row r="1015">
      <c r="A1015" s="25" t="s">
        <v>2569</v>
      </c>
      <c r="B1015" s="100">
        <v>700335.8237209301</v>
      </c>
      <c r="C1015" s="101">
        <v>759.0359765081209</v>
      </c>
    </row>
    <row r="1016">
      <c r="A1016" s="25" t="s">
        <v>2570</v>
      </c>
      <c r="B1016" s="100">
        <v>882722.958433735</v>
      </c>
      <c r="C1016" s="101">
        <v>1043.33722543422</v>
      </c>
    </row>
    <row r="1017">
      <c r="A1017" s="25" t="s">
        <v>2571</v>
      </c>
      <c r="B1017" s="100">
        <v>212780.31536105034</v>
      </c>
      <c r="C1017" s="101">
        <v>238.33672069812002</v>
      </c>
    </row>
    <row r="1018">
      <c r="A1018" s="25" t="s">
        <v>2572</v>
      </c>
      <c r="B1018" s="100">
        <v>1423812.961723666</v>
      </c>
      <c r="C1018" s="101">
        <v>1917.739444588101</v>
      </c>
    </row>
    <row r="1019">
      <c r="A1019" s="25" t="s">
        <v>2573</v>
      </c>
      <c r="B1019" s="100">
        <v>1.8345325556099772E7</v>
      </c>
      <c r="C1019" s="101">
        <v>23628.09228381443</v>
      </c>
    </row>
    <row r="1020">
      <c r="A1020" s="25" t="s">
        <v>2576</v>
      </c>
      <c r="B1020" s="100">
        <v>5.051485529528302E7</v>
      </c>
      <c r="C1020" s="101">
        <v>65282.0464358164</v>
      </c>
    </row>
    <row r="1021">
      <c r="A1021" s="25" t="s">
        <v>2579</v>
      </c>
      <c r="B1021" s="100">
        <v>3.489394785556604E7</v>
      </c>
      <c r="C1021" s="101">
        <v>44636.259673632325</v>
      </c>
    </row>
    <row r="1022">
      <c r="A1022" s="25" t="s">
        <v>2580</v>
      </c>
      <c r="B1022" s="100">
        <v>327496.4370546318</v>
      </c>
      <c r="C1022" s="101">
        <v>344.69</v>
      </c>
    </row>
    <row r="1023">
      <c r="A1023" s="25" t="s">
        <v>2582</v>
      </c>
      <c r="B1023" s="100">
        <v>4.2856282677494206E7</v>
      </c>
      <c r="C1023" s="101">
        <v>55433.95344206326</v>
      </c>
    </row>
    <row r="1024">
      <c r="A1024" s="25" t="s">
        <v>2584</v>
      </c>
      <c r="B1024" s="100">
        <v>3494.74</v>
      </c>
      <c r="C1024" s="101">
        <v>0.415</v>
      </c>
    </row>
    <row r="1025">
      <c r="A1025" s="25" t="s">
        <v>2586</v>
      </c>
      <c r="B1025" s="100">
        <v>10208.82</v>
      </c>
      <c r="C1025" s="101">
        <v>2.2</v>
      </c>
    </row>
    <row r="1026">
      <c r="A1026" s="25" t="s">
        <v>2587</v>
      </c>
      <c r="B1026" s="100">
        <v>1852.63</v>
      </c>
      <c r="C1026" s="101">
        <v>0.22</v>
      </c>
    </row>
    <row r="1027">
      <c r="A1027" s="25" t="s">
        <v>2591</v>
      </c>
      <c r="B1027" s="100">
        <v>5666.67</v>
      </c>
      <c r="C1027" s="101">
        <v>0.85</v>
      </c>
    </row>
    <row r="1028">
      <c r="A1028" s="25" t="s">
        <v>2592</v>
      </c>
      <c r="B1028" s="100">
        <v>12838.57</v>
      </c>
      <c r="C1028" s="101">
        <v>1.34805</v>
      </c>
    </row>
    <row r="1029">
      <c r="A1029" s="25" t="s">
        <v>2594</v>
      </c>
      <c r="B1029" s="100">
        <v>4077.35</v>
      </c>
      <c r="C1029" s="101">
        <v>0.484185</v>
      </c>
    </row>
    <row r="1030">
      <c r="A1030" s="25" t="s">
        <v>2595</v>
      </c>
      <c r="B1030" s="100">
        <v>9980.22</v>
      </c>
      <c r="C1030" s="101">
        <v>2.17</v>
      </c>
    </row>
    <row r="1031">
      <c r="A1031" s="25" t="s">
        <v>2597</v>
      </c>
      <c r="B1031" s="100">
        <v>8899.12</v>
      </c>
      <c r="C1031" s="101">
        <v>2.185</v>
      </c>
    </row>
    <row r="1032">
      <c r="A1032" s="25" t="s">
        <v>2599</v>
      </c>
      <c r="B1032" s="100">
        <v>10325.74</v>
      </c>
      <c r="C1032" s="101">
        <v>10.54</v>
      </c>
    </row>
    <row r="1033">
      <c r="A1033" s="25" t="s">
        <v>2602</v>
      </c>
      <c r="B1033" s="100">
        <v>13838.29</v>
      </c>
      <c r="C1033" s="101">
        <v>3.14046198</v>
      </c>
    </row>
    <row r="1034">
      <c r="A1034" s="25" t="s">
        <v>2603</v>
      </c>
      <c r="B1034" s="100">
        <v>8711.69</v>
      </c>
      <c r="C1034" s="101">
        <v>1.7</v>
      </c>
    </row>
    <row r="1035">
      <c r="A1035" s="25" t="s">
        <v>2606</v>
      </c>
      <c r="B1035" s="100">
        <v>5533.89</v>
      </c>
      <c r="C1035" s="101">
        <v>0.5741407</v>
      </c>
    </row>
    <row r="1036">
      <c r="A1036" s="25" t="s">
        <v>2607</v>
      </c>
      <c r="B1036" s="100">
        <v>4513.06</v>
      </c>
      <c r="C1036" s="101">
        <v>0.475</v>
      </c>
    </row>
    <row r="1037">
      <c r="A1037" s="25" t="s">
        <v>2609</v>
      </c>
      <c r="B1037" s="100">
        <v>7376.05</v>
      </c>
      <c r="C1037" s="101">
        <v>1.69</v>
      </c>
    </row>
    <row r="1038">
      <c r="A1038" s="25" t="s">
        <v>2611</v>
      </c>
      <c r="B1038" s="100">
        <v>13301.66</v>
      </c>
      <c r="C1038" s="101">
        <v>1.4</v>
      </c>
    </row>
    <row r="1039">
      <c r="A1039" s="25" t="s">
        <v>2612</v>
      </c>
      <c r="B1039" s="100">
        <v>10569.5</v>
      </c>
      <c r="C1039" s="101">
        <v>10.82</v>
      </c>
    </row>
    <row r="1040">
      <c r="A1040" s="25" t="s">
        <v>2615</v>
      </c>
      <c r="B1040" s="100">
        <v>10150.63</v>
      </c>
      <c r="C1040" s="101">
        <v>10.00903</v>
      </c>
    </row>
    <row r="1041">
      <c r="A1041" s="25" t="s">
        <v>2616</v>
      </c>
      <c r="B1041" s="100">
        <v>9921.93</v>
      </c>
      <c r="C1041" s="101">
        <v>9.8305515</v>
      </c>
    </row>
    <row r="1042">
      <c r="A1042" s="25" t="s">
        <v>2618</v>
      </c>
      <c r="B1042" s="100">
        <v>10109.64</v>
      </c>
      <c r="C1042" s="101">
        <v>10.3</v>
      </c>
    </row>
    <row r="1043">
      <c r="A1043" s="25" t="s">
        <v>2620</v>
      </c>
      <c r="B1043" s="100">
        <v>5436.21</v>
      </c>
      <c r="C1043" s="101">
        <v>5.4</v>
      </c>
    </row>
    <row r="1044">
      <c r="A1044" s="25" t="s">
        <v>2622</v>
      </c>
      <c r="B1044" s="100">
        <v>5262.63</v>
      </c>
      <c r="C1044" s="101">
        <v>5.2</v>
      </c>
    </row>
    <row r="1045">
      <c r="A1045" s="25" t="s">
        <v>2623</v>
      </c>
      <c r="B1045" s="100">
        <v>5983.47</v>
      </c>
      <c r="C1045" s="101">
        <v>5.9</v>
      </c>
    </row>
    <row r="1046">
      <c r="A1046" s="25" t="s">
        <v>2625</v>
      </c>
      <c r="B1046" s="100">
        <v>9107.78</v>
      </c>
      <c r="C1046" s="101">
        <v>8.9994</v>
      </c>
    </row>
    <row r="1047">
      <c r="A1047" s="25" t="s">
        <v>2626</v>
      </c>
      <c r="B1047" s="100">
        <v>11317.64</v>
      </c>
      <c r="C1047" s="101">
        <v>11.1</v>
      </c>
    </row>
    <row r="1048">
      <c r="A1048" s="25" t="s">
        <v>2630</v>
      </c>
      <c r="B1048" s="100">
        <v>4843.68</v>
      </c>
      <c r="C1048" s="101">
        <v>0.99</v>
      </c>
    </row>
    <row r="1049">
      <c r="A1049" s="25" t="s">
        <v>2632</v>
      </c>
      <c r="B1049" s="100">
        <v>7957.89</v>
      </c>
      <c r="C1049" s="101">
        <v>0.945</v>
      </c>
    </row>
    <row r="1050">
      <c r="A1050" s="25" t="s">
        <v>2634</v>
      </c>
      <c r="B1050" s="100">
        <v>2438.24</v>
      </c>
      <c r="C1050" s="101">
        <v>0.455</v>
      </c>
    </row>
    <row r="1051">
      <c r="A1051" s="25" t="s">
        <v>2635</v>
      </c>
      <c r="B1051" s="100">
        <v>11942.86</v>
      </c>
      <c r="C1051" s="101">
        <v>1.254</v>
      </c>
    </row>
    <row r="1052">
      <c r="A1052" s="25" t="s">
        <v>2637</v>
      </c>
      <c r="B1052" s="100">
        <v>11471.46</v>
      </c>
      <c r="C1052" s="101">
        <v>1.362236</v>
      </c>
    </row>
    <row r="1053">
      <c r="A1053" s="25" t="s">
        <v>2638</v>
      </c>
      <c r="B1053" s="100">
        <v>9796.26</v>
      </c>
      <c r="C1053" s="101">
        <v>2.13</v>
      </c>
    </row>
    <row r="1054">
      <c r="A1054" s="25" t="s">
        <v>2641</v>
      </c>
      <c r="B1054" s="100">
        <v>7691.22</v>
      </c>
      <c r="C1054" s="101">
        <v>0.797964</v>
      </c>
    </row>
    <row r="1055">
      <c r="A1055" s="25" t="s">
        <v>2642</v>
      </c>
      <c r="B1055" s="100">
        <v>16065.51</v>
      </c>
      <c r="C1055" s="101">
        <v>16.431</v>
      </c>
    </row>
    <row r="1056">
      <c r="A1056" s="25" t="s">
        <v>2644</v>
      </c>
      <c r="B1056" s="100">
        <v>5558.19</v>
      </c>
      <c r="C1056" s="101">
        <v>0.585</v>
      </c>
    </row>
    <row r="1057">
      <c r="A1057" s="25" t="s">
        <v>2645</v>
      </c>
      <c r="B1057" s="100">
        <v>6332.93</v>
      </c>
      <c r="C1057" s="101">
        <v>1.451</v>
      </c>
    </row>
    <row r="1058">
      <c r="A1058" s="25" t="s">
        <v>2646</v>
      </c>
      <c r="B1058" s="100">
        <v>10369.06</v>
      </c>
      <c r="C1058" s="101">
        <v>10.3</v>
      </c>
    </row>
    <row r="1059">
      <c r="A1059" s="25" t="s">
        <v>2648</v>
      </c>
      <c r="B1059" s="100">
        <v>13180.87</v>
      </c>
      <c r="C1059" s="101">
        <v>12.997</v>
      </c>
    </row>
    <row r="1060">
      <c r="A1060" s="25" t="s">
        <v>2650</v>
      </c>
      <c r="B1060" s="100">
        <v>6887.43</v>
      </c>
      <c r="C1060" s="101">
        <v>6.824</v>
      </c>
    </row>
    <row r="1061">
      <c r="A1061" s="25" t="s">
        <v>2653</v>
      </c>
      <c r="B1061" s="100">
        <v>10095.13</v>
      </c>
      <c r="C1061" s="101">
        <v>9.975</v>
      </c>
    </row>
    <row r="1062">
      <c r="A1062" s="25" t="s">
        <v>2654</v>
      </c>
      <c r="B1062" s="100">
        <v>8214.59</v>
      </c>
      <c r="C1062" s="101">
        <v>8.1</v>
      </c>
    </row>
    <row r="1063">
      <c r="A1063" s="25" t="s">
        <v>2656</v>
      </c>
      <c r="B1063" s="100">
        <v>8532.56</v>
      </c>
      <c r="C1063" s="101">
        <v>2.095</v>
      </c>
    </row>
    <row r="1064">
      <c r="A1064" s="25" t="s">
        <v>2657</v>
      </c>
      <c r="B1064" s="100">
        <v>4016.65</v>
      </c>
      <c r="C1064" s="101">
        <v>4.1</v>
      </c>
    </row>
    <row r="1065">
      <c r="A1065" s="25" t="s">
        <v>2659</v>
      </c>
      <c r="B1065" s="100">
        <v>12608.0</v>
      </c>
      <c r="C1065" s="101">
        <v>1.4972</v>
      </c>
    </row>
    <row r="1066">
      <c r="A1066" s="25" t="s">
        <v>2661</v>
      </c>
      <c r="B1066" s="100">
        <v>11000.0</v>
      </c>
      <c r="C1066" s="101">
        <v>1.65</v>
      </c>
    </row>
    <row r="1067">
      <c r="A1067" s="25" t="s">
        <v>2664</v>
      </c>
      <c r="B1067" s="100">
        <v>10798.33</v>
      </c>
      <c r="C1067" s="101">
        <v>1.133825</v>
      </c>
    </row>
    <row r="1068">
      <c r="A1068" s="25" t="s">
        <v>2665</v>
      </c>
      <c r="B1068" s="100">
        <v>8031.99</v>
      </c>
      <c r="C1068" s="101">
        <v>0.953799</v>
      </c>
    </row>
    <row r="1069">
      <c r="A1069" s="25" t="s">
        <v>2667</v>
      </c>
      <c r="B1069" s="100">
        <v>4645.17</v>
      </c>
      <c r="C1069" s="101">
        <v>1.01</v>
      </c>
    </row>
    <row r="1070">
      <c r="A1070" s="25" t="s">
        <v>2668</v>
      </c>
      <c r="B1070" s="100">
        <v>3726.63</v>
      </c>
      <c r="C1070" s="101">
        <v>0.915</v>
      </c>
    </row>
    <row r="1071">
      <c r="A1071" s="25" t="s">
        <v>2671</v>
      </c>
      <c r="B1071" s="100">
        <v>11364.19</v>
      </c>
      <c r="C1071" s="101">
        <v>11.6</v>
      </c>
    </row>
    <row r="1072">
      <c r="A1072" s="25" t="s">
        <v>2672</v>
      </c>
      <c r="B1072" s="100">
        <v>6703.43</v>
      </c>
      <c r="C1072" s="101">
        <v>6.64169</v>
      </c>
    </row>
    <row r="1073">
      <c r="A1073" s="25" t="s">
        <v>2674</v>
      </c>
      <c r="B1073" s="100">
        <v>10952.79</v>
      </c>
      <c r="C1073" s="101">
        <v>10.8</v>
      </c>
    </row>
    <row r="1074">
      <c r="A1074" s="25" t="s">
        <v>2675</v>
      </c>
      <c r="B1074" s="100">
        <v>7946.08</v>
      </c>
      <c r="C1074" s="101">
        <v>1.951</v>
      </c>
    </row>
    <row r="1075">
      <c r="A1075" s="25" t="s">
        <v>2677</v>
      </c>
      <c r="B1075" s="100">
        <v>4575.07</v>
      </c>
      <c r="C1075" s="101">
        <v>4.67</v>
      </c>
    </row>
    <row r="1076">
      <c r="A1076" s="25" t="s">
        <v>2678</v>
      </c>
      <c r="B1076" s="100">
        <v>4875.13</v>
      </c>
      <c r="C1076" s="101">
        <v>1.06</v>
      </c>
    </row>
    <row r="1077">
      <c r="A1077" s="25" t="s">
        <v>2681</v>
      </c>
      <c r="B1077" s="100">
        <v>11266.23</v>
      </c>
      <c r="C1077" s="101">
        <v>11.5</v>
      </c>
    </row>
    <row r="1078">
      <c r="A1078" s="25" t="s">
        <v>2682</v>
      </c>
      <c r="B1078" s="100">
        <v>110040.0</v>
      </c>
      <c r="C1078" s="101">
        <v>109.79923248</v>
      </c>
    </row>
    <row r="1079">
      <c r="A1079" s="25" t="s">
        <v>2683</v>
      </c>
      <c r="B1079" s="100">
        <v>441000.0</v>
      </c>
      <c r="C1079" s="101">
        <v>71.695</v>
      </c>
    </row>
    <row r="1080">
      <c r="A1080" s="25" t="s">
        <v>2685</v>
      </c>
      <c r="B1080" s="100">
        <v>105000.0</v>
      </c>
      <c r="C1080" s="101">
        <v>30.58</v>
      </c>
    </row>
    <row r="1081">
      <c r="A1081" s="25" t="s">
        <v>2686</v>
      </c>
      <c r="B1081" s="100">
        <v>420000.0</v>
      </c>
      <c r="C1081" s="101">
        <v>40.7387771</v>
      </c>
    </row>
    <row r="1082">
      <c r="A1082" s="25" t="s">
        <v>2688</v>
      </c>
      <c r="B1082" s="100">
        <v>283150.0</v>
      </c>
      <c r="C1082" s="101">
        <v>51.2585076</v>
      </c>
    </row>
    <row r="1083">
      <c r="A1083" s="25" t="s">
        <v>2689</v>
      </c>
      <c r="B1083" s="100">
        <v>277060.0</v>
      </c>
      <c r="C1083" s="101">
        <v>308.802</v>
      </c>
    </row>
    <row r="1084">
      <c r="A1084" s="25" t="s">
        <v>2692</v>
      </c>
      <c r="B1084" s="100">
        <v>310800.0</v>
      </c>
      <c r="C1084" s="101">
        <v>79.715</v>
      </c>
    </row>
    <row r="1085">
      <c r="A1085" s="25" t="s">
        <v>2693</v>
      </c>
      <c r="B1085" s="100">
        <v>424550.0</v>
      </c>
      <c r="C1085" s="101">
        <v>68.37845</v>
      </c>
    </row>
    <row r="1086">
      <c r="A1086" s="25" t="s">
        <v>2694</v>
      </c>
      <c r="B1086" s="100">
        <v>18200.0</v>
      </c>
      <c r="C1086" s="101">
        <v>4.3</v>
      </c>
    </row>
    <row r="1087">
      <c r="A1087" s="25" t="s">
        <v>2695</v>
      </c>
      <c r="B1087" s="100">
        <v>105000.0</v>
      </c>
      <c r="C1087" s="101">
        <v>20.552386300000002</v>
      </c>
    </row>
    <row r="1088">
      <c r="A1088" s="25" t="s">
        <v>2696</v>
      </c>
      <c r="B1088" s="100">
        <v>328580.0</v>
      </c>
      <c r="C1088" s="101">
        <v>37.547989439999995</v>
      </c>
    </row>
    <row r="1089">
      <c r="A1089" s="25" t="s">
        <v>2698</v>
      </c>
      <c r="B1089" s="100">
        <v>409164.0</v>
      </c>
      <c r="C1089" s="101">
        <v>36.973695469999996</v>
      </c>
    </row>
    <row r="1090">
      <c r="A1090" s="25" t="s">
        <v>2701</v>
      </c>
      <c r="B1090" s="100">
        <v>304220.0</v>
      </c>
      <c r="C1090" s="101">
        <v>75.52114284000001</v>
      </c>
    </row>
    <row r="1091">
      <c r="A1091" s="25" t="s">
        <v>2702</v>
      </c>
      <c r="B1091" s="100">
        <v>189000.0</v>
      </c>
      <c r="C1091" s="101">
        <v>53.12477319</v>
      </c>
    </row>
    <row r="1092">
      <c r="A1092" s="25" t="s">
        <v>2704</v>
      </c>
      <c r="B1092" s="100">
        <v>253470.0</v>
      </c>
      <c r="C1092" s="101">
        <v>33.134063239999996</v>
      </c>
    </row>
    <row r="1093">
      <c r="A1093" s="25" t="s">
        <v>2705</v>
      </c>
      <c r="B1093" s="100">
        <v>196756.0</v>
      </c>
      <c r="C1093" s="101">
        <v>36.97412611</v>
      </c>
    </row>
    <row r="1094">
      <c r="A1094" s="25" t="s">
        <v>2707</v>
      </c>
      <c r="B1094" s="100">
        <v>299600.0</v>
      </c>
      <c r="C1094" s="101">
        <v>242.440348</v>
      </c>
    </row>
    <row r="1095">
      <c r="A1095" s="25" t="s">
        <v>2709</v>
      </c>
      <c r="B1095" s="100">
        <v>155341.9</v>
      </c>
      <c r="C1095" s="101">
        <v>23.650976</v>
      </c>
    </row>
    <row r="1096">
      <c r="A1096" s="25" t="s">
        <v>2710</v>
      </c>
      <c r="B1096" s="100">
        <v>143500.0</v>
      </c>
      <c r="C1096" s="101">
        <v>43.965</v>
      </c>
    </row>
    <row r="1097">
      <c r="A1097" s="25" t="s">
        <v>2711</v>
      </c>
      <c r="B1097" s="100">
        <v>145600.0</v>
      </c>
      <c r="C1097" s="101">
        <v>15.452591400000001</v>
      </c>
    </row>
    <row r="1098">
      <c r="A1098" s="25" t="s">
        <v>2712</v>
      </c>
      <c r="B1098" s="100">
        <v>217840.0</v>
      </c>
      <c r="C1098" s="101">
        <v>49.864145</v>
      </c>
    </row>
    <row r="1099">
      <c r="A1099" s="25" t="s">
        <v>2713</v>
      </c>
      <c r="B1099" s="100">
        <v>314790.0</v>
      </c>
      <c r="C1099" s="101">
        <v>30.7196</v>
      </c>
    </row>
    <row r="1100">
      <c r="A1100" s="25" t="s">
        <v>2715</v>
      </c>
      <c r="B1100" s="100">
        <v>266910.0</v>
      </c>
      <c r="C1100" s="101">
        <v>45.18487362</v>
      </c>
    </row>
    <row r="1101">
      <c r="A1101" s="25" t="s">
        <v>2716</v>
      </c>
      <c r="B1101" s="100">
        <v>211680.0</v>
      </c>
      <c r="C1101" s="101">
        <v>43.684113</v>
      </c>
    </row>
    <row r="1102">
      <c r="A1102" s="25" t="s">
        <v>2717</v>
      </c>
      <c r="B1102" s="100">
        <v>68600.0</v>
      </c>
      <c r="C1102" s="101">
        <v>12.9321975</v>
      </c>
    </row>
    <row r="1103">
      <c r="A1103" s="25" t="s">
        <v>2719</v>
      </c>
      <c r="B1103" s="100">
        <v>213570.0</v>
      </c>
      <c r="C1103" s="101">
        <v>189.48133714</v>
      </c>
    </row>
    <row r="1104">
      <c r="A1104" s="25" t="s">
        <v>2721</v>
      </c>
      <c r="B1104" s="100">
        <v>138950.0</v>
      </c>
      <c r="C1104" s="101">
        <v>163.73437751</v>
      </c>
    </row>
    <row r="1105">
      <c r="A1105" s="25" t="s">
        <v>2723</v>
      </c>
      <c r="B1105" s="100">
        <v>406700.0</v>
      </c>
      <c r="C1105" s="101">
        <v>115.29</v>
      </c>
    </row>
    <row r="1106">
      <c r="A1106" s="25" t="s">
        <v>2724</v>
      </c>
      <c r="B1106" s="100">
        <v>268380.0</v>
      </c>
      <c r="C1106" s="101">
        <v>60.095</v>
      </c>
    </row>
    <row r="1107">
      <c r="A1107" s="25" t="s">
        <v>2727</v>
      </c>
      <c r="B1107" s="100">
        <v>185010.0</v>
      </c>
      <c r="C1107" s="101">
        <v>59.968627579999996</v>
      </c>
    </row>
    <row r="1108">
      <c r="A1108" s="25" t="s">
        <v>2729</v>
      </c>
      <c r="B1108" s="100">
        <v>233590.0</v>
      </c>
      <c r="C1108" s="101">
        <v>67.3765</v>
      </c>
    </row>
    <row r="1109">
      <c r="A1109" s="25" t="s">
        <v>2730</v>
      </c>
      <c r="B1109" s="100">
        <v>143745.0</v>
      </c>
      <c r="C1109" s="101">
        <v>48.7816</v>
      </c>
    </row>
    <row r="1110">
      <c r="A1110" s="25" t="s">
        <v>2733</v>
      </c>
      <c r="B1110" s="100">
        <v>11844.93</v>
      </c>
      <c r="C1110" s="101">
        <v>12.75</v>
      </c>
    </row>
    <row r="1111">
      <c r="A1111" s="25" t="s">
        <v>2734</v>
      </c>
      <c r="B1111" s="100">
        <v>9150.79</v>
      </c>
      <c r="C1111" s="101">
        <v>9.85</v>
      </c>
    </row>
    <row r="1112">
      <c r="A1112" s="25" t="s">
        <v>2736</v>
      </c>
      <c r="B1112" s="100">
        <v>15119.29</v>
      </c>
      <c r="C1112" s="101">
        <v>16.21</v>
      </c>
    </row>
    <row r="1113">
      <c r="A1113" s="25" t="s">
        <v>2737</v>
      </c>
      <c r="B1113" s="100">
        <v>373100.0</v>
      </c>
      <c r="C1113" s="101">
        <v>419.265</v>
      </c>
    </row>
    <row r="1114">
      <c r="A1114" s="25" t="s">
        <v>2739</v>
      </c>
      <c r="B1114" s="100">
        <v>211400.0</v>
      </c>
      <c r="C1114" s="101">
        <v>56.975979</v>
      </c>
    </row>
    <row r="1115">
      <c r="A1115" s="25" t="s">
        <v>2741</v>
      </c>
      <c r="B1115" s="100">
        <v>288750.0</v>
      </c>
      <c r="C1115" s="101">
        <v>291.1582</v>
      </c>
    </row>
    <row r="1116">
      <c r="A1116" s="25" t="s">
        <v>2743</v>
      </c>
      <c r="B1116" s="100">
        <v>405860.0</v>
      </c>
      <c r="C1116" s="101">
        <v>366.74947504000005</v>
      </c>
    </row>
    <row r="1117">
      <c r="A1117" s="25" t="s">
        <v>2744</v>
      </c>
      <c r="B1117" s="100">
        <v>270200.0</v>
      </c>
      <c r="C1117" s="101">
        <v>203.7415363</v>
      </c>
    </row>
    <row r="1118">
      <c r="A1118" s="25" t="s">
        <v>2746</v>
      </c>
      <c r="B1118" s="100">
        <v>324068.5</v>
      </c>
      <c r="C1118" s="101">
        <v>348.45</v>
      </c>
    </row>
    <row r="1119">
      <c r="A1119" s="25" t="s">
        <v>2747</v>
      </c>
      <c r="B1119" s="100">
        <v>10207.63</v>
      </c>
      <c r="C1119" s="101">
        <v>10.987596</v>
      </c>
    </row>
    <row r="1120">
      <c r="A1120" s="25" t="s">
        <v>2749</v>
      </c>
      <c r="B1120" s="100">
        <v>218610.0</v>
      </c>
      <c r="C1120" s="101">
        <v>255.31242</v>
      </c>
    </row>
    <row r="1121">
      <c r="A1121" s="25" t="s">
        <v>2753</v>
      </c>
      <c r="B1121" s="100">
        <v>222880.0</v>
      </c>
      <c r="C1121" s="101">
        <v>276.93606864</v>
      </c>
    </row>
    <row r="1122">
      <c r="A1122" s="25" t="s">
        <v>2754</v>
      </c>
      <c r="B1122" s="100">
        <v>275450.0</v>
      </c>
      <c r="C1122" s="101">
        <v>382.53542943</v>
      </c>
    </row>
    <row r="1123">
      <c r="A1123" s="25" t="s">
        <v>2757</v>
      </c>
      <c r="B1123" s="100">
        <v>313110.0</v>
      </c>
      <c r="C1123" s="101">
        <v>366.65623745</v>
      </c>
    </row>
    <row r="1124">
      <c r="A1124" s="25" t="s">
        <v>2758</v>
      </c>
      <c r="B1124" s="100">
        <v>183260.0</v>
      </c>
      <c r="C1124" s="101">
        <v>202.63421112</v>
      </c>
    </row>
    <row r="1125">
      <c r="A1125" s="25" t="s">
        <v>2761</v>
      </c>
      <c r="B1125" s="100">
        <v>248451.0</v>
      </c>
      <c r="C1125" s="101">
        <v>253.43269167</v>
      </c>
    </row>
    <row r="1126">
      <c r="A1126" s="25" t="s">
        <v>2762</v>
      </c>
      <c r="B1126" s="100">
        <v>4915.48</v>
      </c>
      <c r="C1126" s="101">
        <v>5.4</v>
      </c>
    </row>
    <row r="1127">
      <c r="A1127" s="25" t="s">
        <v>2764</v>
      </c>
      <c r="B1127" s="100">
        <v>15383.64</v>
      </c>
      <c r="C1127" s="101">
        <v>16.9</v>
      </c>
    </row>
    <row r="1128">
      <c r="A1128" s="25" t="s">
        <v>2765</v>
      </c>
      <c r="B1128" s="100">
        <v>11014.32</v>
      </c>
      <c r="C1128" s="101">
        <v>12.1</v>
      </c>
    </row>
    <row r="1129">
      <c r="A1129" s="25" t="s">
        <v>2767</v>
      </c>
      <c r="B1129" s="100">
        <v>6371.92</v>
      </c>
      <c r="C1129" s="101">
        <v>7.0</v>
      </c>
    </row>
    <row r="1130">
      <c r="A1130" s="25" t="s">
        <v>2769</v>
      </c>
      <c r="B1130" s="100">
        <v>12743.84</v>
      </c>
      <c r="C1130" s="101">
        <v>14.0</v>
      </c>
    </row>
    <row r="1131">
      <c r="A1131" s="25" t="s">
        <v>2771</v>
      </c>
      <c r="B1131" s="100">
        <v>22301.72</v>
      </c>
      <c r="C1131" s="101">
        <v>24.5</v>
      </c>
    </row>
    <row r="1132">
      <c r="A1132" s="25" t="s">
        <v>2773</v>
      </c>
      <c r="B1132" s="100">
        <v>308000.0</v>
      </c>
      <c r="C1132" s="101">
        <v>281.03854</v>
      </c>
    </row>
    <row r="1133">
      <c r="A1133" s="25" t="s">
        <v>2777</v>
      </c>
      <c r="B1133" s="100">
        <v>33915.0</v>
      </c>
      <c r="C1133" s="101">
        <v>30.64</v>
      </c>
    </row>
    <row r="1134">
      <c r="A1134" s="25" t="s">
        <v>2780</v>
      </c>
      <c r="B1134" s="100">
        <v>200900.0</v>
      </c>
      <c r="C1134" s="101">
        <v>232.50247405000002</v>
      </c>
    </row>
    <row r="1135">
      <c r="A1135" s="25" t="s">
        <v>2781</v>
      </c>
      <c r="B1135" s="100">
        <v>14235.81</v>
      </c>
      <c r="C1135" s="101">
        <v>15.65</v>
      </c>
    </row>
    <row r="1136">
      <c r="A1136" s="25" t="s">
        <v>2784</v>
      </c>
      <c r="B1136" s="100">
        <v>98940.8</v>
      </c>
      <c r="C1136" s="101">
        <v>135.671</v>
      </c>
    </row>
    <row r="1137">
      <c r="A1137" s="25" t="s">
        <v>2785</v>
      </c>
      <c r="B1137" s="100">
        <v>279347.6</v>
      </c>
      <c r="C1137" s="101">
        <v>89.39</v>
      </c>
    </row>
    <row r="1138">
      <c r="A1138" s="25" t="s">
        <v>2788</v>
      </c>
      <c r="B1138" s="100">
        <v>150850.0</v>
      </c>
      <c r="C1138" s="101">
        <v>8.353186599999999</v>
      </c>
    </row>
    <row r="1139">
      <c r="A1139" s="25" t="s">
        <v>2790</v>
      </c>
      <c r="B1139" s="100">
        <v>215250.0</v>
      </c>
      <c r="C1139" s="101">
        <v>36.918764</v>
      </c>
    </row>
    <row r="1140">
      <c r="A1140" s="25" t="s">
        <v>2794</v>
      </c>
      <c r="B1140" s="100">
        <v>423500.0</v>
      </c>
      <c r="C1140" s="101">
        <v>57.74</v>
      </c>
    </row>
    <row r="1141">
      <c r="A1141" s="25" t="s">
        <v>2796</v>
      </c>
      <c r="B1141" s="100">
        <v>155050.0</v>
      </c>
      <c r="C1141" s="101">
        <v>9.9675</v>
      </c>
    </row>
    <row r="1142">
      <c r="A1142" s="25" t="s">
        <v>2797</v>
      </c>
      <c r="B1142" s="100">
        <v>225680.0</v>
      </c>
      <c r="C1142" s="101">
        <v>33.798</v>
      </c>
    </row>
    <row r="1143">
      <c r="A1143" s="25" t="s">
        <v>2800</v>
      </c>
      <c r="B1143" s="100">
        <v>118790.0</v>
      </c>
      <c r="C1143" s="101">
        <v>7.95115</v>
      </c>
    </row>
    <row r="1144">
      <c r="A1144" s="25" t="s">
        <v>2801</v>
      </c>
      <c r="B1144" s="100">
        <v>785400.0</v>
      </c>
      <c r="C1144" s="101">
        <v>82.17071002</v>
      </c>
    </row>
    <row r="1145">
      <c r="A1145" s="25" t="s">
        <v>2804</v>
      </c>
      <c r="B1145" s="100">
        <v>211610.0</v>
      </c>
      <c r="C1145" s="101">
        <v>47.1455</v>
      </c>
    </row>
    <row r="1146">
      <c r="A1146" s="25" t="s">
        <v>2807</v>
      </c>
      <c r="B1146" s="100">
        <v>139930.0</v>
      </c>
      <c r="C1146" s="101">
        <v>75.35721523999999</v>
      </c>
    </row>
    <row r="1147">
      <c r="A1147" s="25" t="s">
        <v>2810</v>
      </c>
      <c r="B1147" s="100">
        <v>312508.0</v>
      </c>
      <c r="C1147" s="101">
        <v>31.24874</v>
      </c>
    </row>
    <row r="1148">
      <c r="A1148" s="25" t="s">
        <v>2811</v>
      </c>
      <c r="B1148" s="100">
        <v>148621.9</v>
      </c>
      <c r="C1148" s="101">
        <v>62.86</v>
      </c>
    </row>
    <row r="1149">
      <c r="A1149" s="25" t="s">
        <v>2813</v>
      </c>
      <c r="B1149" s="100">
        <v>126000.0</v>
      </c>
      <c r="C1149" s="101">
        <v>24.9997283</v>
      </c>
    </row>
    <row r="1150">
      <c r="A1150" s="25" t="s">
        <v>2814</v>
      </c>
      <c r="B1150" s="100">
        <v>140000.0</v>
      </c>
      <c r="C1150" s="101">
        <v>28.36799632</v>
      </c>
    </row>
    <row r="1151">
      <c r="A1151" s="25" t="s">
        <v>2816</v>
      </c>
      <c r="B1151" s="100">
        <v>140000.0</v>
      </c>
      <c r="C1151" s="101">
        <v>32.34723282</v>
      </c>
    </row>
    <row r="1152">
      <c r="A1152" s="25" t="s">
        <v>2818</v>
      </c>
      <c r="B1152" s="100">
        <v>82713.4</v>
      </c>
      <c r="C1152" s="101">
        <v>44.81</v>
      </c>
    </row>
    <row r="1153">
      <c r="A1153" s="25" t="s">
        <v>2820</v>
      </c>
      <c r="B1153" s="100">
        <v>218295.0</v>
      </c>
      <c r="C1153" s="101">
        <v>35.9758359</v>
      </c>
    </row>
    <row r="1154">
      <c r="A1154" s="25" t="s">
        <v>2821</v>
      </c>
      <c r="B1154" s="100">
        <v>106750.0</v>
      </c>
      <c r="C1154" s="101">
        <v>31.57844</v>
      </c>
    </row>
    <row r="1155">
      <c r="A1155" s="25" t="s">
        <v>2822</v>
      </c>
      <c r="B1155" s="100">
        <v>32616.34</v>
      </c>
      <c r="C1155" s="101">
        <v>38.47</v>
      </c>
    </row>
    <row r="1156">
      <c r="A1156" s="25" t="s">
        <v>2824</v>
      </c>
      <c r="B1156" s="100">
        <v>102203.5</v>
      </c>
      <c r="C1156" s="101">
        <v>26.90638</v>
      </c>
    </row>
    <row r="1157">
      <c r="A1157" s="25" t="s">
        <v>2827</v>
      </c>
      <c r="B1157" s="100">
        <v>272230.0</v>
      </c>
      <c r="C1157" s="101">
        <v>56.74768</v>
      </c>
    </row>
    <row r="1158">
      <c r="A1158" s="25" t="s">
        <v>2829</v>
      </c>
      <c r="B1158" s="100">
        <v>207410.0</v>
      </c>
      <c r="C1158" s="101">
        <v>18.22585</v>
      </c>
    </row>
    <row r="1159">
      <c r="A1159" s="25" t="s">
        <v>2831</v>
      </c>
      <c r="B1159" s="100">
        <v>261534.0</v>
      </c>
      <c r="C1159" s="101">
        <v>97.09189626999999</v>
      </c>
    </row>
    <row r="1160">
      <c r="A1160" s="25" t="s">
        <v>2833</v>
      </c>
      <c r="B1160" s="100">
        <v>82110.0</v>
      </c>
      <c r="C1160" s="101">
        <v>23.374933</v>
      </c>
    </row>
    <row r="1161">
      <c r="A1161" s="25" t="s">
        <v>2834</v>
      </c>
      <c r="B1161" s="100">
        <v>9800.08</v>
      </c>
      <c r="C1161" s="101">
        <v>1.75</v>
      </c>
    </row>
    <row r="1162">
      <c r="A1162" s="25" t="s">
        <v>2836</v>
      </c>
      <c r="B1162" s="100">
        <v>4480.04</v>
      </c>
      <c r="C1162" s="101">
        <v>0.8</v>
      </c>
    </row>
    <row r="1163">
      <c r="A1163" s="25" t="s">
        <v>2837</v>
      </c>
      <c r="B1163" s="100">
        <v>9892.35</v>
      </c>
      <c r="C1163" s="101">
        <v>1.7</v>
      </c>
    </row>
    <row r="1164">
      <c r="A1164" s="25" t="s">
        <v>2839</v>
      </c>
      <c r="B1164" s="100">
        <v>7000.06</v>
      </c>
      <c r="C1164" s="101">
        <v>1.25</v>
      </c>
    </row>
    <row r="1165">
      <c r="A1165" s="25" t="s">
        <v>2843</v>
      </c>
      <c r="B1165" s="100">
        <v>3920.03</v>
      </c>
      <c r="C1165" s="101">
        <v>0.7</v>
      </c>
    </row>
    <row r="1166">
      <c r="A1166" s="25" t="s">
        <v>2845</v>
      </c>
      <c r="B1166" s="100">
        <v>425600.0</v>
      </c>
      <c r="C1166" s="101">
        <v>395.03711680000004</v>
      </c>
    </row>
    <row r="1167">
      <c r="A1167" s="25" t="s">
        <v>2847</v>
      </c>
      <c r="B1167" s="100">
        <v>8109.0</v>
      </c>
      <c r="C1167" s="101">
        <v>1.7</v>
      </c>
    </row>
    <row r="1168">
      <c r="A1168" s="25" t="s">
        <v>2849</v>
      </c>
      <c r="B1168" s="100">
        <v>141557.5</v>
      </c>
      <c r="C1168" s="101">
        <v>170.549706</v>
      </c>
    </row>
    <row r="1169">
      <c r="A1169" s="25" t="s">
        <v>2853</v>
      </c>
      <c r="B1169" s="100">
        <v>277340.0</v>
      </c>
      <c r="C1169" s="101">
        <v>57.74770786</v>
      </c>
    </row>
    <row r="1170">
      <c r="A1170" s="25" t="s">
        <v>2855</v>
      </c>
      <c r="B1170" s="100">
        <v>245000.0</v>
      </c>
      <c r="C1170" s="101">
        <v>228.94975094</v>
      </c>
    </row>
    <row r="1171">
      <c r="A1171" s="25" t="s">
        <v>2856</v>
      </c>
      <c r="B1171" s="100">
        <v>105000.0</v>
      </c>
      <c r="C1171" s="101">
        <v>26.48915643</v>
      </c>
    </row>
    <row r="1172">
      <c r="A1172" s="25" t="s">
        <v>2858</v>
      </c>
      <c r="B1172" s="100">
        <v>189000.0</v>
      </c>
      <c r="C1172" s="101">
        <v>56.625714710000004</v>
      </c>
    </row>
    <row r="1173">
      <c r="A1173" s="25" t="s">
        <v>2860</v>
      </c>
      <c r="B1173" s="100">
        <v>105000.0</v>
      </c>
      <c r="C1173" s="101">
        <v>22.3773863</v>
      </c>
    </row>
    <row r="1174">
      <c r="A1174" s="25" t="s">
        <v>2864</v>
      </c>
      <c r="B1174" s="100">
        <v>560560.0</v>
      </c>
      <c r="C1174" s="101">
        <v>81.59</v>
      </c>
    </row>
    <row r="1175">
      <c r="A1175" s="25" t="s">
        <v>2865</v>
      </c>
      <c r="B1175" s="100">
        <v>4408.92</v>
      </c>
      <c r="C1175" s="101">
        <v>0.7873</v>
      </c>
    </row>
    <row r="1176">
      <c r="A1176" s="25" t="s">
        <v>2867</v>
      </c>
      <c r="B1176" s="100">
        <v>5431.54</v>
      </c>
      <c r="C1176" s="101">
        <v>0.9723</v>
      </c>
    </row>
    <row r="1177">
      <c r="A1177" s="25" t="s">
        <v>2868</v>
      </c>
      <c r="B1177" s="100">
        <v>12589.47</v>
      </c>
      <c r="C1177" s="101">
        <v>1.495</v>
      </c>
    </row>
    <row r="1178">
      <c r="A1178" s="25" t="s">
        <v>2870</v>
      </c>
      <c r="B1178" s="100">
        <v>5320.67</v>
      </c>
      <c r="C1178" s="101">
        <v>0.56</v>
      </c>
    </row>
    <row r="1179">
      <c r="A1179" s="25" t="s">
        <v>2872</v>
      </c>
      <c r="B1179" s="100">
        <v>722750.0</v>
      </c>
      <c r="C1179" s="101">
        <v>35.0</v>
      </c>
    </row>
    <row r="1180">
      <c r="A1180" s="25" t="s">
        <v>2876</v>
      </c>
      <c r="B1180" s="100">
        <v>2707.84</v>
      </c>
      <c r="C1180" s="101">
        <v>0.285</v>
      </c>
    </row>
    <row r="1181">
      <c r="A1181" s="25" t="s">
        <v>2877</v>
      </c>
      <c r="B1181" s="100">
        <v>78652.0</v>
      </c>
      <c r="C1181" s="101">
        <v>40.4252</v>
      </c>
    </row>
    <row r="1182">
      <c r="A1182" s="25" t="s">
        <v>2879</v>
      </c>
      <c r="B1182" s="100">
        <v>140000.0</v>
      </c>
      <c r="C1182" s="101">
        <v>36.7688112</v>
      </c>
    </row>
    <row r="1183">
      <c r="A1183" s="25" t="s">
        <v>2880</v>
      </c>
      <c r="B1183" s="100">
        <v>592475.1</v>
      </c>
      <c r="C1183" s="101">
        <v>29.368063</v>
      </c>
    </row>
    <row r="1184">
      <c r="A1184" s="25" t="s">
        <v>2882</v>
      </c>
      <c r="B1184" s="100">
        <v>162610.0</v>
      </c>
      <c r="C1184" s="101">
        <v>59.541141</v>
      </c>
    </row>
    <row r="1185">
      <c r="A1185" s="25" t="s">
        <v>2884</v>
      </c>
      <c r="B1185" s="100">
        <v>515608.1</v>
      </c>
      <c r="C1185" s="101">
        <v>73.39</v>
      </c>
    </row>
    <row r="1186">
      <c r="A1186" s="25" t="s">
        <v>2886</v>
      </c>
      <c r="B1186" s="100">
        <v>270900.0</v>
      </c>
      <c r="C1186" s="101">
        <v>19.234674329999997</v>
      </c>
    </row>
    <row r="1187">
      <c r="A1187" s="25" t="s">
        <v>2887</v>
      </c>
      <c r="B1187" s="100">
        <v>41930.0</v>
      </c>
      <c r="C1187" s="101">
        <v>61.84724668</v>
      </c>
    </row>
    <row r="1188">
      <c r="A1188" s="25" t="s">
        <v>2890</v>
      </c>
      <c r="B1188" s="100">
        <v>264740.0</v>
      </c>
      <c r="C1188" s="101">
        <v>271.96246941000004</v>
      </c>
    </row>
    <row r="1189">
      <c r="A1189" s="25" t="s">
        <v>2891</v>
      </c>
      <c r="B1189" s="100">
        <v>48186.6</v>
      </c>
      <c r="C1189" s="101">
        <v>27.7162556</v>
      </c>
    </row>
    <row r="1190">
      <c r="A1190" s="25" t="s">
        <v>2894</v>
      </c>
      <c r="B1190" s="100">
        <v>206640.0</v>
      </c>
      <c r="C1190" s="101">
        <v>68.12063</v>
      </c>
    </row>
    <row r="1191">
      <c r="A1191" s="25" t="s">
        <v>2896</v>
      </c>
      <c r="B1191" s="100">
        <v>19847.79</v>
      </c>
      <c r="C1191" s="101">
        <v>2.87792936</v>
      </c>
    </row>
    <row r="1192">
      <c r="A1192" s="25" t="s">
        <v>2899</v>
      </c>
      <c r="B1192" s="100">
        <v>139160.0</v>
      </c>
      <c r="C1192" s="101">
        <v>33.16158941</v>
      </c>
    </row>
    <row r="1193">
      <c r="A1193" s="25" t="s">
        <v>2900</v>
      </c>
      <c r="B1193" s="100">
        <v>204400.0</v>
      </c>
      <c r="C1193" s="101">
        <v>42.919975</v>
      </c>
    </row>
    <row r="1194">
      <c r="A1194" s="25" t="s">
        <v>2902</v>
      </c>
      <c r="B1194" s="100">
        <v>175000.0</v>
      </c>
      <c r="C1194" s="101">
        <v>46.5975</v>
      </c>
    </row>
    <row r="1195">
      <c r="A1195" s="25" t="s">
        <v>2904</v>
      </c>
      <c r="B1195" s="100">
        <v>11816.0</v>
      </c>
      <c r="C1195" s="101">
        <v>1.226</v>
      </c>
    </row>
    <row r="1196">
      <c r="A1196" s="25" t="s">
        <v>2908</v>
      </c>
      <c r="B1196" s="100">
        <v>10632.0</v>
      </c>
      <c r="C1196" s="101">
        <v>2.0</v>
      </c>
    </row>
    <row r="1197">
      <c r="A1197" s="25" t="s">
        <v>2911</v>
      </c>
      <c r="B1197" s="100">
        <v>10632.0</v>
      </c>
      <c r="C1197" s="101">
        <v>2.0</v>
      </c>
    </row>
    <row r="1198">
      <c r="A1198" s="25" t="s">
        <v>2912</v>
      </c>
      <c r="B1198" s="100">
        <v>9781.0</v>
      </c>
      <c r="C1198" s="101">
        <v>1.84</v>
      </c>
    </row>
    <row r="1199">
      <c r="A1199" s="25" t="s">
        <v>2913</v>
      </c>
      <c r="B1199" s="100">
        <v>6805.0</v>
      </c>
      <c r="C1199" s="101">
        <v>1.28018</v>
      </c>
    </row>
    <row r="1200">
      <c r="A1200" s="25" t="s">
        <v>2915</v>
      </c>
      <c r="B1200" s="100">
        <v>10632.0</v>
      </c>
      <c r="C1200" s="101">
        <v>2.0</v>
      </c>
    </row>
    <row r="1201">
      <c r="A1201" s="25" t="s">
        <v>2918</v>
      </c>
      <c r="B1201" s="100">
        <v>9619.46</v>
      </c>
      <c r="C1201" s="101">
        <v>9.975</v>
      </c>
    </row>
    <row r="1202">
      <c r="A1202" s="25" t="s">
        <v>2921</v>
      </c>
      <c r="B1202" s="100">
        <v>345660.0</v>
      </c>
      <c r="C1202" s="101">
        <v>78.56690043</v>
      </c>
    </row>
    <row r="1203">
      <c r="A1203" s="25" t="s">
        <v>2923</v>
      </c>
      <c r="B1203" s="100">
        <v>259350.0</v>
      </c>
      <c r="C1203" s="101">
        <v>89.80993268</v>
      </c>
    </row>
    <row r="1204">
      <c r="A1204" s="25" t="s">
        <v>2925</v>
      </c>
      <c r="B1204" s="100">
        <v>285250.0</v>
      </c>
      <c r="C1204" s="101">
        <v>66.154975</v>
      </c>
    </row>
    <row r="1205">
      <c r="A1205" s="25" t="s">
        <v>2926</v>
      </c>
      <c r="B1205" s="100">
        <v>156298.1</v>
      </c>
      <c r="C1205" s="101">
        <v>52.241</v>
      </c>
    </row>
    <row r="1206">
      <c r="A1206" s="25" t="s">
        <v>2928</v>
      </c>
      <c r="B1206" s="100">
        <v>10632.0</v>
      </c>
      <c r="C1206" s="101">
        <v>2.0</v>
      </c>
    </row>
    <row r="1207">
      <c r="A1207" s="25" t="s">
        <v>2929</v>
      </c>
      <c r="B1207" s="100">
        <v>220500.0</v>
      </c>
      <c r="C1207" s="101">
        <v>29.792130710000002</v>
      </c>
    </row>
    <row r="1208">
      <c r="A1208" s="25" t="s">
        <v>2932</v>
      </c>
      <c r="B1208" s="100">
        <v>11200.09</v>
      </c>
      <c r="C1208" s="101">
        <v>2.0</v>
      </c>
    </row>
    <row r="1209">
      <c r="A1209" s="25" t="s">
        <v>2936</v>
      </c>
      <c r="B1209" s="100">
        <v>5600.04</v>
      </c>
      <c r="C1209" s="101">
        <v>1.0</v>
      </c>
    </row>
    <row r="1210">
      <c r="A1210" s="25" t="s">
        <v>2938</v>
      </c>
      <c r="B1210" s="100">
        <v>373753.8</v>
      </c>
      <c r="C1210" s="101">
        <v>111.51</v>
      </c>
    </row>
    <row r="1211">
      <c r="A1211" s="25" t="s">
        <v>2939</v>
      </c>
      <c r="B1211" s="100">
        <v>140000.0</v>
      </c>
      <c r="C1211" s="101">
        <v>33.99611963</v>
      </c>
    </row>
    <row r="1212">
      <c r="A1212" s="25" t="s">
        <v>2941</v>
      </c>
      <c r="B1212" s="100">
        <v>56000.0</v>
      </c>
      <c r="C1212" s="101">
        <v>11.630056</v>
      </c>
    </row>
    <row r="1213">
      <c r="A1213" s="25" t="s">
        <v>2942</v>
      </c>
      <c r="B1213" s="100">
        <v>313810.0</v>
      </c>
      <c r="C1213" s="101">
        <v>251.802484</v>
      </c>
    </row>
    <row r="1214">
      <c r="A1214" s="25" t="s">
        <v>2946</v>
      </c>
      <c r="B1214" s="100">
        <v>180320.0</v>
      </c>
      <c r="C1214" s="101">
        <v>201.59568</v>
      </c>
    </row>
    <row r="1215">
      <c r="A1215" s="25" t="s">
        <v>2948</v>
      </c>
      <c r="B1215" s="100">
        <v>89880.0</v>
      </c>
      <c r="C1215" s="101">
        <v>99.0</v>
      </c>
    </row>
    <row r="1216">
      <c r="A1216" s="25" t="s">
        <v>2950</v>
      </c>
      <c r="B1216" s="100">
        <v>309400.0</v>
      </c>
      <c r="C1216" s="101">
        <v>268.3072</v>
      </c>
    </row>
    <row r="1217">
      <c r="A1217" s="25" t="s">
        <v>2951</v>
      </c>
      <c r="B1217" s="100">
        <v>9949.05</v>
      </c>
      <c r="C1217" s="101">
        <v>10.98106799</v>
      </c>
    </row>
    <row r="1218">
      <c r="A1218" s="25" t="s">
        <v>2952</v>
      </c>
      <c r="B1218" s="100">
        <v>12233.42</v>
      </c>
      <c r="C1218" s="101">
        <v>13.5023941</v>
      </c>
    </row>
    <row r="1219">
      <c r="A1219" s="25" t="s">
        <v>2954</v>
      </c>
      <c r="B1219" s="100">
        <v>8172.35</v>
      </c>
      <c r="C1219" s="101">
        <v>9.03510449</v>
      </c>
    </row>
    <row r="1220">
      <c r="A1220" s="25" t="s">
        <v>2957</v>
      </c>
      <c r="B1220" s="100">
        <v>8592.85</v>
      </c>
      <c r="C1220" s="101">
        <v>9.5</v>
      </c>
    </row>
    <row r="1221">
      <c r="A1221" s="25" t="s">
        <v>2960</v>
      </c>
      <c r="B1221" s="100">
        <v>6693.38</v>
      </c>
      <c r="C1221" s="101">
        <v>7.4</v>
      </c>
    </row>
    <row r="1222">
      <c r="A1222" s="25" t="s">
        <v>2961</v>
      </c>
      <c r="B1222" s="100">
        <v>18754.7</v>
      </c>
      <c r="C1222" s="101">
        <v>20.73463532</v>
      </c>
    </row>
    <row r="1223">
      <c r="A1223" s="25" t="s">
        <v>2963</v>
      </c>
      <c r="B1223" s="100">
        <v>216440.0</v>
      </c>
      <c r="C1223" s="101">
        <v>293.0964</v>
      </c>
    </row>
    <row r="1224">
      <c r="A1224" s="25" t="s">
        <v>2967</v>
      </c>
      <c r="B1224" s="100">
        <v>16733.45</v>
      </c>
      <c r="C1224" s="101">
        <v>18.5</v>
      </c>
    </row>
    <row r="1225">
      <c r="A1225" s="25" t="s">
        <v>2969</v>
      </c>
      <c r="B1225" s="100">
        <v>5557.89</v>
      </c>
      <c r="C1225" s="101">
        <v>0.66</v>
      </c>
    </row>
    <row r="1226">
      <c r="A1226" s="25" t="s">
        <v>2971</v>
      </c>
      <c r="B1226" s="100">
        <v>16462.1</v>
      </c>
      <c r="C1226" s="101">
        <v>18.2</v>
      </c>
    </row>
    <row r="1227">
      <c r="A1227" s="25" t="s">
        <v>2972</v>
      </c>
      <c r="B1227" s="100">
        <v>8911.17</v>
      </c>
      <c r="C1227" s="101">
        <v>2.536565</v>
      </c>
    </row>
    <row r="1228">
      <c r="A1228" s="25" t="s">
        <v>2973</v>
      </c>
      <c r="B1228" s="100">
        <v>13906.71</v>
      </c>
      <c r="C1228" s="101">
        <v>14.4207042</v>
      </c>
    </row>
    <row r="1229">
      <c r="A1229" s="25" t="s">
        <v>2975</v>
      </c>
      <c r="B1229" s="100">
        <v>13567.66</v>
      </c>
      <c r="C1229" s="101">
        <v>15.0</v>
      </c>
    </row>
    <row r="1230">
      <c r="A1230" s="25" t="s">
        <v>2978</v>
      </c>
      <c r="B1230" s="100">
        <v>10422.16</v>
      </c>
      <c r="C1230" s="101">
        <v>2.57</v>
      </c>
    </row>
    <row r="1231">
      <c r="A1231" s="25" t="s">
        <v>2980</v>
      </c>
      <c r="B1231" s="100">
        <v>10543.82</v>
      </c>
      <c r="C1231" s="101">
        <v>2.6</v>
      </c>
    </row>
    <row r="1232">
      <c r="A1232" s="25" t="s">
        <v>2981</v>
      </c>
      <c r="B1232" s="100">
        <v>6082.97</v>
      </c>
      <c r="C1232" s="101">
        <v>1.5</v>
      </c>
    </row>
    <row r="1233">
      <c r="A1233" s="25" t="s">
        <v>2983</v>
      </c>
      <c r="B1233" s="100">
        <v>302253.0</v>
      </c>
      <c r="C1233" s="101">
        <v>248.205764</v>
      </c>
    </row>
    <row r="1234">
      <c r="A1234" s="25" t="s">
        <v>2985</v>
      </c>
      <c r="B1234" s="100">
        <v>9864.61</v>
      </c>
      <c r="C1234" s="101">
        <v>1.925</v>
      </c>
    </row>
    <row r="1235">
      <c r="A1235" s="25" t="s">
        <v>2987</v>
      </c>
      <c r="B1235" s="100">
        <v>4688.94</v>
      </c>
      <c r="C1235" s="101">
        <v>0.915</v>
      </c>
    </row>
    <row r="1236">
      <c r="A1236" s="25" t="s">
        <v>2989</v>
      </c>
      <c r="B1236" s="100">
        <v>183122.8</v>
      </c>
      <c r="C1236" s="101">
        <v>155.068499</v>
      </c>
    </row>
    <row r="1237">
      <c r="A1237" s="25" t="s">
        <v>2991</v>
      </c>
      <c r="B1237" s="100">
        <v>12333.33</v>
      </c>
      <c r="C1237" s="101">
        <v>1.295</v>
      </c>
    </row>
    <row r="1238">
      <c r="A1238" s="25" t="s">
        <v>2993</v>
      </c>
      <c r="B1238" s="100">
        <v>167552.0</v>
      </c>
      <c r="C1238" s="101">
        <v>35.003091729999994</v>
      </c>
    </row>
    <row r="1239">
      <c r="A1239" s="25" t="s">
        <v>2994</v>
      </c>
      <c r="B1239" s="100">
        <v>210000.0</v>
      </c>
      <c r="C1239" s="101">
        <v>65.795</v>
      </c>
    </row>
    <row r="1240">
      <c r="A1240" s="25" t="s">
        <v>2996</v>
      </c>
      <c r="B1240" s="100">
        <v>5945.06</v>
      </c>
      <c r="C1240" s="101">
        <v>0.6168</v>
      </c>
    </row>
    <row r="1241">
      <c r="A1241" s="25" t="s">
        <v>2998</v>
      </c>
      <c r="B1241" s="100">
        <v>1642.41</v>
      </c>
      <c r="C1241" s="101">
        <v>0.1704</v>
      </c>
    </row>
    <row r="1242">
      <c r="A1242" s="25" t="s">
        <v>3000</v>
      </c>
      <c r="B1242" s="100">
        <v>19893.98</v>
      </c>
      <c r="C1242" s="101">
        <v>2.064</v>
      </c>
    </row>
    <row r="1243">
      <c r="A1243" s="25" t="s">
        <v>3002</v>
      </c>
      <c r="B1243" s="100">
        <v>14342.17</v>
      </c>
      <c r="C1243" s="101">
        <v>1.488</v>
      </c>
    </row>
    <row r="1244">
      <c r="A1244" s="25" t="s">
        <v>3003</v>
      </c>
      <c r="B1244" s="100">
        <v>10632.08</v>
      </c>
      <c r="C1244" s="101">
        <v>2.0</v>
      </c>
    </row>
    <row r="1245">
      <c r="A1245" s="25" t="s">
        <v>3006</v>
      </c>
      <c r="B1245" s="100">
        <v>10632.08</v>
      </c>
      <c r="C1245" s="101">
        <v>2.0</v>
      </c>
    </row>
    <row r="1246">
      <c r="A1246" s="25" t="s">
        <v>3008</v>
      </c>
      <c r="B1246" s="100">
        <v>10632.08</v>
      </c>
      <c r="C1246" s="101">
        <v>2.0</v>
      </c>
    </row>
    <row r="1247">
      <c r="A1247" s="25" t="s">
        <v>3009</v>
      </c>
      <c r="B1247" s="100">
        <v>10632.08</v>
      </c>
      <c r="C1247" s="101">
        <v>2.0</v>
      </c>
    </row>
    <row r="1248">
      <c r="A1248" s="25" t="s">
        <v>3011</v>
      </c>
      <c r="B1248" s="100">
        <v>10632.08</v>
      </c>
      <c r="C1248" s="101">
        <v>2.0</v>
      </c>
    </row>
    <row r="1249">
      <c r="A1249" s="25" t="s">
        <v>3012</v>
      </c>
      <c r="B1249" s="100">
        <v>139860.0</v>
      </c>
      <c r="C1249" s="101">
        <v>16.32716826</v>
      </c>
    </row>
    <row r="1250">
      <c r="A1250" s="25" t="s">
        <v>3014</v>
      </c>
      <c r="B1250" s="100">
        <v>14910.93</v>
      </c>
      <c r="C1250" s="101">
        <v>17.587</v>
      </c>
    </row>
    <row r="1251">
      <c r="A1251" s="25" t="s">
        <v>3016</v>
      </c>
      <c r="B1251" s="100">
        <v>10632.08</v>
      </c>
      <c r="C1251" s="101">
        <v>2.0</v>
      </c>
    </row>
    <row r="1252">
      <c r="A1252" s="25" t="s">
        <v>3019</v>
      </c>
      <c r="B1252" s="100">
        <v>10632.08</v>
      </c>
      <c r="C1252" s="101">
        <v>2.0</v>
      </c>
    </row>
    <row r="1253">
      <c r="A1253" s="25" t="s">
        <v>3021</v>
      </c>
      <c r="B1253" s="100">
        <v>10632.08</v>
      </c>
      <c r="C1253" s="101">
        <v>2.0</v>
      </c>
    </row>
    <row r="1254">
      <c r="A1254" s="25" t="s">
        <v>3023</v>
      </c>
      <c r="B1254" s="100">
        <v>3562.95</v>
      </c>
      <c r="C1254" s="101">
        <v>0.375</v>
      </c>
    </row>
    <row r="1255">
      <c r="A1255" s="25" t="s">
        <v>3024</v>
      </c>
      <c r="B1255" s="100">
        <v>12470.31</v>
      </c>
      <c r="C1255" s="101">
        <v>1.3125</v>
      </c>
    </row>
    <row r="1256">
      <c r="A1256" s="25" t="s">
        <v>3026</v>
      </c>
      <c r="B1256" s="100">
        <v>123585.0</v>
      </c>
      <c r="C1256" s="101">
        <v>29.351696</v>
      </c>
    </row>
    <row r="1257">
      <c r="A1257" s="25" t="s">
        <v>3029</v>
      </c>
      <c r="B1257" s="100">
        <v>11576.91</v>
      </c>
      <c r="C1257" s="101">
        <v>1.21847</v>
      </c>
    </row>
    <row r="1258">
      <c r="A1258" s="25" t="s">
        <v>3031</v>
      </c>
      <c r="B1258" s="100">
        <v>141400.0</v>
      </c>
      <c r="C1258" s="101">
        <v>38.232620299999994</v>
      </c>
    </row>
    <row r="1259">
      <c r="A1259" s="25" t="s">
        <v>3033</v>
      </c>
      <c r="B1259" s="100">
        <v>147000.0</v>
      </c>
      <c r="C1259" s="101">
        <v>24.38</v>
      </c>
    </row>
    <row r="1260">
      <c r="A1260" s="25" t="s">
        <v>3034</v>
      </c>
      <c r="B1260" s="100">
        <v>294000.0</v>
      </c>
      <c r="C1260" s="101">
        <v>50.38</v>
      </c>
    </row>
    <row r="1261">
      <c r="A1261" s="25" t="s">
        <v>3036</v>
      </c>
      <c r="B1261" s="100">
        <v>4385.75</v>
      </c>
      <c r="C1261" s="101">
        <v>0.91</v>
      </c>
    </row>
    <row r="1262">
      <c r="A1262" s="25" t="s">
        <v>3037</v>
      </c>
      <c r="B1262" s="100">
        <v>10651.12</v>
      </c>
      <c r="C1262" s="101">
        <v>2.21</v>
      </c>
    </row>
    <row r="1263">
      <c r="A1263" s="25" t="s">
        <v>3040</v>
      </c>
      <c r="B1263" s="100">
        <v>6804.53</v>
      </c>
      <c r="C1263" s="101">
        <v>1.28</v>
      </c>
    </row>
    <row r="1264">
      <c r="A1264" s="25" t="s">
        <v>3042</v>
      </c>
      <c r="B1264" s="100">
        <v>185500.0</v>
      </c>
      <c r="C1264" s="101">
        <v>12.028</v>
      </c>
    </row>
    <row r="1265">
      <c r="A1265" s="25" t="s">
        <v>3045</v>
      </c>
      <c r="B1265" s="100">
        <v>71050.0</v>
      </c>
      <c r="C1265" s="101">
        <v>77.0704</v>
      </c>
    </row>
    <row r="1266">
      <c r="A1266" s="25" t="s">
        <v>3046</v>
      </c>
      <c r="B1266" s="100">
        <v>12261.25</v>
      </c>
      <c r="C1266" s="101">
        <v>4.5</v>
      </c>
    </row>
    <row r="1267">
      <c r="A1267" s="25" t="s">
        <v>3048</v>
      </c>
      <c r="B1267" s="100">
        <v>10607.95</v>
      </c>
      <c r="C1267" s="101">
        <v>2.462</v>
      </c>
    </row>
    <row r="1268">
      <c r="A1268" s="25" t="s">
        <v>3049</v>
      </c>
      <c r="B1268" s="100">
        <v>11159.46</v>
      </c>
      <c r="C1268" s="101">
        <v>2.59</v>
      </c>
    </row>
    <row r="1269">
      <c r="A1269" s="25" t="s">
        <v>3053</v>
      </c>
      <c r="B1269" s="100">
        <v>6463.01</v>
      </c>
      <c r="C1269" s="101">
        <v>1.5</v>
      </c>
    </row>
    <row r="1270">
      <c r="A1270" s="25" t="s">
        <v>3055</v>
      </c>
      <c r="B1270" s="100">
        <v>176400.0</v>
      </c>
      <c r="C1270" s="101">
        <v>141.65894352</v>
      </c>
    </row>
    <row r="1271">
      <c r="A1271" s="25" t="s">
        <v>3057</v>
      </c>
      <c r="B1271" s="100">
        <v>45353.7</v>
      </c>
      <c r="C1271" s="101">
        <v>45.82</v>
      </c>
    </row>
    <row r="1272">
      <c r="A1272" s="25" t="s">
        <v>3058</v>
      </c>
      <c r="B1272" s="100">
        <v>247100.0</v>
      </c>
      <c r="C1272" s="101">
        <v>220.802175</v>
      </c>
    </row>
    <row r="1273">
      <c r="A1273" s="25" t="s">
        <v>3061</v>
      </c>
      <c r="B1273" s="100">
        <v>14800.0</v>
      </c>
      <c r="C1273" s="101">
        <v>2.22</v>
      </c>
    </row>
    <row r="1274">
      <c r="A1274" s="25" t="s">
        <v>3063</v>
      </c>
      <c r="B1274" s="100">
        <v>196000.0</v>
      </c>
      <c r="C1274" s="101">
        <v>10.15628238</v>
      </c>
    </row>
    <row r="1275">
      <c r="A1275" s="25" t="s">
        <v>3067</v>
      </c>
      <c r="B1275" s="100">
        <v>384335.0</v>
      </c>
      <c r="C1275" s="101">
        <v>360.67605482</v>
      </c>
    </row>
    <row r="1276">
      <c r="A1276" s="25" t="s">
        <v>3068</v>
      </c>
      <c r="B1276" s="100">
        <v>412125.0</v>
      </c>
      <c r="C1276" s="101">
        <v>394.4625</v>
      </c>
    </row>
    <row r="1277">
      <c r="A1277" s="25" t="s">
        <v>3070</v>
      </c>
      <c r="B1277" s="100">
        <v>252000.0</v>
      </c>
      <c r="C1277" s="101">
        <v>46.368</v>
      </c>
    </row>
    <row r="1278">
      <c r="A1278" s="25" t="s">
        <v>3071</v>
      </c>
      <c r="B1278" s="100">
        <v>7118.06</v>
      </c>
      <c r="C1278" s="101">
        <v>7.28</v>
      </c>
    </row>
    <row r="1279">
      <c r="A1279" s="25" t="s">
        <v>3075</v>
      </c>
      <c r="B1279" s="100">
        <v>10532.92</v>
      </c>
      <c r="C1279" s="101">
        <v>1.68</v>
      </c>
    </row>
    <row r="1280">
      <c r="A1280" s="25" t="s">
        <v>3081</v>
      </c>
      <c r="B1280" s="100">
        <v>13368.52</v>
      </c>
      <c r="C1280" s="101">
        <v>2.4947</v>
      </c>
    </row>
    <row r="1281">
      <c r="A1281" s="25" t="s">
        <v>3084</v>
      </c>
      <c r="B1281" s="100">
        <v>420700.0</v>
      </c>
      <c r="C1281" s="101">
        <v>394.8024893</v>
      </c>
    </row>
    <row r="1282">
      <c r="A1282" s="25" t="s">
        <v>3086</v>
      </c>
      <c r="B1282" s="100">
        <v>174370.0</v>
      </c>
      <c r="C1282" s="101">
        <v>186.82534237000002</v>
      </c>
    </row>
    <row r="1283">
      <c r="A1283" s="25" t="s">
        <v>3088</v>
      </c>
      <c r="B1283" s="100">
        <v>296800.0</v>
      </c>
      <c r="C1283" s="101">
        <v>422.34</v>
      </c>
    </row>
    <row r="1284">
      <c r="A1284" s="25" t="s">
        <v>3090</v>
      </c>
      <c r="B1284" s="100">
        <v>7797.01</v>
      </c>
      <c r="C1284" s="101">
        <v>1.455</v>
      </c>
    </row>
    <row r="1285">
      <c r="A1285" s="25" t="s">
        <v>3099</v>
      </c>
      <c r="B1285" s="100">
        <v>508200.0</v>
      </c>
      <c r="C1285" s="101">
        <v>29.74049616</v>
      </c>
    </row>
    <row r="1286">
      <c r="A1286" s="25" t="s">
        <v>3101</v>
      </c>
      <c r="B1286" s="100">
        <v>248920.0</v>
      </c>
      <c r="C1286" s="101">
        <v>24.415242</v>
      </c>
    </row>
    <row r="1287">
      <c r="A1287" s="25" t="s">
        <v>3103</v>
      </c>
      <c r="B1287" s="100">
        <v>282268.0</v>
      </c>
      <c r="C1287" s="101">
        <v>255.00252416</v>
      </c>
    </row>
    <row r="1288">
      <c r="A1288" s="25" t="s">
        <v>3106</v>
      </c>
      <c r="B1288" s="100">
        <v>61726.19</v>
      </c>
      <c r="C1288" s="101">
        <v>13.81</v>
      </c>
    </row>
    <row r="1289">
      <c r="A1289" s="25" t="s">
        <v>3107</v>
      </c>
      <c r="B1289" s="100">
        <v>350000.0</v>
      </c>
      <c r="C1289" s="101">
        <v>69.295</v>
      </c>
    </row>
    <row r="1290">
      <c r="A1290" s="25" t="s">
        <v>3109</v>
      </c>
      <c r="B1290" s="100">
        <v>11521.35</v>
      </c>
      <c r="C1290" s="101">
        <v>2.15</v>
      </c>
    </row>
    <row r="1291">
      <c r="A1291" s="25" t="s">
        <v>3111</v>
      </c>
      <c r="B1291" s="100">
        <v>10931.89</v>
      </c>
      <c r="C1291" s="101">
        <v>2.04</v>
      </c>
    </row>
    <row r="1292">
      <c r="A1292" s="25" t="s">
        <v>3112</v>
      </c>
      <c r="B1292" s="100">
        <v>4608.54</v>
      </c>
      <c r="C1292" s="101">
        <v>0.86</v>
      </c>
    </row>
    <row r="1293">
      <c r="A1293" s="25" t="s">
        <v>3116</v>
      </c>
      <c r="B1293" s="100">
        <v>4608.54</v>
      </c>
      <c r="C1293" s="101">
        <v>0.86</v>
      </c>
    </row>
    <row r="1294">
      <c r="A1294" s="25" t="s">
        <v>3119</v>
      </c>
      <c r="B1294" s="100">
        <v>12593.11</v>
      </c>
      <c r="C1294" s="101">
        <v>2.35</v>
      </c>
    </row>
    <row r="1295">
      <c r="A1295" s="25" t="s">
        <v>3121</v>
      </c>
      <c r="B1295" s="100">
        <v>639800.0</v>
      </c>
      <c r="C1295" s="101">
        <v>80.05</v>
      </c>
    </row>
    <row r="1296">
      <c r="A1296" s="25" t="s">
        <v>3123</v>
      </c>
      <c r="B1296" s="100">
        <v>6499.21</v>
      </c>
      <c r="C1296" s="101">
        <v>1.85</v>
      </c>
    </row>
    <row r="1297">
      <c r="A1297" s="25" t="s">
        <v>3124</v>
      </c>
      <c r="B1297" s="100">
        <v>5972.25</v>
      </c>
      <c r="C1297" s="101">
        <v>1.7</v>
      </c>
    </row>
    <row r="1298">
      <c r="A1298" s="25" t="s">
        <v>3126</v>
      </c>
      <c r="B1298" s="100">
        <v>3298.0</v>
      </c>
      <c r="C1298" s="101">
        <v>0.79175</v>
      </c>
    </row>
    <row r="1299">
      <c r="A1299" s="25" t="s">
        <v>3130</v>
      </c>
      <c r="B1299" s="100">
        <v>2569.17</v>
      </c>
      <c r="C1299" s="101">
        <v>0.61678</v>
      </c>
    </row>
    <row r="1300">
      <c r="A1300" s="25" t="s">
        <v>3133</v>
      </c>
      <c r="B1300" s="100">
        <v>5234.32</v>
      </c>
      <c r="C1300" s="101">
        <v>1.5</v>
      </c>
    </row>
    <row r="1301">
      <c r="A1301" s="25" t="s">
        <v>3135</v>
      </c>
      <c r="B1301" s="100">
        <v>5234.32</v>
      </c>
      <c r="C1301" s="101">
        <v>1.5</v>
      </c>
    </row>
    <row r="1302">
      <c r="A1302" s="25" t="s">
        <v>3136</v>
      </c>
      <c r="B1302" s="100">
        <v>5234.32</v>
      </c>
      <c r="C1302" s="101">
        <v>1.5</v>
      </c>
    </row>
    <row r="1303">
      <c r="A1303" s="25" t="s">
        <v>3138</v>
      </c>
      <c r="B1303" s="100">
        <v>10632.08</v>
      </c>
      <c r="C1303" s="101">
        <v>2.0</v>
      </c>
    </row>
    <row r="1304">
      <c r="A1304" s="25" t="s">
        <v>3140</v>
      </c>
      <c r="B1304" s="100">
        <v>144900.0</v>
      </c>
      <c r="C1304" s="101">
        <v>185.2</v>
      </c>
    </row>
    <row r="1305">
      <c r="A1305" s="25" t="s">
        <v>3143</v>
      </c>
      <c r="B1305" s="100">
        <v>8571.62</v>
      </c>
      <c r="C1305" s="101">
        <v>10.0</v>
      </c>
    </row>
    <row r="1306">
      <c r="A1306" s="25" t="s">
        <v>3147</v>
      </c>
      <c r="B1306" s="100">
        <v>98280.0</v>
      </c>
      <c r="C1306" s="101">
        <v>11.670432</v>
      </c>
    </row>
    <row r="1307">
      <c r="A1307" s="25" t="s">
        <v>3149</v>
      </c>
      <c r="B1307" s="100">
        <v>156100.0</v>
      </c>
      <c r="C1307" s="101">
        <v>109.74053</v>
      </c>
    </row>
    <row r="1308">
      <c r="A1308" s="25" t="s">
        <v>3150</v>
      </c>
      <c r="B1308" s="100">
        <v>253260.0</v>
      </c>
      <c r="C1308" s="101">
        <v>318.090942</v>
      </c>
    </row>
    <row r="1309">
      <c r="A1309" s="25" t="s">
        <v>3152</v>
      </c>
      <c r="B1309" s="100">
        <v>80850.0</v>
      </c>
      <c r="C1309" s="101">
        <v>73.371375</v>
      </c>
    </row>
    <row r="1310">
      <c r="A1310" s="25" t="s">
        <v>3156</v>
      </c>
      <c r="B1310" s="100">
        <v>368900.0</v>
      </c>
      <c r="C1310" s="101">
        <v>550.0</v>
      </c>
    </row>
    <row r="1311">
      <c r="A1311" s="25" t="s">
        <v>3158</v>
      </c>
      <c r="B1311" s="100">
        <v>5964.41</v>
      </c>
      <c r="C1311" s="101">
        <v>6.55</v>
      </c>
    </row>
    <row r="1312">
      <c r="A1312" s="25" t="s">
        <v>3159</v>
      </c>
      <c r="B1312" s="100">
        <v>10229.67</v>
      </c>
      <c r="C1312" s="101">
        <v>12.335501</v>
      </c>
    </row>
    <row r="1313">
      <c r="A1313" s="25" t="s">
        <v>3161</v>
      </c>
      <c r="B1313" s="100">
        <v>19402.13</v>
      </c>
      <c r="C1313" s="101">
        <v>23.396153</v>
      </c>
    </row>
    <row r="1314">
      <c r="A1314" s="25" t="s">
        <v>3163</v>
      </c>
      <c r="B1314" s="100">
        <v>8119.41</v>
      </c>
      <c r="C1314" s="101">
        <v>9.790833</v>
      </c>
    </row>
    <row r="1315">
      <c r="A1315" s="25" t="s">
        <v>3165</v>
      </c>
      <c r="B1315" s="100">
        <v>108500.0</v>
      </c>
      <c r="C1315" s="101">
        <v>131.75</v>
      </c>
    </row>
    <row r="1316">
      <c r="A1316" s="25" t="s">
        <v>3167</v>
      </c>
      <c r="B1316" s="100">
        <v>747600.0</v>
      </c>
      <c r="C1316" s="101">
        <v>300.0</v>
      </c>
    </row>
    <row r="1317">
      <c r="A1317" s="25" t="s">
        <v>3170</v>
      </c>
      <c r="B1317" s="100">
        <v>649775.0</v>
      </c>
      <c r="C1317" s="101">
        <v>44.649</v>
      </c>
    </row>
    <row r="1318">
      <c r="A1318" s="25" t="s">
        <v>3172</v>
      </c>
      <c r="B1318" s="100">
        <v>310800.0</v>
      </c>
      <c r="C1318" s="101">
        <v>346.47076362</v>
      </c>
    </row>
    <row r="1319">
      <c r="A1319" s="25" t="s">
        <v>3174</v>
      </c>
      <c r="B1319" s="100">
        <v>7214.68</v>
      </c>
      <c r="C1319" s="101">
        <v>8.925845</v>
      </c>
    </row>
    <row r="1320">
      <c r="A1320" s="25" t="s">
        <v>3176</v>
      </c>
      <c r="B1320" s="100">
        <v>2134.74</v>
      </c>
      <c r="C1320" s="101">
        <v>0.2535</v>
      </c>
    </row>
    <row r="1321">
      <c r="A1321" s="25" t="s">
        <v>3180</v>
      </c>
      <c r="B1321" s="100">
        <v>13392.99</v>
      </c>
      <c r="C1321" s="101">
        <v>16.15</v>
      </c>
    </row>
    <row r="1322">
      <c r="A1322" s="25" t="s">
        <v>3181</v>
      </c>
      <c r="B1322" s="100">
        <v>201250.0</v>
      </c>
      <c r="C1322" s="101">
        <v>209.275</v>
      </c>
    </row>
    <row r="1323">
      <c r="A1323" s="25" t="s">
        <v>3182</v>
      </c>
      <c r="B1323" s="100">
        <v>247100.0</v>
      </c>
      <c r="C1323" s="101">
        <v>320.3475</v>
      </c>
    </row>
    <row r="1324">
      <c r="A1324" s="25" t="s">
        <v>3184</v>
      </c>
      <c r="B1324" s="100">
        <v>240800.0</v>
      </c>
      <c r="C1324" s="101">
        <v>320.3475</v>
      </c>
    </row>
    <row r="1325">
      <c r="A1325" s="25" t="s">
        <v>3187</v>
      </c>
      <c r="B1325" s="100">
        <v>16688.24</v>
      </c>
      <c r="C1325" s="101">
        <v>21.348</v>
      </c>
    </row>
    <row r="1326">
      <c r="A1326" s="25" t="s">
        <v>3189</v>
      </c>
      <c r="B1326" s="100">
        <v>5617.47</v>
      </c>
      <c r="C1326" s="101">
        <v>7.186</v>
      </c>
    </row>
    <row r="1327">
      <c r="A1327" s="25" t="s">
        <v>3191</v>
      </c>
      <c r="B1327" s="100">
        <v>13006.32</v>
      </c>
      <c r="C1327" s="101">
        <v>16.638</v>
      </c>
    </row>
    <row r="1328">
      <c r="A1328" s="25" t="s">
        <v>3195</v>
      </c>
      <c r="B1328" s="100">
        <v>14491.6</v>
      </c>
      <c r="C1328" s="101">
        <v>18.538</v>
      </c>
    </row>
    <row r="1329">
      <c r="A1329" s="25" t="s">
        <v>3197</v>
      </c>
      <c r="B1329" s="100">
        <v>12231.03</v>
      </c>
      <c r="C1329" s="101">
        <v>14.2</v>
      </c>
    </row>
    <row r="1330">
      <c r="A1330" s="25" t="s">
        <v>3199</v>
      </c>
      <c r="B1330" s="100">
        <v>5472.07</v>
      </c>
      <c r="C1330" s="101">
        <v>7.0</v>
      </c>
    </row>
    <row r="1331">
      <c r="A1331" s="25" t="s">
        <v>3200</v>
      </c>
      <c r="B1331" s="100">
        <v>331100.0</v>
      </c>
      <c r="C1331" s="101">
        <v>290.7443484</v>
      </c>
    </row>
    <row r="1332">
      <c r="A1332" s="25" t="s">
        <v>3204</v>
      </c>
      <c r="B1332" s="100">
        <v>19156.38</v>
      </c>
      <c r="C1332" s="101">
        <v>25.0</v>
      </c>
    </row>
    <row r="1333">
      <c r="A1333" s="25" t="s">
        <v>3207</v>
      </c>
      <c r="B1333" s="100">
        <v>417361.0</v>
      </c>
      <c r="C1333" s="101">
        <v>313.93388409</v>
      </c>
    </row>
    <row r="1334">
      <c r="A1334" s="25" t="s">
        <v>3209</v>
      </c>
      <c r="B1334" s="100">
        <v>13841.58</v>
      </c>
      <c r="C1334" s="101">
        <v>19.0</v>
      </c>
    </row>
    <row r="1335">
      <c r="A1335" s="25" t="s">
        <v>3210</v>
      </c>
      <c r="B1335" s="100">
        <v>5008.47</v>
      </c>
      <c r="C1335" s="101">
        <v>6.875</v>
      </c>
    </row>
    <row r="1336">
      <c r="A1336" s="25" t="s">
        <v>3214</v>
      </c>
      <c r="B1336" s="100">
        <v>10991.34</v>
      </c>
      <c r="C1336" s="101">
        <v>14.8</v>
      </c>
    </row>
    <row r="1337">
      <c r="A1337" s="25" t="s">
        <v>3216</v>
      </c>
      <c r="B1337" s="100">
        <v>6164.06</v>
      </c>
      <c r="C1337" s="101">
        <v>8.3</v>
      </c>
    </row>
    <row r="1338">
      <c r="A1338" s="25" t="s">
        <v>3218</v>
      </c>
      <c r="B1338" s="100">
        <v>126840.0</v>
      </c>
      <c r="C1338" s="101">
        <v>130.2</v>
      </c>
    </row>
    <row r="1339">
      <c r="A1339" s="25" t="s">
        <v>3220</v>
      </c>
      <c r="B1339" s="100">
        <v>9880.05</v>
      </c>
      <c r="C1339" s="101">
        <v>13.21</v>
      </c>
    </row>
    <row r="1340">
      <c r="A1340" s="25" t="s">
        <v>3224</v>
      </c>
      <c r="B1340" s="100">
        <v>101500.0</v>
      </c>
      <c r="C1340" s="101">
        <v>108.34233762999999</v>
      </c>
    </row>
    <row r="1341">
      <c r="A1341" s="25" t="s">
        <v>3226</v>
      </c>
      <c r="B1341" s="100">
        <v>465780.0</v>
      </c>
      <c r="C1341" s="101">
        <v>437.10744822000004</v>
      </c>
    </row>
    <row r="1342">
      <c r="A1342" s="25" t="s">
        <v>3228</v>
      </c>
      <c r="B1342" s="100">
        <v>15986.08</v>
      </c>
      <c r="C1342" s="101">
        <v>18.65</v>
      </c>
    </row>
    <row r="1343">
      <c r="A1343" s="25" t="s">
        <v>3239</v>
      </c>
      <c r="B1343" s="100">
        <v>15151.1</v>
      </c>
      <c r="C1343" s="101">
        <v>20.892</v>
      </c>
    </row>
    <row r="1344">
      <c r="A1344" s="25" t="s">
        <v>3242</v>
      </c>
      <c r="B1344" s="100">
        <v>22740.43</v>
      </c>
      <c r="C1344" s="101">
        <v>31.357</v>
      </c>
    </row>
    <row r="1345">
      <c r="A1345" s="25" t="s">
        <v>3245</v>
      </c>
      <c r="B1345" s="100">
        <v>18817.76</v>
      </c>
      <c r="C1345" s="101">
        <v>25.948</v>
      </c>
    </row>
    <row r="1346">
      <c r="A1346" s="25" t="s">
        <v>3246</v>
      </c>
      <c r="B1346" s="100">
        <v>14353.37</v>
      </c>
      <c r="C1346" s="101">
        <v>19.792</v>
      </c>
    </row>
    <row r="1347">
      <c r="A1347" s="25" t="s">
        <v>3248</v>
      </c>
      <c r="B1347" s="100">
        <v>14137.25</v>
      </c>
      <c r="C1347" s="101">
        <v>19.494</v>
      </c>
    </row>
    <row r="1348">
      <c r="A1348" s="25" t="s">
        <v>3251</v>
      </c>
      <c r="B1348" s="100">
        <v>29299.95</v>
      </c>
      <c r="C1348" s="101">
        <v>40.402</v>
      </c>
    </row>
    <row r="1349">
      <c r="A1349" s="25" t="s">
        <v>3255</v>
      </c>
      <c r="B1349" s="100">
        <v>11168.24</v>
      </c>
      <c r="C1349" s="101">
        <v>15.4</v>
      </c>
    </row>
    <row r="1350">
      <c r="A1350" s="25" t="s">
        <v>3256</v>
      </c>
      <c r="B1350" s="100">
        <v>7517.46</v>
      </c>
      <c r="C1350" s="101">
        <v>9.30044</v>
      </c>
    </row>
    <row r="1351">
      <c r="A1351" s="25" t="s">
        <v>3258</v>
      </c>
      <c r="B1351" s="100">
        <v>13556.49</v>
      </c>
      <c r="C1351" s="101">
        <v>16.7718</v>
      </c>
    </row>
    <row r="1352">
      <c r="A1352" s="25" t="s">
        <v>3261</v>
      </c>
      <c r="B1352" s="100">
        <v>298462.5</v>
      </c>
      <c r="C1352" s="101">
        <v>409.34233763</v>
      </c>
    </row>
    <row r="1353">
      <c r="A1353" s="25" t="s">
        <v>3263</v>
      </c>
      <c r="B1353" s="100">
        <v>58100.0</v>
      </c>
      <c r="C1353" s="101">
        <v>53.2</v>
      </c>
    </row>
    <row r="1354">
      <c r="A1354" s="25" t="s">
        <v>3265</v>
      </c>
      <c r="B1354" s="100">
        <v>6052.6</v>
      </c>
      <c r="C1354" s="101">
        <v>8.335</v>
      </c>
    </row>
    <row r="1355">
      <c r="A1355" s="25" t="s">
        <v>3266</v>
      </c>
      <c r="B1355" s="100">
        <v>19192.59</v>
      </c>
      <c r="C1355" s="101">
        <v>26.43</v>
      </c>
    </row>
    <row r="1356">
      <c r="A1356" s="25" t="s">
        <v>3270</v>
      </c>
      <c r="B1356" s="100">
        <v>9026.56</v>
      </c>
      <c r="C1356" s="101">
        <v>12.4304246</v>
      </c>
    </row>
    <row r="1357">
      <c r="A1357" s="25" t="s">
        <v>3272</v>
      </c>
      <c r="B1357" s="100">
        <v>16632.21</v>
      </c>
      <c r="C1357" s="101">
        <v>22.904123</v>
      </c>
    </row>
    <row r="1358">
      <c r="A1358" s="25" t="s">
        <v>3274</v>
      </c>
      <c r="B1358" s="100">
        <v>4229.32</v>
      </c>
      <c r="C1358" s="101">
        <v>5.8241662199999995</v>
      </c>
    </row>
    <row r="1359">
      <c r="A1359" s="25" t="s">
        <v>3276</v>
      </c>
      <c r="B1359" s="100">
        <v>18848.49</v>
      </c>
      <c r="C1359" s="101">
        <v>25.95614785</v>
      </c>
    </row>
    <row r="1360">
      <c r="A1360" s="25" t="s">
        <v>3278</v>
      </c>
      <c r="B1360" s="100">
        <v>5690.76</v>
      </c>
      <c r="C1360" s="101">
        <v>7.836712</v>
      </c>
    </row>
    <row r="1361">
      <c r="A1361" s="25" t="s">
        <v>3280</v>
      </c>
      <c r="B1361" s="100">
        <v>15991.65</v>
      </c>
      <c r="C1361" s="101">
        <v>22.022</v>
      </c>
    </row>
    <row r="1362">
      <c r="A1362" s="25" t="s">
        <v>3282</v>
      </c>
      <c r="B1362" s="100">
        <v>14508.81</v>
      </c>
      <c r="C1362" s="101">
        <v>19.98</v>
      </c>
    </row>
    <row r="1363">
      <c r="A1363" s="25" t="s">
        <v>3285</v>
      </c>
      <c r="B1363" s="100">
        <v>4853.24</v>
      </c>
      <c r="C1363" s="101">
        <v>6.683361</v>
      </c>
    </row>
    <row r="1364">
      <c r="A1364" s="25" t="s">
        <v>3288</v>
      </c>
      <c r="B1364" s="100">
        <v>11230.41</v>
      </c>
      <c r="C1364" s="101">
        <v>15.465325</v>
      </c>
    </row>
    <row r="1365">
      <c r="A1365" s="25" t="s">
        <v>3290</v>
      </c>
      <c r="B1365" s="100">
        <v>8518.25</v>
      </c>
      <c r="C1365" s="101">
        <v>11.730425</v>
      </c>
    </row>
    <row r="1366">
      <c r="A1366" s="25" t="s">
        <v>3293</v>
      </c>
      <c r="B1366" s="100">
        <v>262290.0</v>
      </c>
      <c r="C1366" s="101">
        <v>371.101</v>
      </c>
    </row>
    <row r="1367">
      <c r="A1367" s="25" t="s">
        <v>3296</v>
      </c>
      <c r="B1367" s="100">
        <v>250600.0</v>
      </c>
      <c r="C1367" s="101">
        <v>324.885</v>
      </c>
    </row>
    <row r="1368">
      <c r="A1368" s="25" t="s">
        <v>3297</v>
      </c>
      <c r="B1368" s="100">
        <v>3110.23</v>
      </c>
      <c r="C1368" s="101">
        <v>4.2830835700000005</v>
      </c>
    </row>
    <row r="1369">
      <c r="A1369" s="25" t="s">
        <v>3299</v>
      </c>
      <c r="B1369" s="100">
        <v>1971.85</v>
      </c>
      <c r="C1369" s="101">
        <v>2.7154287000000004</v>
      </c>
    </row>
    <row r="1370">
      <c r="A1370" s="25" t="s">
        <v>3303</v>
      </c>
      <c r="B1370" s="100">
        <v>9142.44</v>
      </c>
      <c r="C1370" s="101">
        <v>12.59</v>
      </c>
    </row>
    <row r="1371">
      <c r="A1371" s="25" t="s">
        <v>3306</v>
      </c>
      <c r="B1371" s="100">
        <v>15447.6</v>
      </c>
      <c r="C1371" s="101">
        <v>21.272798</v>
      </c>
    </row>
    <row r="1372">
      <c r="A1372" s="25" t="s">
        <v>3307</v>
      </c>
      <c r="B1372" s="100">
        <v>454300.0</v>
      </c>
      <c r="C1372" s="101">
        <v>440.55</v>
      </c>
    </row>
    <row r="1373">
      <c r="A1373" s="25" t="s">
        <v>3308</v>
      </c>
      <c r="B1373" s="100">
        <v>217700.0</v>
      </c>
      <c r="C1373" s="101">
        <v>262.852535</v>
      </c>
    </row>
    <row r="1374">
      <c r="A1374" s="25" t="s">
        <v>3309</v>
      </c>
      <c r="B1374" s="100">
        <v>240800.0</v>
      </c>
      <c r="C1374" s="101">
        <v>312.18</v>
      </c>
    </row>
    <row r="1375">
      <c r="A1375" s="25" t="s">
        <v>3312</v>
      </c>
      <c r="B1375" s="100">
        <v>151060.0</v>
      </c>
      <c r="C1375" s="101">
        <v>292.9924</v>
      </c>
    </row>
    <row r="1376">
      <c r="A1376" s="25" t="s">
        <v>3313</v>
      </c>
      <c r="B1376" s="100">
        <v>11352.89</v>
      </c>
      <c r="C1376" s="101">
        <v>2.04</v>
      </c>
    </row>
    <row r="1377">
      <c r="A1377" s="25" t="s">
        <v>3314</v>
      </c>
      <c r="B1377" s="100">
        <v>183750.0</v>
      </c>
      <c r="C1377" s="101">
        <v>192.0</v>
      </c>
    </row>
    <row r="1378">
      <c r="A1378" s="25" t="s">
        <v>3316</v>
      </c>
      <c r="B1378" s="100">
        <v>168980.0</v>
      </c>
      <c r="C1378" s="101">
        <v>263.764264</v>
      </c>
    </row>
    <row r="1379">
      <c r="A1379" s="25" t="s">
        <v>3318</v>
      </c>
      <c r="B1379" s="100">
        <v>141400.0</v>
      </c>
      <c r="C1379" s="101">
        <v>77.77</v>
      </c>
    </row>
    <row r="1380">
      <c r="A1380" s="25" t="s">
        <v>3322</v>
      </c>
      <c r="B1380" s="100">
        <v>278600.0</v>
      </c>
      <c r="C1380" s="101">
        <v>164.4</v>
      </c>
    </row>
    <row r="1381">
      <c r="A1381" s="25" t="s">
        <v>3323</v>
      </c>
      <c r="B1381" s="100">
        <v>7133.82</v>
      </c>
      <c r="C1381" s="101">
        <v>9.823935550000002</v>
      </c>
    </row>
    <row r="1382">
      <c r="A1382" s="25" t="s">
        <v>3325</v>
      </c>
      <c r="B1382" s="100">
        <v>196000.0</v>
      </c>
      <c r="C1382" s="101">
        <v>271.04</v>
      </c>
    </row>
    <row r="1383">
      <c r="A1383" s="25" t="s">
        <v>3326</v>
      </c>
      <c r="B1383" s="100">
        <v>334600.0</v>
      </c>
      <c r="C1383" s="101">
        <v>466.318875</v>
      </c>
    </row>
    <row r="1384">
      <c r="A1384" s="25" t="s">
        <v>3327</v>
      </c>
      <c r="B1384" s="100">
        <v>8140.51</v>
      </c>
      <c r="C1384" s="101">
        <v>11.21025</v>
      </c>
    </row>
    <row r="1385">
      <c r="A1385" s="25" t="s">
        <v>3328</v>
      </c>
      <c r="B1385" s="100">
        <v>11886.08</v>
      </c>
      <c r="C1385" s="101">
        <v>16.36825</v>
      </c>
    </row>
    <row r="1386">
      <c r="A1386" s="25" t="s">
        <v>3330</v>
      </c>
      <c r="B1386" s="100">
        <v>8478.47</v>
      </c>
      <c r="C1386" s="101">
        <v>11.67565</v>
      </c>
    </row>
    <row r="1387">
      <c r="A1387" s="25" t="s">
        <v>3331</v>
      </c>
      <c r="B1387" s="100">
        <v>307300.0</v>
      </c>
      <c r="C1387" s="101">
        <v>444.25841402</v>
      </c>
    </row>
    <row r="1388">
      <c r="A1388" s="25" t="s">
        <v>3332</v>
      </c>
      <c r="B1388" s="100">
        <v>371441.0</v>
      </c>
      <c r="C1388" s="101">
        <v>348.57578186</v>
      </c>
    </row>
    <row r="1389">
      <c r="A1389" s="25" t="s">
        <v>3335</v>
      </c>
      <c r="B1389" s="100">
        <v>20341.02</v>
      </c>
      <c r="C1389" s="101">
        <v>28.0115</v>
      </c>
    </row>
    <row r="1390">
      <c r="A1390" s="25" t="s">
        <v>3337</v>
      </c>
      <c r="B1390" s="100">
        <v>130102.0</v>
      </c>
      <c r="C1390" s="101">
        <v>83.47867993999999</v>
      </c>
    </row>
    <row r="1391">
      <c r="A1391" s="25" t="s">
        <v>3338</v>
      </c>
      <c r="B1391" s="100">
        <v>7624.75</v>
      </c>
      <c r="C1391" s="101">
        <v>10.5</v>
      </c>
    </row>
    <row r="1392">
      <c r="A1392" s="25" t="s">
        <v>3339</v>
      </c>
      <c r="B1392" s="100">
        <v>53095.0</v>
      </c>
      <c r="C1392" s="101">
        <v>89.65050156999999</v>
      </c>
    </row>
    <row r="1393">
      <c r="A1393" s="25" t="s">
        <v>3340</v>
      </c>
      <c r="B1393" s="100">
        <v>190050.0</v>
      </c>
      <c r="C1393" s="101">
        <v>70.276122</v>
      </c>
    </row>
    <row r="1394">
      <c r="A1394" s="25" t="s">
        <v>3344</v>
      </c>
      <c r="B1394" s="100">
        <v>317240.0</v>
      </c>
      <c r="C1394" s="101">
        <v>325.0</v>
      </c>
    </row>
    <row r="1395">
      <c r="A1395" s="25" t="s">
        <v>3345</v>
      </c>
      <c r="B1395" s="100">
        <v>187964.0</v>
      </c>
      <c r="C1395" s="101">
        <v>20.92376581</v>
      </c>
    </row>
    <row r="1396">
      <c r="A1396" s="25" t="s">
        <v>3346</v>
      </c>
      <c r="B1396" s="100">
        <v>173271.0</v>
      </c>
      <c r="C1396" s="25"/>
    </row>
    <row r="1397">
      <c r="A1397" s="25" t="s">
        <v>3347</v>
      </c>
      <c r="B1397" s="100">
        <v>563136.0</v>
      </c>
      <c r="C1397" s="25"/>
    </row>
    <row r="1398">
      <c r="A1398" s="25" t="s">
        <v>3351</v>
      </c>
      <c r="B1398" s="100">
        <v>208915.0</v>
      </c>
      <c r="C1398" s="25"/>
    </row>
    <row r="1399">
      <c r="A1399" s="25" t="s">
        <v>3352</v>
      </c>
      <c r="B1399" s="100">
        <v>163415.0</v>
      </c>
      <c r="C1399" s="25"/>
    </row>
    <row r="1400">
      <c r="A1400" s="25" t="s">
        <v>3353</v>
      </c>
      <c r="B1400" s="100">
        <v>198485.0</v>
      </c>
      <c r="C1400" s="25"/>
    </row>
    <row r="1401">
      <c r="A1401" s="25" t="s">
        <v>3356</v>
      </c>
      <c r="B1401" s="100">
        <v>143860.5</v>
      </c>
      <c r="C1401" s="25"/>
    </row>
    <row r="1402">
      <c r="A1402" s="25" t="s">
        <v>3358</v>
      </c>
      <c r="B1402" s="100">
        <v>259504.0</v>
      </c>
      <c r="C1402" s="158">
        <f>B1402*1460</f>
        <v>378875840</v>
      </c>
    </row>
    <row r="1403">
      <c r="A1403" s="25" t="s">
        <v>3369</v>
      </c>
      <c r="B1403" s="100">
        <v>66521.0</v>
      </c>
      <c r="C1403" s="25"/>
    </row>
    <row r="1404">
      <c r="A1404" s="25" t="s">
        <v>3370</v>
      </c>
      <c r="B1404" s="100">
        <v>501949.0</v>
      </c>
      <c r="C1404" s="25"/>
    </row>
    <row r="1405">
      <c r="A1405" s="25" t="s">
        <v>3371</v>
      </c>
      <c r="B1405" s="100">
        <v>56210.0</v>
      </c>
      <c r="C1405" s="25"/>
    </row>
    <row r="1406">
      <c r="A1406" s="25" t="s">
        <v>3374</v>
      </c>
      <c r="B1406" s="100">
        <v>158200.0</v>
      </c>
      <c r="C1406" s="25"/>
    </row>
    <row r="1407">
      <c r="A1407" s="25" t="s">
        <v>3375</v>
      </c>
      <c r="B1407" s="100">
        <v>77840.0</v>
      </c>
      <c r="C1407" s="25"/>
    </row>
    <row r="1408">
      <c r="A1408" s="25" t="s">
        <v>3376</v>
      </c>
      <c r="B1408" s="100">
        <v>117250.0</v>
      </c>
      <c r="C1408" s="25"/>
    </row>
    <row r="1409">
      <c r="A1409" s="25" t="s">
        <v>3379</v>
      </c>
      <c r="B1409" s="100">
        <v>121100.0</v>
      </c>
      <c r="C1409" s="25"/>
    </row>
    <row r="1410">
      <c r="A1410" s="25" t="s">
        <v>3380</v>
      </c>
      <c r="B1410" s="100">
        <v>310660.0</v>
      </c>
      <c r="C1410" s="25"/>
    </row>
    <row r="1411">
      <c r="A1411" s="25" t="s">
        <v>3381</v>
      </c>
      <c r="B1411" s="100">
        <v>410830.0</v>
      </c>
      <c r="C1411" s="25"/>
    </row>
    <row r="1412">
      <c r="A1412" s="25" t="s">
        <v>3384</v>
      </c>
      <c r="B1412" s="100">
        <v>255990.0</v>
      </c>
      <c r="C1412" s="25"/>
    </row>
    <row r="1413">
      <c r="A1413" s="25" t="s">
        <v>3385</v>
      </c>
      <c r="B1413" s="100">
        <v>52150.0</v>
      </c>
      <c r="C1413" s="25"/>
    </row>
    <row r="1414">
      <c r="A1414" s="25" t="s">
        <v>3386</v>
      </c>
      <c r="B1414" s="100">
        <v>147630.0</v>
      </c>
      <c r="C1414" s="25"/>
    </row>
    <row r="1415">
      <c r="A1415" s="25" t="s">
        <v>3387</v>
      </c>
      <c r="B1415" s="100">
        <v>83370.0</v>
      </c>
      <c r="C1415" s="25"/>
    </row>
    <row r="1416">
      <c r="A1416" s="25" t="s">
        <v>3391</v>
      </c>
      <c r="B1416" s="100">
        <v>97580.0</v>
      </c>
      <c r="C1416" s="25"/>
    </row>
    <row r="1417">
      <c r="A1417" s="25" t="s">
        <v>3392</v>
      </c>
      <c r="B1417" s="100">
        <v>61320.0</v>
      </c>
      <c r="C1417" s="25"/>
    </row>
    <row r="1418">
      <c r="A1418" s="25" t="s">
        <v>3393</v>
      </c>
      <c r="B1418" s="100">
        <v>236180.0</v>
      </c>
      <c r="C1418" s="25"/>
    </row>
    <row r="1419">
      <c r="A1419" s="25" t="s">
        <v>3394</v>
      </c>
      <c r="B1419" s="100">
        <v>538300.0</v>
      </c>
      <c r="C1419" s="25"/>
    </row>
    <row r="1420">
      <c r="A1420" s="25" t="s">
        <v>3397</v>
      </c>
      <c r="B1420" s="100">
        <v>86506.0</v>
      </c>
      <c r="C1420" s="25"/>
    </row>
    <row r="1421">
      <c r="A1421" s="25" t="s">
        <v>3398</v>
      </c>
      <c r="B1421" s="100">
        <v>160811.0</v>
      </c>
      <c r="C1421" s="25"/>
    </row>
    <row r="1422">
      <c r="A1422" s="25" t="s">
        <v>3399</v>
      </c>
      <c r="B1422" s="100">
        <v>137501.0</v>
      </c>
      <c r="C1422" s="25"/>
    </row>
    <row r="1423">
      <c r="A1423" s="25" t="s">
        <v>3402</v>
      </c>
      <c r="B1423" s="100">
        <v>247275.0</v>
      </c>
      <c r="C1423" s="25"/>
    </row>
    <row r="1424">
      <c r="A1424" s="25" t="s">
        <v>3403</v>
      </c>
      <c r="B1424" s="100">
        <v>135243.5</v>
      </c>
      <c r="C1424" s="25"/>
    </row>
    <row r="1425">
      <c r="A1425" s="25" t="s">
        <v>3405</v>
      </c>
      <c r="B1425" s="100">
        <v>270060.0</v>
      </c>
      <c r="C1425" s="25"/>
    </row>
    <row r="1426">
      <c r="A1426" s="25" t="s">
        <v>3407</v>
      </c>
      <c r="B1426" s="100">
        <v>29211.0</v>
      </c>
      <c r="C1426" s="25"/>
    </row>
    <row r="1427">
      <c r="A1427" s="25" t="s">
        <v>3408</v>
      </c>
      <c r="B1427" s="100">
        <v>16730.0</v>
      </c>
      <c r="C1427" s="25"/>
    </row>
    <row r="1428">
      <c r="A1428" s="25" t="s">
        <v>3409</v>
      </c>
      <c r="B1428" s="100">
        <v>239053.5</v>
      </c>
      <c r="C1428" s="25"/>
    </row>
    <row r="1429">
      <c r="A1429" s="25" t="s">
        <v>3412</v>
      </c>
      <c r="B1429" s="100">
        <v>93471.0</v>
      </c>
      <c r="C1429" s="25"/>
    </row>
    <row r="1430">
      <c r="A1430" s="25" t="s">
        <v>3413</v>
      </c>
      <c r="B1430" s="100">
        <v>6510.0</v>
      </c>
      <c r="C1430" s="25"/>
    </row>
    <row r="1431">
      <c r="A1431" s="25" t="s">
        <v>3414</v>
      </c>
      <c r="B1431" s="100">
        <v>23800.0</v>
      </c>
      <c r="C1431" s="25"/>
    </row>
    <row r="1432">
      <c r="A1432" s="25" t="s">
        <v>3416</v>
      </c>
      <c r="B1432" s="100">
        <v>78050.0</v>
      </c>
      <c r="C1432" s="25"/>
    </row>
    <row r="1433">
      <c r="A1433" s="25" t="s">
        <v>3419</v>
      </c>
      <c r="B1433" s="100">
        <v>0.0</v>
      </c>
      <c r="C1433" s="25"/>
    </row>
    <row r="1434">
      <c r="A1434" s="25" t="s">
        <v>3420</v>
      </c>
      <c r="B1434" s="100">
        <v>136871.0</v>
      </c>
      <c r="C1434" s="158">
        <f t="shared" ref="C1434:C1435" si="1">B1434*1460</f>
        <v>199831660</v>
      </c>
    </row>
    <row r="1435">
      <c r="A1435" s="25" t="s">
        <v>3429</v>
      </c>
      <c r="B1435" s="100">
        <v>317338.0</v>
      </c>
      <c r="C1435" s="158">
        <f t="shared" si="1"/>
        <v>463313480</v>
      </c>
    </row>
    <row r="1436">
      <c r="A1436" s="25" t="s">
        <v>3430</v>
      </c>
      <c r="B1436" s="100">
        <v>0.0</v>
      </c>
      <c r="C1436" s="25"/>
    </row>
    <row r="1437">
      <c r="A1437" s="25" t="s">
        <v>3431</v>
      </c>
      <c r="B1437" s="100">
        <v>14007.0</v>
      </c>
      <c r="C1437" s="25"/>
    </row>
    <row r="1438">
      <c r="A1438" s="25" t="s">
        <v>3433</v>
      </c>
      <c r="B1438" s="100">
        <v>507710.0</v>
      </c>
      <c r="C1438" s="158">
        <f t="shared" ref="C1438:C1446" si="2">B1438*1460</f>
        <v>741256600</v>
      </c>
    </row>
    <row r="1439">
      <c r="A1439" s="25" t="s">
        <v>3437</v>
      </c>
      <c r="B1439" s="100">
        <v>648550.0</v>
      </c>
      <c r="C1439" s="158">
        <f t="shared" si="2"/>
        <v>946883000</v>
      </c>
    </row>
    <row r="1440">
      <c r="A1440" s="25" t="s">
        <v>3438</v>
      </c>
      <c r="B1440" s="100">
        <v>130466.0</v>
      </c>
      <c r="C1440" s="158">
        <f t="shared" si="2"/>
        <v>190480360</v>
      </c>
    </row>
    <row r="1441">
      <c r="A1441" s="25" t="s">
        <v>3442</v>
      </c>
      <c r="B1441" s="100">
        <v>124110.0</v>
      </c>
      <c r="C1441" s="158">
        <f t="shared" si="2"/>
        <v>181200600</v>
      </c>
    </row>
    <row r="1442">
      <c r="A1442" s="25" t="s">
        <v>3443</v>
      </c>
      <c r="B1442" s="100">
        <v>60074.0</v>
      </c>
      <c r="C1442" s="158">
        <f t="shared" si="2"/>
        <v>87708040</v>
      </c>
    </row>
    <row r="1443">
      <c r="A1443" s="25" t="s">
        <v>3447</v>
      </c>
      <c r="B1443" s="100">
        <v>13611.5</v>
      </c>
      <c r="C1443" s="158">
        <f t="shared" si="2"/>
        <v>19872790</v>
      </c>
    </row>
    <row r="1444">
      <c r="A1444" s="25" t="s">
        <v>3449</v>
      </c>
      <c r="B1444" s="100">
        <v>55335.0</v>
      </c>
      <c r="C1444" s="158">
        <f t="shared" si="2"/>
        <v>80789100</v>
      </c>
    </row>
    <row r="1445">
      <c r="A1445" s="25" t="s">
        <v>3451</v>
      </c>
      <c r="B1445" s="100">
        <v>86520.0</v>
      </c>
      <c r="C1445" s="158">
        <f t="shared" si="2"/>
        <v>126319200</v>
      </c>
    </row>
    <row r="1446">
      <c r="A1446" s="25" t="s">
        <v>3454</v>
      </c>
      <c r="B1446" s="100">
        <v>22722.0</v>
      </c>
      <c r="C1446" s="158">
        <f t="shared" si="2"/>
        <v>33174120</v>
      </c>
    </row>
    <row r="1447">
      <c r="A1447" s="25" t="s">
        <v>3455</v>
      </c>
      <c r="B1447" s="100">
        <v>70630.0</v>
      </c>
      <c r="C1447" s="25"/>
    </row>
    <row r="1448">
      <c r="A1448" s="25" t="s">
        <v>3456</v>
      </c>
      <c r="B1448" s="100">
        <v>203944.0</v>
      </c>
      <c r="C1448" s="101">
        <v>224.337905</v>
      </c>
    </row>
    <row r="1449">
      <c r="A1449" s="25" t="s">
        <v>3457</v>
      </c>
      <c r="B1449" s="100">
        <v>40225.0</v>
      </c>
      <c r="C1449" s="101">
        <v>44.24728</v>
      </c>
    </row>
    <row r="1450">
      <c r="A1450" s="25" t="s">
        <v>3458</v>
      </c>
      <c r="B1450" s="100">
        <v>79779.0</v>
      </c>
      <c r="C1450" s="101">
        <v>87.756768</v>
      </c>
    </row>
    <row r="1451">
      <c r="A1451" s="25" t="s">
        <v>3459</v>
      </c>
      <c r="B1451" s="100">
        <v>74133.0</v>
      </c>
      <c r="C1451" s="101">
        <v>81.54641</v>
      </c>
    </row>
    <row r="1452">
      <c r="A1452" s="25" t="s">
        <v>3462</v>
      </c>
      <c r="B1452" s="100">
        <v>84564.0</v>
      </c>
      <c r="C1452" s="101">
        <v>93.02084</v>
      </c>
    </row>
    <row r="1453">
      <c r="A1453" s="25" t="s">
        <v>3464</v>
      </c>
      <c r="B1453" s="100">
        <v>102961.0</v>
      </c>
      <c r="C1453" s="101">
        <v>113.256627</v>
      </c>
    </row>
    <row r="1454">
      <c r="A1454" s="25" t="s">
        <v>3468</v>
      </c>
      <c r="B1454" s="100">
        <v>167233.0</v>
      </c>
      <c r="C1454" s="101">
        <v>178.93925357</v>
      </c>
    </row>
    <row r="1455">
      <c r="A1455" s="25" t="s">
        <v>3469</v>
      </c>
      <c r="B1455" s="100">
        <v>375373.0</v>
      </c>
      <c r="C1455" s="101">
        <v>401.64947913</v>
      </c>
    </row>
    <row r="1456">
      <c r="A1456" s="25" t="s">
        <v>3470</v>
      </c>
      <c r="B1456" s="100">
        <v>165310.0</v>
      </c>
      <c r="C1456" s="101">
        <v>176.8817381</v>
      </c>
    </row>
    <row r="1457">
      <c r="A1457" s="25" t="s">
        <v>3471</v>
      </c>
      <c r="B1457" s="100">
        <v>79752.0</v>
      </c>
      <c r="C1457" s="101">
        <v>85.33469254</v>
      </c>
    </row>
    <row r="1458">
      <c r="A1458" s="25" t="s">
        <v>3473</v>
      </c>
      <c r="B1458" s="100">
        <v>54657.0</v>
      </c>
      <c r="C1458" s="101">
        <v>58.48335911</v>
      </c>
    </row>
    <row r="1459">
      <c r="A1459" s="25" t="s">
        <v>3474</v>
      </c>
      <c r="B1459" s="100">
        <v>71693.0</v>
      </c>
      <c r="C1459" s="101">
        <v>76.71147755</v>
      </c>
    </row>
    <row r="1460">
      <c r="A1460" s="25" t="s">
        <v>3475</v>
      </c>
      <c r="B1460" s="100">
        <v>1376206.0</v>
      </c>
      <c r="C1460" s="101">
        <v>176.23805203</v>
      </c>
    </row>
    <row r="1461">
      <c r="A1461" s="25" t="s">
        <v>3477</v>
      </c>
      <c r="B1461" s="100">
        <v>3900263.0</v>
      </c>
      <c r="C1461" s="101">
        <v>460.05</v>
      </c>
    </row>
    <row r="1462">
      <c r="A1462" s="25" t="s">
        <v>3479</v>
      </c>
      <c r="B1462" s="100">
        <v>1132110.0</v>
      </c>
      <c r="C1462" s="101">
        <v>448.14</v>
      </c>
    </row>
    <row r="1463">
      <c r="A1463" s="25" t="s">
        <v>3480</v>
      </c>
      <c r="B1463" s="100">
        <v>1291688.0</v>
      </c>
      <c r="C1463" s="101">
        <v>460.0</v>
      </c>
    </row>
    <row r="1464">
      <c r="A1464" s="25" t="s">
        <v>3481</v>
      </c>
      <c r="B1464" s="100">
        <v>502043.0</v>
      </c>
      <c r="C1464" s="101">
        <v>630.0</v>
      </c>
    </row>
    <row r="1465">
      <c r="A1465" s="25" t="s">
        <v>3482</v>
      </c>
      <c r="B1465" s="100">
        <v>190001.0</v>
      </c>
      <c r="C1465" s="101">
        <v>190.0</v>
      </c>
    </row>
    <row r="1466">
      <c r="A1466" s="25" t="s">
        <v>3483</v>
      </c>
      <c r="B1466" s="100">
        <v>160902.0</v>
      </c>
      <c r="C1466" s="101">
        <v>149.0</v>
      </c>
    </row>
    <row r="1467">
      <c r="A1467" s="25" t="s">
        <v>3486</v>
      </c>
      <c r="B1467" s="100">
        <v>3659345.0</v>
      </c>
      <c r="C1467" s="101">
        <v>2287.31</v>
      </c>
    </row>
    <row r="1468">
      <c r="A1468" s="25" t="s">
        <v>3487</v>
      </c>
      <c r="B1468" s="100">
        <v>62693.0</v>
      </c>
      <c r="C1468" s="101">
        <v>62.06567642</v>
      </c>
    </row>
    <row r="1469">
      <c r="A1469" s="25" t="s">
        <v>3488</v>
      </c>
      <c r="B1469" s="100">
        <v>35714.0</v>
      </c>
      <c r="C1469" s="101">
        <v>32.0</v>
      </c>
    </row>
    <row r="1470">
      <c r="A1470" s="25" t="s">
        <v>3489</v>
      </c>
      <c r="B1470" s="100">
        <v>546875.0</v>
      </c>
      <c r="C1470" s="101">
        <v>490.0</v>
      </c>
    </row>
    <row r="1471">
      <c r="A1471" s="25" t="s">
        <v>3490</v>
      </c>
      <c r="B1471" s="100">
        <v>781250.0</v>
      </c>
      <c r="C1471" s="101">
        <v>7.0E-4</v>
      </c>
    </row>
    <row r="1472">
      <c r="A1472" s="25" t="s">
        <v>3492</v>
      </c>
      <c r="B1472" s="100">
        <v>153173.0</v>
      </c>
      <c r="C1472" s="101">
        <v>140.0</v>
      </c>
    </row>
    <row r="1473">
      <c r="A1473" s="25" t="s">
        <v>3494</v>
      </c>
      <c r="B1473" s="100">
        <v>511877.0</v>
      </c>
      <c r="C1473" s="101">
        <v>497.54442528</v>
      </c>
    </row>
    <row r="1474">
      <c r="A1474" s="25" t="s">
        <v>3495</v>
      </c>
      <c r="B1474" s="100">
        <v>2.8503563E7</v>
      </c>
      <c r="C1474" s="101">
        <v>30000.0</v>
      </c>
    </row>
    <row r="1475">
      <c r="A1475" s="25" t="s">
        <v>3496</v>
      </c>
      <c r="B1475" s="100">
        <v>1992894.3089430893</v>
      </c>
      <c r="C1475" s="101">
        <v>2451.26</v>
      </c>
    </row>
    <row r="1476">
      <c r="A1476" s="25" t="s">
        <v>3497</v>
      </c>
      <c r="B1476" s="100">
        <v>226887.2180451128</v>
      </c>
      <c r="C1476" s="101">
        <v>301.76</v>
      </c>
    </row>
    <row r="1477">
      <c r="A1477" s="25" t="s">
        <v>3498</v>
      </c>
      <c r="B1477" s="100">
        <v>978446.7826192171</v>
      </c>
      <c r="C1477" s="101">
        <v>1374.71772958</v>
      </c>
    </row>
    <row r="1478">
      <c r="A1478" s="25" t="s">
        <v>3501</v>
      </c>
      <c r="B1478" s="100">
        <v>1575158.5455642857</v>
      </c>
      <c r="C1478" s="101">
        <v>2205.22196379</v>
      </c>
    </row>
    <row r="1479">
      <c r="A1479" s="25" t="s">
        <v>3502</v>
      </c>
      <c r="B1479" s="100">
        <v>2025854.87</v>
      </c>
      <c r="C1479" s="101">
        <v>1844.0379750299999</v>
      </c>
    </row>
    <row r="1480">
      <c r="A1480" s="25" t="s">
        <v>3503</v>
      </c>
      <c r="B1480" s="100">
        <v>2468797.12</v>
      </c>
      <c r="C1480" s="101">
        <v>1814.84536246</v>
      </c>
    </row>
    <row r="1481">
      <c r="A1481" s="25" t="s">
        <v>3504</v>
      </c>
      <c r="B1481" s="100">
        <v>2410000.0</v>
      </c>
      <c r="C1481" s="101">
        <v>0.0035</v>
      </c>
    </row>
    <row r="1482">
      <c r="A1482" s="25" t="s">
        <v>3505</v>
      </c>
      <c r="B1482" s="100">
        <v>210.0</v>
      </c>
      <c r="C1482" s="101">
        <v>3.0E-4</v>
      </c>
    </row>
    <row r="1483">
      <c r="A1483" s="25" t="s">
        <v>3508</v>
      </c>
      <c r="B1483" s="100">
        <v>240.0</v>
      </c>
      <c r="C1483" s="101">
        <v>3.51E-4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1.0"/>
    <col customWidth="1" min="6" max="6" width="24.0"/>
    <col customWidth="1" min="8" max="8" width="207.88"/>
  </cols>
  <sheetData>
    <row r="1">
      <c r="A1" s="119" t="s">
        <v>1368</v>
      </c>
      <c r="B1" s="119" t="s">
        <v>1372</v>
      </c>
      <c r="C1" s="119" t="s">
        <v>1373</v>
      </c>
      <c r="D1" s="119" t="s">
        <v>6</v>
      </c>
      <c r="E1" s="119" t="s">
        <v>7</v>
      </c>
      <c r="F1" s="119" t="s">
        <v>1374</v>
      </c>
      <c r="G1" s="119" t="s">
        <v>1375</v>
      </c>
      <c r="H1" s="119" t="s">
        <v>1376</v>
      </c>
    </row>
    <row r="2">
      <c r="A2" s="120" t="s">
        <v>1377</v>
      </c>
      <c r="B2" s="120" t="s">
        <v>1379</v>
      </c>
      <c r="C2" s="120">
        <v>45572.0</v>
      </c>
      <c r="D2" s="120" t="s">
        <v>96</v>
      </c>
      <c r="E2" s="120" t="s">
        <v>633</v>
      </c>
      <c r="F2" s="120" t="s">
        <v>1382</v>
      </c>
      <c r="G2" s="120">
        <v>1.0</v>
      </c>
      <c r="H2" s="121"/>
    </row>
    <row r="3">
      <c r="A3" s="120" t="s">
        <v>1377</v>
      </c>
      <c r="B3" s="120" t="s">
        <v>1385</v>
      </c>
      <c r="C3" s="120">
        <v>45572.0</v>
      </c>
      <c r="D3" s="120" t="s">
        <v>39</v>
      </c>
      <c r="E3" s="120" t="s">
        <v>91</v>
      </c>
      <c r="F3" s="120" t="s">
        <v>1387</v>
      </c>
      <c r="G3" s="120">
        <v>1.0</v>
      </c>
      <c r="H3" s="120" t="s">
        <v>1389</v>
      </c>
    </row>
    <row r="4">
      <c r="A4" s="120" t="s">
        <v>1390</v>
      </c>
      <c r="B4" s="120" t="s">
        <v>1385</v>
      </c>
      <c r="C4" s="120">
        <v>45747.0</v>
      </c>
      <c r="D4" s="120" t="s">
        <v>107</v>
      </c>
      <c r="E4" s="120" t="s">
        <v>297</v>
      </c>
      <c r="F4" s="120" t="s">
        <v>1393</v>
      </c>
      <c r="G4" s="120">
        <v>2.0</v>
      </c>
      <c r="H4" s="120" t="s">
        <v>1394</v>
      </c>
    </row>
    <row r="5">
      <c r="A5" s="120" t="s">
        <v>1377</v>
      </c>
      <c r="B5" s="120" t="s">
        <v>1385</v>
      </c>
      <c r="C5" s="120">
        <v>45572.0</v>
      </c>
      <c r="D5" s="120" t="s">
        <v>90</v>
      </c>
      <c r="E5" s="120" t="s">
        <v>209</v>
      </c>
      <c r="F5" s="120" t="s">
        <v>1398</v>
      </c>
      <c r="G5" s="120">
        <v>2.0</v>
      </c>
      <c r="H5" s="120" t="s">
        <v>1400</v>
      </c>
    </row>
    <row r="6">
      <c r="A6" s="120" t="s">
        <v>1390</v>
      </c>
      <c r="B6" s="120" t="s">
        <v>1379</v>
      </c>
      <c r="C6" s="120">
        <v>45747.0</v>
      </c>
      <c r="D6" s="120" t="s">
        <v>31</v>
      </c>
      <c r="E6" s="120" t="s">
        <v>136</v>
      </c>
      <c r="F6" s="120" t="s">
        <v>1403</v>
      </c>
      <c r="G6" s="120">
        <v>1.0</v>
      </c>
      <c r="H6" s="120" t="s">
        <v>86</v>
      </c>
    </row>
    <row r="7">
      <c r="A7" s="120" t="s">
        <v>1390</v>
      </c>
      <c r="B7" s="120" t="s">
        <v>1379</v>
      </c>
      <c r="C7" s="120">
        <v>45747.0</v>
      </c>
      <c r="D7" s="120" t="s">
        <v>115</v>
      </c>
      <c r="E7" s="120" t="s">
        <v>672</v>
      </c>
      <c r="F7" s="120" t="s">
        <v>1406</v>
      </c>
      <c r="G7" s="120">
        <v>1.0</v>
      </c>
      <c r="H7" s="120" t="s">
        <v>86</v>
      </c>
    </row>
    <row r="8">
      <c r="A8" s="120" t="s">
        <v>1390</v>
      </c>
      <c r="B8" s="120" t="s">
        <v>1379</v>
      </c>
      <c r="C8" s="120">
        <v>45747.0</v>
      </c>
      <c r="D8" s="120" t="s">
        <v>52</v>
      </c>
      <c r="E8" s="120" t="s">
        <v>276</v>
      </c>
      <c r="F8" s="120" t="s">
        <v>1409</v>
      </c>
      <c r="G8" s="120">
        <v>1.0</v>
      </c>
      <c r="H8" s="120" t="s">
        <v>86</v>
      </c>
    </row>
    <row r="9">
      <c r="A9" s="120" t="s">
        <v>1377</v>
      </c>
      <c r="B9" s="120" t="s">
        <v>1379</v>
      </c>
      <c r="C9" s="120">
        <v>45585.0</v>
      </c>
      <c r="D9" s="120" t="s">
        <v>78</v>
      </c>
      <c r="E9" s="120" t="s">
        <v>341</v>
      </c>
      <c r="F9" s="120" t="s">
        <v>1414</v>
      </c>
      <c r="G9" s="120">
        <v>1.0</v>
      </c>
      <c r="H9" s="120" t="s">
        <v>1416</v>
      </c>
    </row>
    <row r="10">
      <c r="A10" s="120" t="s">
        <v>1377</v>
      </c>
      <c r="B10" s="120" t="s">
        <v>1385</v>
      </c>
      <c r="C10" s="120">
        <v>45566.0</v>
      </c>
      <c r="D10" s="120" t="s">
        <v>31</v>
      </c>
      <c r="E10" s="120" t="s">
        <v>366</v>
      </c>
      <c r="F10" s="120" t="s">
        <v>1419</v>
      </c>
      <c r="G10" s="120">
        <v>2.0</v>
      </c>
      <c r="H10" s="121"/>
    </row>
    <row r="11">
      <c r="A11" s="120" t="s">
        <v>1390</v>
      </c>
      <c r="B11" s="120" t="s">
        <v>1379</v>
      </c>
      <c r="C11" s="120">
        <v>45712.0</v>
      </c>
      <c r="D11" s="120" t="s">
        <v>107</v>
      </c>
      <c r="E11" s="120" t="s">
        <v>308</v>
      </c>
      <c r="F11" s="120" t="s">
        <v>1422</v>
      </c>
      <c r="G11" s="120">
        <v>2.0</v>
      </c>
      <c r="H11" s="120" t="s">
        <v>1424</v>
      </c>
    </row>
    <row r="12">
      <c r="A12" s="120" t="s">
        <v>1390</v>
      </c>
      <c r="B12" s="120" t="s">
        <v>1379</v>
      </c>
      <c r="C12" s="120">
        <v>45712.0</v>
      </c>
      <c r="D12" s="120" t="s">
        <v>39</v>
      </c>
      <c r="E12" s="120" t="s">
        <v>73</v>
      </c>
      <c r="F12" s="120" t="s">
        <v>1428</v>
      </c>
      <c r="G12" s="120">
        <v>2.0</v>
      </c>
      <c r="H12" s="120" t="s">
        <v>1430</v>
      </c>
    </row>
    <row r="13">
      <c r="A13" s="120" t="s">
        <v>1377</v>
      </c>
      <c r="B13" s="120" t="s">
        <v>1385</v>
      </c>
      <c r="C13" s="120">
        <v>45566.0</v>
      </c>
      <c r="D13" s="120" t="s">
        <v>31</v>
      </c>
      <c r="E13" s="120" t="s">
        <v>366</v>
      </c>
      <c r="F13" s="120" t="s">
        <v>1432</v>
      </c>
      <c r="G13" s="120">
        <v>2.0</v>
      </c>
      <c r="H13" s="121"/>
    </row>
    <row r="14">
      <c r="A14" s="120" t="s">
        <v>1390</v>
      </c>
      <c r="B14" s="120" t="s">
        <v>1385</v>
      </c>
      <c r="C14" s="120">
        <v>45566.0</v>
      </c>
      <c r="D14" s="120" t="s">
        <v>52</v>
      </c>
      <c r="E14" s="120" t="s">
        <v>257</v>
      </c>
      <c r="F14" s="120" t="s">
        <v>1436</v>
      </c>
      <c r="G14" s="120">
        <v>2.0</v>
      </c>
      <c r="H14" s="121"/>
    </row>
    <row r="15">
      <c r="A15" s="120" t="s">
        <v>1390</v>
      </c>
      <c r="B15" s="120" t="s">
        <v>1385</v>
      </c>
      <c r="C15" s="120">
        <v>45566.0</v>
      </c>
      <c r="D15" s="120" t="s">
        <v>52</v>
      </c>
      <c r="E15" s="120" t="s">
        <v>266</v>
      </c>
      <c r="F15" s="120" t="s">
        <v>1439</v>
      </c>
      <c r="G15" s="120">
        <v>2.0</v>
      </c>
      <c r="H15" s="121"/>
    </row>
    <row r="16">
      <c r="A16" s="120" t="s">
        <v>1390</v>
      </c>
      <c r="B16" s="120" t="s">
        <v>1385</v>
      </c>
      <c r="C16" s="120">
        <v>45566.0</v>
      </c>
      <c r="D16" s="120" t="s">
        <v>107</v>
      </c>
      <c r="E16" s="120" t="s">
        <v>310</v>
      </c>
      <c r="F16" s="120" t="s">
        <v>1442</v>
      </c>
      <c r="G16" s="120">
        <v>2.0</v>
      </c>
      <c r="H16" s="121"/>
    </row>
    <row r="17">
      <c r="A17" s="120" t="s">
        <v>1368</v>
      </c>
      <c r="B17" s="120" t="s">
        <v>1372</v>
      </c>
      <c r="C17" s="120" t="s">
        <v>1373</v>
      </c>
      <c r="D17" s="120" t="s">
        <v>6</v>
      </c>
      <c r="E17" s="120" t="s">
        <v>7</v>
      </c>
      <c r="F17" s="120" t="s">
        <v>1374</v>
      </c>
      <c r="G17" s="120" t="s">
        <v>1375</v>
      </c>
      <c r="H17" s="120" t="s">
        <v>1376</v>
      </c>
    </row>
    <row r="18">
      <c r="A18" s="120" t="s">
        <v>1390</v>
      </c>
      <c r="B18" s="120" t="s">
        <v>1379</v>
      </c>
      <c r="C18" s="120">
        <v>45499.0</v>
      </c>
      <c r="D18" s="120" t="s">
        <v>101</v>
      </c>
      <c r="E18" s="120" t="s">
        <v>1448</v>
      </c>
      <c r="F18" s="120" t="s">
        <v>1450</v>
      </c>
      <c r="G18" s="120">
        <v>2.0</v>
      </c>
      <c r="H18" s="120" t="s">
        <v>1451</v>
      </c>
    </row>
    <row r="19">
      <c r="A19" s="120" t="s">
        <v>1390</v>
      </c>
      <c r="B19" s="120" t="s">
        <v>1379</v>
      </c>
      <c r="C19" s="120">
        <v>45566.0</v>
      </c>
      <c r="D19" s="120" t="s">
        <v>52</v>
      </c>
      <c r="E19" s="120" t="s">
        <v>276</v>
      </c>
      <c r="F19" s="120" t="s">
        <v>1455</v>
      </c>
      <c r="G19" s="120">
        <v>2.0</v>
      </c>
      <c r="H19" s="120" t="s">
        <v>1458</v>
      </c>
    </row>
    <row r="20">
      <c r="A20" s="120" t="s">
        <v>1390</v>
      </c>
      <c r="B20" s="120" t="s">
        <v>1379</v>
      </c>
      <c r="C20" s="120">
        <v>45536.0</v>
      </c>
      <c r="D20" s="120" t="s">
        <v>52</v>
      </c>
      <c r="E20" s="120" t="s">
        <v>257</v>
      </c>
      <c r="F20" s="120" t="s">
        <v>1460</v>
      </c>
      <c r="G20" s="120">
        <v>2.0</v>
      </c>
      <c r="H20" s="120" t="s">
        <v>1462</v>
      </c>
    </row>
    <row r="21">
      <c r="A21" s="120" t="s">
        <v>1390</v>
      </c>
      <c r="B21" s="120" t="s">
        <v>1379</v>
      </c>
      <c r="C21" s="120">
        <v>45680.0</v>
      </c>
      <c r="D21" s="120" t="s">
        <v>96</v>
      </c>
      <c r="E21" s="120" t="s">
        <v>352</v>
      </c>
      <c r="F21" s="120" t="s">
        <v>1465</v>
      </c>
      <c r="G21" s="120">
        <v>1.0</v>
      </c>
      <c r="H21" s="120" t="s">
        <v>1467</v>
      </c>
    </row>
    <row r="22">
      <c r="A22" s="120" t="s">
        <v>1390</v>
      </c>
      <c r="B22" s="120" t="s">
        <v>1385</v>
      </c>
      <c r="C22" s="120">
        <v>45636.0</v>
      </c>
      <c r="D22" s="120" t="s">
        <v>72</v>
      </c>
      <c r="E22" s="120" t="s">
        <v>320</v>
      </c>
      <c r="F22" s="120" t="s">
        <v>887</v>
      </c>
      <c r="G22" s="120">
        <v>2.0</v>
      </c>
      <c r="H22" s="121"/>
    </row>
    <row r="23">
      <c r="A23" s="120" t="s">
        <v>1377</v>
      </c>
      <c r="B23" s="120" t="s">
        <v>1385</v>
      </c>
      <c r="C23" s="120">
        <v>45622.0</v>
      </c>
      <c r="D23" s="120" t="s">
        <v>31</v>
      </c>
      <c r="E23" s="120" t="s">
        <v>386</v>
      </c>
      <c r="F23" s="120" t="s">
        <v>1473</v>
      </c>
      <c r="G23" s="120">
        <v>2.0</v>
      </c>
      <c r="H23" s="120" t="s">
        <v>1474</v>
      </c>
    </row>
    <row r="24">
      <c r="A24" s="120" t="s">
        <v>1390</v>
      </c>
      <c r="B24" s="120" t="s">
        <v>1477</v>
      </c>
      <c r="C24" s="120">
        <v>45689.0</v>
      </c>
      <c r="D24" s="120" t="s">
        <v>61</v>
      </c>
      <c r="E24" s="120" t="s">
        <v>387</v>
      </c>
      <c r="F24" s="120" t="s">
        <v>1479</v>
      </c>
      <c r="G24" s="120">
        <v>2.0</v>
      </c>
      <c r="H24" s="120" t="s">
        <v>1481</v>
      </c>
    </row>
    <row r="25">
      <c r="A25" s="120" t="s">
        <v>1390</v>
      </c>
      <c r="B25" s="120" t="s">
        <v>1477</v>
      </c>
      <c r="C25" s="120">
        <v>45689.0</v>
      </c>
      <c r="D25" s="120" t="s">
        <v>39</v>
      </c>
      <c r="E25" s="120" t="s">
        <v>636</v>
      </c>
      <c r="F25" s="120" t="s">
        <v>1479</v>
      </c>
      <c r="G25" s="120">
        <v>2.0</v>
      </c>
      <c r="H25" s="120" t="s">
        <v>1481</v>
      </c>
    </row>
    <row r="26">
      <c r="A26" s="120" t="s">
        <v>1390</v>
      </c>
      <c r="B26" s="120" t="s">
        <v>1477</v>
      </c>
      <c r="C26" s="120">
        <v>45689.0</v>
      </c>
      <c r="D26" s="120" t="s">
        <v>39</v>
      </c>
      <c r="E26" s="120" t="s">
        <v>134</v>
      </c>
      <c r="F26" s="120" t="s">
        <v>1479</v>
      </c>
      <c r="G26" s="120">
        <v>2.0</v>
      </c>
      <c r="H26" s="120" t="s">
        <v>1481</v>
      </c>
    </row>
    <row r="27">
      <c r="A27" s="120" t="s">
        <v>1390</v>
      </c>
      <c r="B27" s="120" t="s">
        <v>1477</v>
      </c>
      <c r="C27" s="120">
        <v>45690.0</v>
      </c>
      <c r="D27" s="120" t="s">
        <v>39</v>
      </c>
      <c r="E27" s="120" t="s">
        <v>53</v>
      </c>
      <c r="F27" s="120" t="s">
        <v>1479</v>
      </c>
      <c r="G27" s="120">
        <v>2.0</v>
      </c>
      <c r="H27" s="120" t="s">
        <v>1481</v>
      </c>
    </row>
    <row r="28">
      <c r="A28" s="120" t="s">
        <v>1390</v>
      </c>
      <c r="B28" s="120" t="s">
        <v>1477</v>
      </c>
      <c r="C28" s="120">
        <v>45692.0</v>
      </c>
      <c r="D28" s="120" t="s">
        <v>96</v>
      </c>
      <c r="E28" s="120" t="s">
        <v>361</v>
      </c>
      <c r="F28" s="120" t="s">
        <v>1479</v>
      </c>
      <c r="G28" s="120">
        <v>2.0</v>
      </c>
      <c r="H28" s="120" t="s">
        <v>1481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93.5"/>
  </cols>
  <sheetData>
    <row r="1">
      <c r="A1" s="122" t="s">
        <v>20</v>
      </c>
      <c r="B1" s="123" t="s">
        <v>1515</v>
      </c>
      <c r="C1" s="123" t="s">
        <v>1518</v>
      </c>
      <c r="D1" s="123" t="s">
        <v>1522</v>
      </c>
      <c r="E1" s="123" t="s">
        <v>1524</v>
      </c>
      <c r="F1" s="123" t="s">
        <v>1525</v>
      </c>
      <c r="G1" s="123" t="s">
        <v>1527</v>
      </c>
      <c r="H1" s="123" t="s">
        <v>1529</v>
      </c>
      <c r="I1" s="123" t="s">
        <v>29</v>
      </c>
      <c r="J1" s="123" t="s">
        <v>28</v>
      </c>
      <c r="K1" s="123" t="s">
        <v>1530</v>
      </c>
      <c r="L1" s="123" t="s">
        <v>1532</v>
      </c>
      <c r="M1" s="123" t="s">
        <v>1534</v>
      </c>
      <c r="N1" s="123" t="s">
        <v>1535</v>
      </c>
      <c r="O1" s="123" t="s">
        <v>1542</v>
      </c>
      <c r="P1" s="123" t="s">
        <v>1544</v>
      </c>
      <c r="Q1" s="123" t="s">
        <v>1546</v>
      </c>
      <c r="R1" s="123" t="s">
        <v>1547</v>
      </c>
      <c r="S1" s="123" t="s">
        <v>1549</v>
      </c>
      <c r="T1" s="123" t="s">
        <v>1550</v>
      </c>
      <c r="U1" s="123" t="s">
        <v>815</v>
      </c>
      <c r="V1" s="124" t="s">
        <v>19</v>
      </c>
      <c r="W1" s="123" t="s">
        <v>1556</v>
      </c>
      <c r="X1" s="123" t="s">
        <v>1557</v>
      </c>
      <c r="Y1" s="123" t="s">
        <v>1559</v>
      </c>
      <c r="Z1" s="123" t="s">
        <v>1560</v>
      </c>
      <c r="AA1" s="123" t="s">
        <v>1563</v>
      </c>
      <c r="AB1" s="123" t="s">
        <v>1565</v>
      </c>
      <c r="AC1" s="123" t="s">
        <v>1566</v>
      </c>
      <c r="AD1" s="125"/>
      <c r="AE1" s="125"/>
    </row>
    <row r="2">
      <c r="A2" s="126">
        <v>412.0</v>
      </c>
      <c r="B2" s="127" t="s">
        <v>1574</v>
      </c>
      <c r="C2" s="127" t="s">
        <v>49</v>
      </c>
      <c r="D2" s="127" t="s">
        <v>1578</v>
      </c>
      <c r="E2" s="127" t="s">
        <v>1579</v>
      </c>
      <c r="F2" s="127" t="s">
        <v>1581</v>
      </c>
      <c r="G2" s="127" t="s">
        <v>1584</v>
      </c>
      <c r="H2" s="127" t="s">
        <v>81</v>
      </c>
      <c r="I2" s="127" t="s">
        <v>1587</v>
      </c>
      <c r="J2" s="127" t="s">
        <v>150</v>
      </c>
      <c r="K2" s="128">
        <v>0.996</v>
      </c>
      <c r="L2" s="129">
        <v>45398.0</v>
      </c>
      <c r="M2" s="129">
        <v>45253.0</v>
      </c>
      <c r="N2" s="129">
        <v>45818.0</v>
      </c>
      <c r="O2" s="128">
        <v>420.0</v>
      </c>
      <c r="P2" s="127">
        <v>120.0</v>
      </c>
      <c r="Q2" s="128">
        <v>1.0613616E9</v>
      </c>
      <c r="R2" s="128">
        <v>2.247664831E8</v>
      </c>
      <c r="S2" s="128">
        <v>1.698290682E9</v>
      </c>
      <c r="T2" s="130">
        <v>2.98441876475E9</v>
      </c>
      <c r="U2" s="130">
        <v>3452692.84</v>
      </c>
      <c r="V2" s="131" t="s">
        <v>294</v>
      </c>
      <c r="W2" s="128">
        <v>2.0</v>
      </c>
      <c r="X2" s="127" t="s">
        <v>1600</v>
      </c>
      <c r="Y2" s="127" t="s">
        <v>1601</v>
      </c>
      <c r="Z2" s="127" t="s">
        <v>150</v>
      </c>
      <c r="AA2" s="127">
        <v>20.0</v>
      </c>
      <c r="AB2" s="127" t="s">
        <v>1602</v>
      </c>
      <c r="AC2" s="127" t="s">
        <v>1603</v>
      </c>
      <c r="AD2" s="127"/>
      <c r="AE2" s="127"/>
    </row>
    <row r="3">
      <c r="A3" s="132">
        <v>5973.0</v>
      </c>
      <c r="B3" s="133" t="s">
        <v>1606</v>
      </c>
      <c r="C3" s="133" t="s">
        <v>49</v>
      </c>
      <c r="D3" s="133" t="s">
        <v>1608</v>
      </c>
      <c r="E3" s="133" t="s">
        <v>1610</v>
      </c>
      <c r="F3" s="133" t="s">
        <v>1581</v>
      </c>
      <c r="G3" s="133" t="s">
        <v>1611</v>
      </c>
      <c r="H3" s="133" t="s">
        <v>81</v>
      </c>
      <c r="I3" s="133" t="s">
        <v>1613</v>
      </c>
      <c r="J3" s="133" t="s">
        <v>120</v>
      </c>
      <c r="K3" s="134">
        <v>0.851</v>
      </c>
      <c r="L3" s="135">
        <v>45343.0</v>
      </c>
      <c r="M3" s="135">
        <v>45225.0</v>
      </c>
      <c r="N3" s="135">
        <v>45888.0</v>
      </c>
      <c r="O3" s="134">
        <v>545.0</v>
      </c>
      <c r="P3" s="133">
        <v>365.0</v>
      </c>
      <c r="Q3" s="134">
        <v>3.5989583E9</v>
      </c>
      <c r="R3" s="134">
        <v>1.064813712E9</v>
      </c>
      <c r="S3" s="134">
        <v>8.343708427E9</v>
      </c>
      <c r="T3" s="136">
        <v>1.300748043898E10</v>
      </c>
      <c r="U3" s="136">
        <v>1.275997815E7</v>
      </c>
      <c r="V3" s="137" t="s">
        <v>294</v>
      </c>
      <c r="W3" s="134">
        <v>2.0</v>
      </c>
      <c r="X3" s="133" t="s">
        <v>1600</v>
      </c>
      <c r="Y3" s="133" t="s">
        <v>1601</v>
      </c>
      <c r="Z3" s="133" t="s">
        <v>120</v>
      </c>
      <c r="AA3" s="133">
        <v>26.0</v>
      </c>
      <c r="AB3" s="133" t="s">
        <v>1602</v>
      </c>
      <c r="AC3" s="133" t="s">
        <v>1603</v>
      </c>
      <c r="AD3" s="133"/>
      <c r="AE3" s="133"/>
    </row>
    <row r="4">
      <c r="A4" s="138">
        <v>5858.0</v>
      </c>
      <c r="B4" s="127" t="s">
        <v>1631</v>
      </c>
      <c r="C4" s="127" t="s">
        <v>49</v>
      </c>
      <c r="D4" s="127" t="s">
        <v>1633</v>
      </c>
      <c r="E4" s="127" t="s">
        <v>1610</v>
      </c>
      <c r="F4" s="127" t="s">
        <v>1581</v>
      </c>
      <c r="G4" s="127" t="s">
        <v>1636</v>
      </c>
      <c r="H4" s="127" t="s">
        <v>81</v>
      </c>
      <c r="I4" s="127" t="s">
        <v>1638</v>
      </c>
      <c r="J4" s="127" t="s">
        <v>408</v>
      </c>
      <c r="K4" s="128">
        <v>0.789</v>
      </c>
      <c r="L4" s="129">
        <v>45397.0</v>
      </c>
      <c r="M4" s="129">
        <v>45229.0</v>
      </c>
      <c r="N4" s="129">
        <v>45852.0</v>
      </c>
      <c r="O4" s="128">
        <v>455.0</v>
      </c>
      <c r="P4" s="127">
        <v>365.0</v>
      </c>
      <c r="Q4" s="128">
        <v>6.1597087E9</v>
      </c>
      <c r="R4" s="128">
        <v>0.0</v>
      </c>
      <c r="S4" s="128">
        <v>1.0223230854E10</v>
      </c>
      <c r="T4" s="130">
        <v>1.638293955371E10</v>
      </c>
      <c r="U4" s="130">
        <v>1.685282818E7</v>
      </c>
      <c r="V4" s="131" t="s">
        <v>294</v>
      </c>
      <c r="W4" s="128">
        <v>2.0</v>
      </c>
      <c r="X4" s="127" t="s">
        <v>1600</v>
      </c>
      <c r="Y4" s="127" t="s">
        <v>1601</v>
      </c>
      <c r="Z4" s="127" t="s">
        <v>408</v>
      </c>
      <c r="AA4" s="127">
        <v>15.0</v>
      </c>
      <c r="AB4" s="127" t="s">
        <v>1602</v>
      </c>
      <c r="AC4" s="127" t="s">
        <v>1603</v>
      </c>
      <c r="AD4" s="127"/>
      <c r="AE4" s="127"/>
    </row>
    <row r="5">
      <c r="A5" s="132">
        <v>5793.0</v>
      </c>
      <c r="B5" s="133" t="s">
        <v>1650</v>
      </c>
      <c r="C5" s="133" t="s">
        <v>49</v>
      </c>
      <c r="D5" s="133" t="s">
        <v>1653</v>
      </c>
      <c r="E5" s="133" t="s">
        <v>1610</v>
      </c>
      <c r="F5" s="133" t="s">
        <v>1581</v>
      </c>
      <c r="G5" s="133" t="s">
        <v>1611</v>
      </c>
      <c r="H5" s="133" t="s">
        <v>81</v>
      </c>
      <c r="I5" s="133" t="s">
        <v>209</v>
      </c>
      <c r="J5" s="133" t="s">
        <v>90</v>
      </c>
      <c r="K5" s="134">
        <v>0.996</v>
      </c>
      <c r="L5" s="135">
        <v>45153.0</v>
      </c>
      <c r="M5" s="135">
        <v>44992.0</v>
      </c>
      <c r="N5" s="135">
        <v>45813.0</v>
      </c>
      <c r="O5" s="134">
        <v>660.0</v>
      </c>
      <c r="P5" s="133">
        <v>540.0</v>
      </c>
      <c r="Q5" s="134">
        <v>3.2501164E9</v>
      </c>
      <c r="R5" s="134">
        <v>9.717845398E8</v>
      </c>
      <c r="S5" s="134">
        <v>1.4192499892E10</v>
      </c>
      <c r="T5" s="136">
        <v>1.841440083187E10</v>
      </c>
      <c r="U5" s="136">
        <v>2.046982274E7</v>
      </c>
      <c r="V5" s="137" t="s">
        <v>294</v>
      </c>
      <c r="W5" s="134">
        <v>2.0</v>
      </c>
      <c r="X5" s="133" t="s">
        <v>147</v>
      </c>
      <c r="Y5" s="133" t="s">
        <v>1601</v>
      </c>
      <c r="Z5" s="133" t="s">
        <v>90</v>
      </c>
      <c r="AA5" s="133">
        <v>11.0</v>
      </c>
      <c r="AB5" s="133" t="s">
        <v>1565</v>
      </c>
      <c r="AC5" s="133" t="s">
        <v>1603</v>
      </c>
      <c r="AD5" s="133"/>
      <c r="AE5" s="133"/>
    </row>
    <row r="6">
      <c r="A6" s="138">
        <v>5961.0</v>
      </c>
      <c r="B6" s="127" t="s">
        <v>1665</v>
      </c>
      <c r="C6" s="127" t="s">
        <v>49</v>
      </c>
      <c r="D6" s="127" t="s">
        <v>1666</v>
      </c>
      <c r="E6" s="127" t="s">
        <v>1610</v>
      </c>
      <c r="F6" s="127" t="s">
        <v>1581</v>
      </c>
      <c r="G6" s="127" t="s">
        <v>1669</v>
      </c>
      <c r="H6" s="127" t="s">
        <v>81</v>
      </c>
      <c r="I6" s="127" t="s">
        <v>1670</v>
      </c>
      <c r="J6" s="127" t="s">
        <v>107</v>
      </c>
      <c r="K6" s="128">
        <v>0.938</v>
      </c>
      <c r="L6" s="129">
        <v>45331.0</v>
      </c>
      <c r="M6" s="129">
        <v>45232.0</v>
      </c>
      <c r="N6" s="129">
        <v>45876.0</v>
      </c>
      <c r="O6" s="128">
        <v>545.0</v>
      </c>
      <c r="P6" s="127">
        <v>365.0</v>
      </c>
      <c r="Q6" s="128">
        <v>4.169279E9</v>
      </c>
      <c r="R6" s="128">
        <v>1.062924822E9</v>
      </c>
      <c r="S6" s="128">
        <v>6.951300932E9</v>
      </c>
      <c r="T6" s="130">
        <v>1.218350475361E10</v>
      </c>
      <c r="U6" s="130">
        <v>1.431519513E7</v>
      </c>
      <c r="V6" s="131" t="s">
        <v>294</v>
      </c>
      <c r="W6" s="128">
        <v>2.0</v>
      </c>
      <c r="X6" s="127" t="s">
        <v>147</v>
      </c>
      <c r="Y6" s="127" t="s">
        <v>1601</v>
      </c>
      <c r="Z6" s="127" t="s">
        <v>107</v>
      </c>
      <c r="AA6" s="127">
        <v>19.0</v>
      </c>
      <c r="AB6" s="127" t="s">
        <v>1565</v>
      </c>
      <c r="AC6" s="127" t="s">
        <v>1603</v>
      </c>
      <c r="AD6" s="127"/>
      <c r="AE6" s="127"/>
    </row>
    <row r="7">
      <c r="A7" s="132">
        <v>2913.0</v>
      </c>
      <c r="B7" s="133" t="s">
        <v>1688</v>
      </c>
      <c r="C7" s="133" t="s">
        <v>49</v>
      </c>
      <c r="D7" s="133" t="s">
        <v>1690</v>
      </c>
      <c r="E7" s="133" t="s">
        <v>1610</v>
      </c>
      <c r="F7" s="133" t="s">
        <v>1581</v>
      </c>
      <c r="G7" s="133" t="s">
        <v>1636</v>
      </c>
      <c r="H7" s="133" t="s">
        <v>81</v>
      </c>
      <c r="I7" s="133" t="s">
        <v>1695</v>
      </c>
      <c r="J7" s="133" t="s">
        <v>161</v>
      </c>
      <c r="K7" s="134">
        <v>0.856</v>
      </c>
      <c r="L7" s="135">
        <v>45426.0</v>
      </c>
      <c r="M7" s="135">
        <v>45257.0</v>
      </c>
      <c r="N7" s="135">
        <v>45881.0</v>
      </c>
      <c r="O7" s="134">
        <v>455.0</v>
      </c>
      <c r="P7" s="133">
        <v>365.0</v>
      </c>
      <c r="Q7" s="134">
        <v>3.9974508E9</v>
      </c>
      <c r="R7" s="134">
        <v>1.346053718E9</v>
      </c>
      <c r="S7" s="134">
        <v>7.264289731E9</v>
      </c>
      <c r="T7" s="136">
        <v>1.260779424931E10</v>
      </c>
      <c r="U7" s="136">
        <v>1.426836987E7</v>
      </c>
      <c r="V7" s="137" t="s">
        <v>294</v>
      </c>
      <c r="W7" s="134">
        <v>2.0</v>
      </c>
      <c r="X7" s="133" t="s">
        <v>1600</v>
      </c>
      <c r="Y7" s="133" t="s">
        <v>1601</v>
      </c>
      <c r="Z7" s="133" t="s">
        <v>161</v>
      </c>
      <c r="AA7" s="133">
        <v>23.0</v>
      </c>
      <c r="AB7" s="133" t="s">
        <v>1602</v>
      </c>
      <c r="AC7" s="133" t="s">
        <v>1603</v>
      </c>
      <c r="AD7" s="133"/>
      <c r="AE7" s="133"/>
    </row>
    <row r="8">
      <c r="A8" s="138">
        <v>6357.0</v>
      </c>
      <c r="B8" s="127" t="s">
        <v>1707</v>
      </c>
      <c r="C8" s="127" t="s">
        <v>49</v>
      </c>
      <c r="D8" s="127" t="s">
        <v>1711</v>
      </c>
      <c r="E8" s="127" t="s">
        <v>1610</v>
      </c>
      <c r="F8" s="127" t="s">
        <v>1581</v>
      </c>
      <c r="G8" s="127" t="s">
        <v>1669</v>
      </c>
      <c r="H8" s="127" t="s">
        <v>81</v>
      </c>
      <c r="I8" s="127" t="s">
        <v>443</v>
      </c>
      <c r="J8" s="127" t="s">
        <v>122</v>
      </c>
      <c r="K8" s="128">
        <v>0.568</v>
      </c>
      <c r="L8" s="129">
        <v>45538.0</v>
      </c>
      <c r="M8" s="129">
        <v>45260.0</v>
      </c>
      <c r="N8" s="129">
        <v>45928.0</v>
      </c>
      <c r="O8" s="128">
        <v>390.0</v>
      </c>
      <c r="P8" s="127">
        <v>300.0</v>
      </c>
      <c r="Q8" s="128">
        <v>1.735329E9</v>
      </c>
      <c r="R8" s="128">
        <v>4.321776509E8</v>
      </c>
      <c r="S8" s="128">
        <v>2.78114442E9</v>
      </c>
      <c r="T8" s="130">
        <v>4.94865107054E9</v>
      </c>
      <c r="U8" s="130">
        <v>5764645.35</v>
      </c>
      <c r="V8" s="131" t="s">
        <v>294</v>
      </c>
      <c r="W8" s="128">
        <v>2.0</v>
      </c>
      <c r="X8" s="127" t="s">
        <v>122</v>
      </c>
      <c r="Y8" s="127" t="s">
        <v>1601</v>
      </c>
      <c r="Z8" s="127" t="s">
        <v>122</v>
      </c>
      <c r="AA8" s="127">
        <v>27.0</v>
      </c>
      <c r="AB8" s="127" t="s">
        <v>1602</v>
      </c>
      <c r="AC8" s="127" t="s">
        <v>1603</v>
      </c>
      <c r="AD8" s="127"/>
      <c r="AE8" s="127"/>
    </row>
    <row r="9">
      <c r="A9" s="132">
        <v>4690.0</v>
      </c>
      <c r="B9" s="133" t="s">
        <v>1728</v>
      </c>
      <c r="C9" s="133" t="s">
        <v>49</v>
      </c>
      <c r="D9" s="133" t="s">
        <v>1730</v>
      </c>
      <c r="E9" s="133" t="s">
        <v>1732</v>
      </c>
      <c r="F9" s="133" t="s">
        <v>1581</v>
      </c>
      <c r="G9" s="133" t="s">
        <v>1735</v>
      </c>
      <c r="H9" s="133" t="s">
        <v>86</v>
      </c>
      <c r="I9" s="133" t="s">
        <v>432</v>
      </c>
      <c r="J9" s="133" t="s">
        <v>1702</v>
      </c>
      <c r="K9" s="134">
        <v>1.0</v>
      </c>
      <c r="L9" s="135">
        <v>45092.0</v>
      </c>
      <c r="M9" s="135">
        <v>44973.0</v>
      </c>
      <c r="N9" s="135">
        <v>45782.0</v>
      </c>
      <c r="O9" s="134">
        <v>690.0</v>
      </c>
      <c r="P9" s="133">
        <v>180.0</v>
      </c>
      <c r="Q9" s="134">
        <v>6.859612E8</v>
      </c>
      <c r="R9" s="134">
        <v>1.370380952E8</v>
      </c>
      <c r="S9" s="134">
        <v>9.53300896E8</v>
      </c>
      <c r="T9" s="136">
        <v>1.77630019118E9</v>
      </c>
      <c r="U9" s="136">
        <v>4146092.17</v>
      </c>
      <c r="V9" s="137" t="s">
        <v>294</v>
      </c>
      <c r="W9" s="134">
        <v>1.0</v>
      </c>
      <c r="X9" s="133" t="s">
        <v>1600</v>
      </c>
      <c r="Y9" s="133" t="s">
        <v>1601</v>
      </c>
      <c r="Z9" s="133" t="s">
        <v>1702</v>
      </c>
      <c r="AA9" s="133">
        <v>21.0</v>
      </c>
      <c r="AB9" s="133" t="s">
        <v>1602</v>
      </c>
      <c r="AC9" s="133" t="s">
        <v>86</v>
      </c>
      <c r="AD9" s="133"/>
      <c r="AE9" s="133"/>
    </row>
    <row r="10">
      <c r="A10" s="138">
        <v>5968.0</v>
      </c>
      <c r="B10" s="127" t="s">
        <v>1750</v>
      </c>
      <c r="C10" s="127" t="s">
        <v>49</v>
      </c>
      <c r="D10" s="127" t="s">
        <v>1755</v>
      </c>
      <c r="E10" s="127" t="s">
        <v>1756</v>
      </c>
      <c r="F10" s="127" t="s">
        <v>1581</v>
      </c>
      <c r="G10" s="127" t="s">
        <v>1636</v>
      </c>
      <c r="H10" s="127" t="s">
        <v>86</v>
      </c>
      <c r="I10" s="127" t="s">
        <v>188</v>
      </c>
      <c r="J10" s="127" t="s">
        <v>1674</v>
      </c>
      <c r="K10" s="128">
        <v>1.0</v>
      </c>
      <c r="L10" s="129">
        <v>45272.0</v>
      </c>
      <c r="M10" s="129">
        <v>45041.0</v>
      </c>
      <c r="N10" s="129">
        <v>45847.0</v>
      </c>
      <c r="O10" s="128">
        <v>575.0</v>
      </c>
      <c r="P10" s="127">
        <v>365.0</v>
      </c>
      <c r="Q10" s="128">
        <v>6.848857E8</v>
      </c>
      <c r="R10" s="128">
        <v>1.938932152E8</v>
      </c>
      <c r="S10" s="128">
        <v>1.460232476E9</v>
      </c>
      <c r="T10" s="130">
        <v>2.33901139155E9</v>
      </c>
      <c r="U10" s="130">
        <v>3879818.61</v>
      </c>
      <c r="V10" s="131" t="s">
        <v>294</v>
      </c>
      <c r="W10" s="128">
        <v>1.0</v>
      </c>
      <c r="X10" s="127" t="s">
        <v>1600</v>
      </c>
      <c r="Y10" s="127" t="s">
        <v>1601</v>
      </c>
      <c r="Z10" s="127" t="s">
        <v>1674</v>
      </c>
      <c r="AA10" s="127">
        <v>26.0</v>
      </c>
      <c r="AB10" s="127" t="s">
        <v>1602</v>
      </c>
      <c r="AC10" s="127" t="s">
        <v>86</v>
      </c>
      <c r="AD10" s="127"/>
      <c r="AE10" s="127"/>
    </row>
    <row r="11">
      <c r="A11" s="132">
        <v>5864.0</v>
      </c>
      <c r="B11" s="133" t="s">
        <v>828</v>
      </c>
      <c r="C11" s="133" t="s">
        <v>49</v>
      </c>
      <c r="D11" s="133" t="s">
        <v>825</v>
      </c>
      <c r="E11" s="133" t="s">
        <v>1610</v>
      </c>
      <c r="F11" s="133" t="s">
        <v>1581</v>
      </c>
      <c r="G11" s="133" t="s">
        <v>1669</v>
      </c>
      <c r="H11" s="133" t="s">
        <v>81</v>
      </c>
      <c r="I11" s="133" t="s">
        <v>1777</v>
      </c>
      <c r="J11" s="133" t="s">
        <v>101</v>
      </c>
      <c r="K11" s="134">
        <v>0.884</v>
      </c>
      <c r="L11" s="135">
        <v>44986.0</v>
      </c>
      <c r="M11" s="135">
        <v>44874.0</v>
      </c>
      <c r="N11" s="135">
        <v>45876.0</v>
      </c>
      <c r="O11" s="134">
        <v>890.0</v>
      </c>
      <c r="P11" s="133">
        <v>365.0</v>
      </c>
      <c r="Q11" s="134">
        <v>1.9092079E9</v>
      </c>
      <c r="R11" s="134">
        <v>1.030092012E9</v>
      </c>
      <c r="S11" s="134">
        <v>1.0243806931E10</v>
      </c>
      <c r="T11" s="136">
        <v>1.318310684282E10</v>
      </c>
      <c r="U11" s="136">
        <v>1.765345292E7</v>
      </c>
      <c r="V11" s="137" t="s">
        <v>294</v>
      </c>
      <c r="W11" s="134">
        <v>2.0</v>
      </c>
      <c r="X11" s="133" t="s">
        <v>147</v>
      </c>
      <c r="Y11" s="133" t="s">
        <v>1601</v>
      </c>
      <c r="Z11" s="133" t="s">
        <v>101</v>
      </c>
      <c r="AA11" s="133">
        <v>10.0</v>
      </c>
      <c r="AB11" s="133" t="s">
        <v>1565</v>
      </c>
      <c r="AC11" s="133" t="s">
        <v>1603</v>
      </c>
      <c r="AD11" s="133"/>
      <c r="AE11" s="133"/>
    </row>
    <row r="12">
      <c r="A12" s="138">
        <v>6358.0</v>
      </c>
      <c r="B12" s="127" t="s">
        <v>1789</v>
      </c>
      <c r="C12" s="127" t="s">
        <v>49</v>
      </c>
      <c r="D12" s="127" t="s">
        <v>1793</v>
      </c>
      <c r="E12" s="127" t="s">
        <v>1610</v>
      </c>
      <c r="F12" s="127" t="s">
        <v>1581</v>
      </c>
      <c r="G12" s="127" t="s">
        <v>1636</v>
      </c>
      <c r="H12" s="127" t="s">
        <v>81</v>
      </c>
      <c r="I12" s="127" t="s">
        <v>443</v>
      </c>
      <c r="J12" s="127" t="s">
        <v>122</v>
      </c>
      <c r="K12" s="128">
        <v>0.997</v>
      </c>
      <c r="L12" s="129">
        <v>45545.0</v>
      </c>
      <c r="M12" s="129">
        <v>45261.0</v>
      </c>
      <c r="N12" s="129">
        <v>45965.0</v>
      </c>
      <c r="O12" s="128">
        <v>420.0</v>
      </c>
      <c r="P12" s="127">
        <v>300.0</v>
      </c>
      <c r="Q12" s="128">
        <v>1.8216393E9</v>
      </c>
      <c r="R12" s="128">
        <v>0.0</v>
      </c>
      <c r="S12" s="128">
        <v>2.542617979E9</v>
      </c>
      <c r="T12" s="130">
        <v>4.36425727947E9</v>
      </c>
      <c r="U12" s="130">
        <v>4838351.39</v>
      </c>
      <c r="V12" s="131" t="s">
        <v>294</v>
      </c>
      <c r="W12" s="128">
        <v>2.0</v>
      </c>
      <c r="X12" s="127" t="s">
        <v>122</v>
      </c>
      <c r="Y12" s="127" t="s">
        <v>1601</v>
      </c>
      <c r="Z12" s="127" t="s">
        <v>122</v>
      </c>
      <c r="AA12" s="127">
        <v>27.0</v>
      </c>
      <c r="AB12" s="127" t="s">
        <v>1602</v>
      </c>
      <c r="AC12" s="127" t="s">
        <v>1603</v>
      </c>
      <c r="AD12" s="127"/>
      <c r="AE12" s="127"/>
    </row>
    <row r="13">
      <c r="A13" s="132">
        <v>5735.0</v>
      </c>
      <c r="B13" s="133" t="s">
        <v>1811</v>
      </c>
      <c r="C13" s="133" t="s">
        <v>49</v>
      </c>
      <c r="D13" s="133" t="s">
        <v>1813</v>
      </c>
      <c r="E13" s="133" t="s">
        <v>1610</v>
      </c>
      <c r="F13" s="133" t="s">
        <v>1581</v>
      </c>
      <c r="G13" s="133" t="s">
        <v>1817</v>
      </c>
      <c r="H13" s="133" t="s">
        <v>81</v>
      </c>
      <c r="I13" s="133" t="s">
        <v>1819</v>
      </c>
      <c r="J13" s="133" t="s">
        <v>408</v>
      </c>
      <c r="K13" s="134">
        <v>0.989</v>
      </c>
      <c r="L13" s="135">
        <v>44979.0</v>
      </c>
      <c r="M13" s="135">
        <v>44803.0</v>
      </c>
      <c r="N13" s="135">
        <v>45854.0</v>
      </c>
      <c r="O13" s="134">
        <v>875.0</v>
      </c>
      <c r="P13" s="133">
        <v>365.0</v>
      </c>
      <c r="Q13" s="134">
        <v>1.4945254E9</v>
      </c>
      <c r="R13" s="134">
        <v>3.461585779E8</v>
      </c>
      <c r="S13" s="134">
        <v>6.748394874E9</v>
      </c>
      <c r="T13" s="136">
        <v>8.58907885232E9</v>
      </c>
      <c r="U13" s="136">
        <v>1.269437226E7</v>
      </c>
      <c r="V13" s="137" t="s">
        <v>294</v>
      </c>
      <c r="W13" s="134">
        <v>2.0</v>
      </c>
      <c r="X13" s="133" t="s">
        <v>1600</v>
      </c>
      <c r="Y13" s="133" t="s">
        <v>1601</v>
      </c>
      <c r="Z13" s="133" t="s">
        <v>408</v>
      </c>
      <c r="AA13" s="133">
        <v>15.0</v>
      </c>
      <c r="AB13" s="133" t="s">
        <v>1602</v>
      </c>
      <c r="AC13" s="133" t="s">
        <v>1603</v>
      </c>
      <c r="AD13" s="133"/>
      <c r="AE13" s="133"/>
    </row>
    <row r="14">
      <c r="A14" s="138">
        <v>5953.0</v>
      </c>
      <c r="B14" s="127" t="s">
        <v>1833</v>
      </c>
      <c r="C14" s="127" t="s">
        <v>49</v>
      </c>
      <c r="D14" s="127" t="s">
        <v>1835</v>
      </c>
      <c r="E14" s="127" t="s">
        <v>1610</v>
      </c>
      <c r="F14" s="127" t="s">
        <v>1581</v>
      </c>
      <c r="G14" s="127" t="s">
        <v>1838</v>
      </c>
      <c r="H14" s="127" t="s">
        <v>81</v>
      </c>
      <c r="I14" s="127" t="s">
        <v>1842</v>
      </c>
      <c r="J14" s="127" t="s">
        <v>1683</v>
      </c>
      <c r="K14" s="128">
        <v>0.999</v>
      </c>
      <c r="L14" s="129">
        <v>45505.0</v>
      </c>
      <c r="M14" s="129">
        <v>44949.0</v>
      </c>
      <c r="N14" s="129">
        <v>45870.0</v>
      </c>
      <c r="O14" s="128">
        <v>365.0</v>
      </c>
      <c r="P14" s="127">
        <v>365.0</v>
      </c>
      <c r="Q14" s="128">
        <v>1.8492909E9</v>
      </c>
      <c r="R14" s="128">
        <v>4.283537277E8</v>
      </c>
      <c r="S14" s="128">
        <v>8.68900702E9</v>
      </c>
      <c r="T14" s="130">
        <v>1.096665164813E10</v>
      </c>
      <c r="U14" s="130">
        <v>1.190925296E7</v>
      </c>
      <c r="V14" s="131" t="s">
        <v>294</v>
      </c>
      <c r="W14" s="128">
        <v>2.0</v>
      </c>
      <c r="X14" s="127" t="s">
        <v>1600</v>
      </c>
      <c r="Y14" s="127" t="s">
        <v>1601</v>
      </c>
      <c r="Z14" s="127" t="s">
        <v>1683</v>
      </c>
      <c r="AA14" s="127">
        <v>9.0</v>
      </c>
      <c r="AB14" s="127" t="s">
        <v>1602</v>
      </c>
      <c r="AC14" s="127" t="s">
        <v>1603</v>
      </c>
      <c r="AD14" s="127"/>
      <c r="AE14" s="127"/>
    </row>
    <row r="15">
      <c r="A15" s="132">
        <v>5814.0</v>
      </c>
      <c r="B15" s="133" t="s">
        <v>1854</v>
      </c>
      <c r="C15" s="133" t="s">
        <v>49</v>
      </c>
      <c r="D15" s="133" t="s">
        <v>1856</v>
      </c>
      <c r="E15" s="133" t="s">
        <v>1610</v>
      </c>
      <c r="F15" s="133" t="s">
        <v>1581</v>
      </c>
      <c r="G15" s="133" t="s">
        <v>1817</v>
      </c>
      <c r="H15" s="133" t="s">
        <v>86</v>
      </c>
      <c r="I15" s="133" t="s">
        <v>1683</v>
      </c>
      <c r="J15" s="133" t="s">
        <v>1683</v>
      </c>
      <c r="K15" s="134">
        <v>1.0</v>
      </c>
      <c r="L15" s="135">
        <v>45078.0</v>
      </c>
      <c r="M15" s="135">
        <v>44783.0</v>
      </c>
      <c r="N15" s="135">
        <v>45538.0</v>
      </c>
      <c r="O15" s="134">
        <v>460.0</v>
      </c>
      <c r="P15" s="133">
        <v>120.0</v>
      </c>
      <c r="Q15" s="134">
        <v>3.2520547E8</v>
      </c>
      <c r="R15" s="134">
        <v>3.241864838E7</v>
      </c>
      <c r="S15" s="134">
        <v>1.204038485E9</v>
      </c>
      <c r="T15" s="136">
        <v>1.56166260289E9</v>
      </c>
      <c r="U15" s="136">
        <v>2554457.99</v>
      </c>
      <c r="V15" s="137" t="s">
        <v>294</v>
      </c>
      <c r="W15" s="134">
        <v>1.0</v>
      </c>
      <c r="X15" s="133" t="s">
        <v>1600</v>
      </c>
      <c r="Y15" s="133" t="s">
        <v>1601</v>
      </c>
      <c r="Z15" s="133" t="s">
        <v>1683</v>
      </c>
      <c r="AA15" s="133">
        <v>9.0</v>
      </c>
      <c r="AB15" s="133" t="s">
        <v>1602</v>
      </c>
      <c r="AC15" s="133" t="s">
        <v>86</v>
      </c>
      <c r="AD15" s="133"/>
      <c r="AE15" s="133"/>
    </row>
    <row r="16">
      <c r="A16" s="138">
        <v>5344.0</v>
      </c>
      <c r="B16" s="127" t="s">
        <v>1880</v>
      </c>
      <c r="C16" s="127" t="s">
        <v>49</v>
      </c>
      <c r="D16" s="127" t="s">
        <v>1883</v>
      </c>
      <c r="E16" s="127" t="s">
        <v>1610</v>
      </c>
      <c r="F16" s="127" t="s">
        <v>1581</v>
      </c>
      <c r="G16" s="127" t="s">
        <v>1885</v>
      </c>
      <c r="H16" s="127" t="s">
        <v>86</v>
      </c>
      <c r="I16" s="127" t="s">
        <v>689</v>
      </c>
      <c r="J16" s="127" t="s">
        <v>1646</v>
      </c>
      <c r="K16" s="128">
        <v>0.967</v>
      </c>
      <c r="L16" s="129">
        <v>44853.0</v>
      </c>
      <c r="M16" s="129">
        <v>44727.0</v>
      </c>
      <c r="N16" s="129">
        <v>45638.0</v>
      </c>
      <c r="O16" s="128">
        <v>785.0</v>
      </c>
      <c r="P16" s="127">
        <v>365.0</v>
      </c>
      <c r="Q16" s="128">
        <v>7.589873E8</v>
      </c>
      <c r="R16" s="128">
        <v>2.08077048E8</v>
      </c>
      <c r="S16" s="128">
        <v>3.198350957E9</v>
      </c>
      <c r="T16" s="130">
        <v>4.16541530501E9</v>
      </c>
      <c r="U16" s="130">
        <v>7569975.33</v>
      </c>
      <c r="V16" s="131" t="s">
        <v>294</v>
      </c>
      <c r="W16" s="128">
        <v>1.0</v>
      </c>
      <c r="X16" s="127" t="s">
        <v>1600</v>
      </c>
      <c r="Y16" s="127" t="s">
        <v>1601</v>
      </c>
      <c r="Z16" s="127" t="s">
        <v>1646</v>
      </c>
      <c r="AA16" s="127">
        <v>14.0</v>
      </c>
      <c r="AB16" s="127" t="s">
        <v>1602</v>
      </c>
      <c r="AC16" s="127" t="s">
        <v>86</v>
      </c>
      <c r="AD16" s="127"/>
      <c r="AE16" s="127"/>
    </row>
    <row r="17">
      <c r="A17" s="132">
        <v>6351.0</v>
      </c>
      <c r="B17" s="133" t="s">
        <v>1899</v>
      </c>
      <c r="C17" s="133" t="s">
        <v>49</v>
      </c>
      <c r="D17" s="133" t="s">
        <v>1902</v>
      </c>
      <c r="E17" s="133" t="s">
        <v>1610</v>
      </c>
      <c r="F17" s="133" t="s">
        <v>1581</v>
      </c>
      <c r="G17" s="133" t="s">
        <v>1904</v>
      </c>
      <c r="H17" s="133" t="s">
        <v>86</v>
      </c>
      <c r="I17" s="133" t="s">
        <v>464</v>
      </c>
      <c r="J17" s="133" t="s">
        <v>1683</v>
      </c>
      <c r="K17" s="134">
        <v>1.0</v>
      </c>
      <c r="L17" s="135">
        <v>45428.0</v>
      </c>
      <c r="M17" s="135">
        <v>45239.0</v>
      </c>
      <c r="N17" s="135">
        <v>45773.0</v>
      </c>
      <c r="O17" s="134">
        <v>345.0</v>
      </c>
      <c r="P17" s="133">
        <v>240.0</v>
      </c>
      <c r="Q17" s="134">
        <v>2.7045092E9</v>
      </c>
      <c r="R17" s="134">
        <v>0.0</v>
      </c>
      <c r="S17" s="134">
        <v>3.908841228E9</v>
      </c>
      <c r="T17" s="136">
        <v>6.61335042827E9</v>
      </c>
      <c r="U17" s="136">
        <v>7399477.98</v>
      </c>
      <c r="V17" s="137" t="s">
        <v>294</v>
      </c>
      <c r="W17" s="134">
        <v>1.0</v>
      </c>
      <c r="X17" s="133" t="s">
        <v>1600</v>
      </c>
      <c r="Y17" s="133" t="s">
        <v>1601</v>
      </c>
      <c r="Z17" s="133" t="s">
        <v>1683</v>
      </c>
      <c r="AA17" s="133">
        <v>9.0</v>
      </c>
      <c r="AB17" s="133" t="s">
        <v>1602</v>
      </c>
      <c r="AC17" s="133" t="s">
        <v>86</v>
      </c>
      <c r="AD17" s="133"/>
      <c r="AE17" s="133"/>
    </row>
    <row r="18">
      <c r="A18" s="138">
        <v>6153.0</v>
      </c>
      <c r="B18" s="127" t="s">
        <v>1920</v>
      </c>
      <c r="C18" s="127" t="s">
        <v>49</v>
      </c>
      <c r="D18" s="127" t="s">
        <v>1923</v>
      </c>
      <c r="E18" s="127" t="s">
        <v>1610</v>
      </c>
      <c r="F18" s="127" t="s">
        <v>1581</v>
      </c>
      <c r="G18" s="127" t="s">
        <v>1926</v>
      </c>
      <c r="H18" s="127" t="s">
        <v>86</v>
      </c>
      <c r="I18" s="127" t="s">
        <v>306</v>
      </c>
      <c r="J18" s="127" t="s">
        <v>107</v>
      </c>
      <c r="K18" s="128">
        <v>1.0</v>
      </c>
      <c r="L18" s="129">
        <v>45168.0</v>
      </c>
      <c r="M18" s="129">
        <v>44875.0</v>
      </c>
      <c r="N18" s="129">
        <v>45783.0</v>
      </c>
      <c r="O18" s="128">
        <v>615.0</v>
      </c>
      <c r="P18" s="127">
        <v>240.0</v>
      </c>
      <c r="Q18" s="128">
        <v>5.545066E8</v>
      </c>
      <c r="R18" s="128">
        <v>0.0</v>
      </c>
      <c r="S18" s="128">
        <v>1.7160963E9</v>
      </c>
      <c r="T18" s="130">
        <v>2.27060289991E9</v>
      </c>
      <c r="U18" s="130">
        <v>3320398.8</v>
      </c>
      <c r="V18" s="131" t="s">
        <v>294</v>
      </c>
      <c r="W18" s="128">
        <v>1.0</v>
      </c>
      <c r="X18" s="127" t="s">
        <v>147</v>
      </c>
      <c r="Y18" s="127" t="s">
        <v>1601</v>
      </c>
      <c r="Z18" s="127" t="s">
        <v>107</v>
      </c>
      <c r="AA18" s="127">
        <v>19.0</v>
      </c>
      <c r="AB18" s="127" t="s">
        <v>1565</v>
      </c>
      <c r="AC18" s="127" t="s">
        <v>86</v>
      </c>
      <c r="AD18" s="127"/>
      <c r="AE18" s="127"/>
    </row>
    <row r="19">
      <c r="A19" s="132">
        <v>5806.0</v>
      </c>
      <c r="B19" s="133" t="s">
        <v>1938</v>
      </c>
      <c r="C19" s="133" t="s">
        <v>49</v>
      </c>
      <c r="D19" s="133" t="s">
        <v>1940</v>
      </c>
      <c r="E19" s="133" t="s">
        <v>1942</v>
      </c>
      <c r="F19" s="133" t="s">
        <v>1581</v>
      </c>
      <c r="G19" s="133" t="s">
        <v>1584</v>
      </c>
      <c r="H19" s="133" t="s">
        <v>86</v>
      </c>
      <c r="I19" s="133" t="s">
        <v>629</v>
      </c>
      <c r="J19" s="133" t="s">
        <v>150</v>
      </c>
      <c r="K19" s="134">
        <v>0.997</v>
      </c>
      <c r="L19" s="135">
        <v>44998.0</v>
      </c>
      <c r="M19" s="135">
        <v>44873.0</v>
      </c>
      <c r="N19" s="135">
        <v>45758.0</v>
      </c>
      <c r="O19" s="134">
        <v>760.0</v>
      </c>
      <c r="P19" s="133">
        <v>180.0</v>
      </c>
      <c r="Q19" s="134">
        <v>4.85196E8</v>
      </c>
      <c r="R19" s="134">
        <v>3.379076601E8</v>
      </c>
      <c r="S19" s="134">
        <v>1.329807995E9</v>
      </c>
      <c r="T19" s="136">
        <v>2.15291165524E9</v>
      </c>
      <c r="U19" s="136">
        <v>4958455.78</v>
      </c>
      <c r="V19" s="137" t="s">
        <v>294</v>
      </c>
      <c r="W19" s="134">
        <v>1.0</v>
      </c>
      <c r="X19" s="133" t="s">
        <v>1600</v>
      </c>
      <c r="Y19" s="133" t="s">
        <v>1601</v>
      </c>
      <c r="Z19" s="133" t="s">
        <v>150</v>
      </c>
      <c r="AA19" s="133">
        <v>20.0</v>
      </c>
      <c r="AB19" s="133" t="s">
        <v>1602</v>
      </c>
      <c r="AC19" s="133" t="s">
        <v>86</v>
      </c>
      <c r="AD19" s="133"/>
      <c r="AE19" s="133"/>
    </row>
    <row r="20">
      <c r="A20" s="138">
        <v>6176.0</v>
      </c>
      <c r="B20" s="127" t="s">
        <v>1958</v>
      </c>
      <c r="C20" s="127" t="s">
        <v>49</v>
      </c>
      <c r="D20" s="127" t="s">
        <v>1960</v>
      </c>
      <c r="E20" s="127" t="s">
        <v>1962</v>
      </c>
      <c r="F20" s="127" t="s">
        <v>1581</v>
      </c>
      <c r="G20" s="127" t="s">
        <v>1885</v>
      </c>
      <c r="H20" s="127" t="s">
        <v>81</v>
      </c>
      <c r="I20" s="127" t="s">
        <v>1646</v>
      </c>
      <c r="J20" s="127" t="s">
        <v>1646</v>
      </c>
      <c r="K20" s="128">
        <v>0.766</v>
      </c>
      <c r="L20" s="129">
        <v>45392.0</v>
      </c>
      <c r="M20" s="129">
        <v>45142.0</v>
      </c>
      <c r="N20" s="129">
        <v>45859.0</v>
      </c>
      <c r="O20" s="128">
        <v>467.0</v>
      </c>
      <c r="P20" s="127">
        <v>240.0</v>
      </c>
      <c r="Q20" s="128">
        <v>1.5598299E9</v>
      </c>
      <c r="R20" s="128">
        <v>0.0</v>
      </c>
      <c r="S20" s="128">
        <v>3.9040177E9</v>
      </c>
      <c r="T20" s="130">
        <v>5.46384760011E9</v>
      </c>
      <c r="U20" s="130">
        <v>5360240.21</v>
      </c>
      <c r="V20" s="131" t="s">
        <v>294</v>
      </c>
      <c r="W20" s="128">
        <v>2.0</v>
      </c>
      <c r="X20" s="127" t="s">
        <v>1600</v>
      </c>
      <c r="Y20" s="127" t="s">
        <v>1601</v>
      </c>
      <c r="Z20" s="127" t="s">
        <v>1646</v>
      </c>
      <c r="AA20" s="127">
        <v>14.0</v>
      </c>
      <c r="AB20" s="127" t="s">
        <v>1602</v>
      </c>
      <c r="AC20" s="127" t="s">
        <v>1603</v>
      </c>
      <c r="AD20" s="127"/>
      <c r="AE20" s="127"/>
    </row>
    <row r="21">
      <c r="A21" s="132">
        <v>5426.0</v>
      </c>
      <c r="B21" s="133" t="s">
        <v>1978</v>
      </c>
      <c r="C21" s="133" t="s">
        <v>49</v>
      </c>
      <c r="D21" s="133" t="s">
        <v>1982</v>
      </c>
      <c r="E21" s="133" t="s">
        <v>1756</v>
      </c>
      <c r="F21" s="133" t="s">
        <v>1581</v>
      </c>
      <c r="G21" s="133" t="s">
        <v>1985</v>
      </c>
      <c r="H21" s="133" t="s">
        <v>86</v>
      </c>
      <c r="I21" s="133" t="s">
        <v>1986</v>
      </c>
      <c r="J21" s="133" t="s">
        <v>58</v>
      </c>
      <c r="K21" s="134">
        <v>0.988</v>
      </c>
      <c r="L21" s="135">
        <v>44972.0</v>
      </c>
      <c r="M21" s="135">
        <v>44846.0</v>
      </c>
      <c r="N21" s="135">
        <v>45477.0</v>
      </c>
      <c r="O21" s="134">
        <v>505.0</v>
      </c>
      <c r="P21" s="133">
        <v>180.0</v>
      </c>
      <c r="Q21" s="134">
        <v>6.8917165E8</v>
      </c>
      <c r="R21" s="134">
        <v>1.668971036E8</v>
      </c>
      <c r="S21" s="134">
        <v>7.919258826E8</v>
      </c>
      <c r="T21" s="136">
        <v>1.64799463614E9</v>
      </c>
      <c r="U21" s="136">
        <v>5443998.43</v>
      </c>
      <c r="V21" s="137" t="s">
        <v>294</v>
      </c>
      <c r="W21" s="134">
        <v>1.0</v>
      </c>
      <c r="X21" s="133" t="s">
        <v>1600</v>
      </c>
      <c r="Y21" s="133" t="s">
        <v>1601</v>
      </c>
      <c r="Z21" s="133" t="s">
        <v>58</v>
      </c>
      <c r="AA21" s="133">
        <v>1.0</v>
      </c>
      <c r="AB21" s="133" t="s">
        <v>1602</v>
      </c>
      <c r="AC21" s="133" t="s">
        <v>86</v>
      </c>
      <c r="AD21" s="133"/>
      <c r="AE21" s="133"/>
    </row>
    <row r="22">
      <c r="A22" s="138">
        <v>6360.0</v>
      </c>
      <c r="B22" s="127" t="s">
        <v>1997</v>
      </c>
      <c r="C22" s="127" t="s">
        <v>49</v>
      </c>
      <c r="D22" s="127" t="s">
        <v>2000</v>
      </c>
      <c r="E22" s="127" t="s">
        <v>1610</v>
      </c>
      <c r="F22" s="127" t="s">
        <v>1581</v>
      </c>
      <c r="G22" s="127" t="s">
        <v>2003</v>
      </c>
      <c r="H22" s="127" t="s">
        <v>81</v>
      </c>
      <c r="I22" s="127" t="s">
        <v>125</v>
      </c>
      <c r="J22" s="127" t="s">
        <v>1646</v>
      </c>
      <c r="K22" s="128">
        <v>0.492</v>
      </c>
      <c r="L22" s="129">
        <v>45519.0</v>
      </c>
      <c r="M22" s="129">
        <v>45286.0</v>
      </c>
      <c r="N22" s="129">
        <v>45939.0</v>
      </c>
      <c r="O22" s="128">
        <v>420.0</v>
      </c>
      <c r="P22" s="127">
        <v>180.0</v>
      </c>
      <c r="Q22" s="128">
        <v>2.0053897E9</v>
      </c>
      <c r="R22" s="128">
        <v>6.009999782E8</v>
      </c>
      <c r="S22" s="128">
        <v>3.684502227E9</v>
      </c>
      <c r="T22" s="130">
        <v>6.2908919053E9</v>
      </c>
      <c r="U22" s="130">
        <v>3152572.94</v>
      </c>
      <c r="V22" s="131" t="s">
        <v>294</v>
      </c>
      <c r="W22" s="128">
        <v>2.0</v>
      </c>
      <c r="X22" s="127" t="s">
        <v>1600</v>
      </c>
      <c r="Y22" s="127" t="s">
        <v>1601</v>
      </c>
      <c r="Z22" s="127" t="s">
        <v>1646</v>
      </c>
      <c r="AA22" s="127">
        <v>14.0</v>
      </c>
      <c r="AB22" s="127" t="s">
        <v>1602</v>
      </c>
      <c r="AC22" s="127" t="s">
        <v>1603</v>
      </c>
      <c r="AD22" s="127"/>
      <c r="AE22" s="127"/>
    </row>
    <row r="23">
      <c r="A23" s="126">
        <v>5345.0</v>
      </c>
      <c r="B23" s="133" t="s">
        <v>2015</v>
      </c>
      <c r="C23" s="133" t="s">
        <v>49</v>
      </c>
      <c r="D23" s="133" t="s">
        <v>2018</v>
      </c>
      <c r="E23" s="133" t="s">
        <v>1962</v>
      </c>
      <c r="F23" s="133" t="s">
        <v>1581</v>
      </c>
      <c r="G23" s="133" t="s">
        <v>2021</v>
      </c>
      <c r="H23" s="133" t="s">
        <v>81</v>
      </c>
      <c r="I23" s="133" t="s">
        <v>2023</v>
      </c>
      <c r="J23" s="133" t="s">
        <v>1747</v>
      </c>
      <c r="K23" s="134">
        <v>0.799</v>
      </c>
      <c r="L23" s="135">
        <v>45062.0</v>
      </c>
      <c r="M23" s="135">
        <v>44900.0</v>
      </c>
      <c r="N23" s="135">
        <v>45817.0</v>
      </c>
      <c r="O23" s="134">
        <v>755.0</v>
      </c>
      <c r="P23" s="133">
        <v>365.0</v>
      </c>
      <c r="Q23" s="134">
        <v>2.4454188E9</v>
      </c>
      <c r="R23" s="134">
        <v>7.123843102E8</v>
      </c>
      <c r="S23" s="134">
        <v>1.2164814829E10</v>
      </c>
      <c r="T23" s="136">
        <v>1.532261793873E10</v>
      </c>
      <c r="U23" s="136">
        <v>1.796758526E7</v>
      </c>
      <c r="V23" s="137" t="s">
        <v>294</v>
      </c>
      <c r="W23" s="134">
        <v>2.0</v>
      </c>
      <c r="X23" s="133" t="s">
        <v>1600</v>
      </c>
      <c r="Y23" s="133" t="s">
        <v>1601</v>
      </c>
      <c r="Z23" s="133" t="s">
        <v>1747</v>
      </c>
      <c r="AA23" s="133">
        <v>6.0</v>
      </c>
      <c r="AB23" s="133" t="s">
        <v>1602</v>
      </c>
      <c r="AC23" s="133" t="s">
        <v>1603</v>
      </c>
      <c r="AD23" s="133"/>
      <c r="AE23" s="133"/>
    </row>
    <row r="24">
      <c r="A24" s="138">
        <v>5436.0</v>
      </c>
      <c r="B24" s="127" t="s">
        <v>2034</v>
      </c>
      <c r="C24" s="127" t="s">
        <v>49</v>
      </c>
      <c r="D24" s="127" t="s">
        <v>2039</v>
      </c>
      <c r="E24" s="127" t="s">
        <v>1610</v>
      </c>
      <c r="F24" s="127" t="s">
        <v>1581</v>
      </c>
      <c r="G24" s="127" t="s">
        <v>2042</v>
      </c>
      <c r="H24" s="127" t="s">
        <v>81</v>
      </c>
      <c r="I24" s="127" t="s">
        <v>103</v>
      </c>
      <c r="J24" s="127" t="s">
        <v>32</v>
      </c>
      <c r="K24" s="128">
        <v>0.917</v>
      </c>
      <c r="L24" s="129">
        <v>45407.0</v>
      </c>
      <c r="M24" s="129">
        <v>45226.0</v>
      </c>
      <c r="N24" s="129">
        <v>45952.0</v>
      </c>
      <c r="O24" s="128">
        <v>545.0</v>
      </c>
      <c r="P24" s="127">
        <v>365.0</v>
      </c>
      <c r="Q24" s="128">
        <v>4.6975386E9</v>
      </c>
      <c r="R24" s="128">
        <v>1.339300232E9</v>
      </c>
      <c r="S24" s="128">
        <v>7.491527016E9</v>
      </c>
      <c r="T24" s="130">
        <v>1.35283658473E10</v>
      </c>
      <c r="U24" s="130">
        <v>1.651665891E7</v>
      </c>
      <c r="V24" s="131" t="s">
        <v>294</v>
      </c>
      <c r="W24" s="128">
        <v>2.0</v>
      </c>
      <c r="X24" s="127" t="s">
        <v>1600</v>
      </c>
      <c r="Y24" s="127" t="s">
        <v>1601</v>
      </c>
      <c r="Z24" s="127" t="s">
        <v>32</v>
      </c>
      <c r="AA24" s="127">
        <v>2.0</v>
      </c>
      <c r="AB24" s="127" t="s">
        <v>1602</v>
      </c>
      <c r="AC24" s="127" t="s">
        <v>1603</v>
      </c>
      <c r="AD24" s="127"/>
      <c r="AE24" s="127"/>
    </row>
    <row r="25">
      <c r="A25" s="132">
        <v>5959.0</v>
      </c>
      <c r="B25" s="133" t="s">
        <v>2056</v>
      </c>
      <c r="C25" s="133" t="s">
        <v>49</v>
      </c>
      <c r="D25" s="133" t="s">
        <v>2059</v>
      </c>
      <c r="E25" s="133" t="s">
        <v>1610</v>
      </c>
      <c r="F25" s="133" t="s">
        <v>1581</v>
      </c>
      <c r="G25" s="133" t="s">
        <v>2021</v>
      </c>
      <c r="H25" s="133" t="s">
        <v>81</v>
      </c>
      <c r="I25" s="133" t="s">
        <v>2023</v>
      </c>
      <c r="J25" s="133" t="s">
        <v>1747</v>
      </c>
      <c r="K25" s="134">
        <v>0.834</v>
      </c>
      <c r="L25" s="135">
        <v>45544.0</v>
      </c>
      <c r="M25" s="135">
        <v>45261.0</v>
      </c>
      <c r="N25" s="135">
        <v>45909.0</v>
      </c>
      <c r="O25" s="134">
        <v>365.0</v>
      </c>
      <c r="P25" s="133">
        <v>365.0</v>
      </c>
      <c r="Q25" s="134">
        <v>4.0947213E9</v>
      </c>
      <c r="R25" s="134">
        <v>0.0</v>
      </c>
      <c r="S25" s="134">
        <v>5.232854426E9</v>
      </c>
      <c r="T25" s="136">
        <v>9.32757572643E9</v>
      </c>
      <c r="U25" s="136">
        <v>1.087575378E7</v>
      </c>
      <c r="V25" s="137" t="s">
        <v>294</v>
      </c>
      <c r="W25" s="134">
        <v>2.0</v>
      </c>
      <c r="X25" s="133" t="s">
        <v>1600</v>
      </c>
      <c r="Y25" s="133" t="s">
        <v>1601</v>
      </c>
      <c r="Z25" s="133" t="s">
        <v>1747</v>
      </c>
      <c r="AA25" s="133">
        <v>6.0</v>
      </c>
      <c r="AB25" s="133" t="s">
        <v>1602</v>
      </c>
      <c r="AC25" s="133" t="s">
        <v>1603</v>
      </c>
      <c r="AD25" s="133"/>
      <c r="AE25" s="133"/>
    </row>
    <row r="26">
      <c r="A26" s="138">
        <v>6355.0</v>
      </c>
      <c r="B26" s="127" t="s">
        <v>2074</v>
      </c>
      <c r="C26" s="127" t="s">
        <v>49</v>
      </c>
      <c r="D26" s="127" t="s">
        <v>2077</v>
      </c>
      <c r="E26" s="127" t="s">
        <v>1610</v>
      </c>
      <c r="F26" s="127" t="s">
        <v>1581</v>
      </c>
      <c r="G26" s="127" t="s">
        <v>1636</v>
      </c>
      <c r="H26" s="127" t="s">
        <v>86</v>
      </c>
      <c r="I26" s="127" t="s">
        <v>443</v>
      </c>
      <c r="J26" s="127" t="s">
        <v>122</v>
      </c>
      <c r="K26" s="128">
        <v>1.0</v>
      </c>
      <c r="L26" s="129">
        <v>45341.0</v>
      </c>
      <c r="M26" s="129">
        <v>45236.0</v>
      </c>
      <c r="N26" s="129">
        <v>45791.0</v>
      </c>
      <c r="O26" s="128">
        <v>450.0</v>
      </c>
      <c r="P26" s="127">
        <v>300.0</v>
      </c>
      <c r="Q26" s="128">
        <v>1.5804209E9</v>
      </c>
      <c r="R26" s="128">
        <v>0.0</v>
      </c>
      <c r="S26" s="128">
        <v>2.042634229E9</v>
      </c>
      <c r="T26" s="130">
        <v>3.62305512878E9</v>
      </c>
      <c r="U26" s="130">
        <v>4323996.99</v>
      </c>
      <c r="V26" s="131" t="s">
        <v>294</v>
      </c>
      <c r="W26" s="128">
        <v>1.0</v>
      </c>
      <c r="X26" s="127" t="s">
        <v>122</v>
      </c>
      <c r="Y26" s="127" t="s">
        <v>1601</v>
      </c>
      <c r="Z26" s="127" t="s">
        <v>122</v>
      </c>
      <c r="AA26" s="127">
        <v>27.0</v>
      </c>
      <c r="AB26" s="127" t="s">
        <v>1602</v>
      </c>
      <c r="AC26" s="127" t="s">
        <v>86</v>
      </c>
      <c r="AD26" s="127"/>
      <c r="AE26" s="127"/>
    </row>
    <row r="27">
      <c r="A27" s="132">
        <v>4810.0</v>
      </c>
      <c r="B27" s="133" t="s">
        <v>2094</v>
      </c>
      <c r="C27" s="133" t="s">
        <v>49</v>
      </c>
      <c r="D27" s="133" t="s">
        <v>2096</v>
      </c>
      <c r="E27" s="133" t="s">
        <v>1610</v>
      </c>
      <c r="F27" s="133" t="s">
        <v>1581</v>
      </c>
      <c r="G27" s="133" t="s">
        <v>2100</v>
      </c>
      <c r="H27" s="133" t="s">
        <v>86</v>
      </c>
      <c r="I27" s="133" t="s">
        <v>2103</v>
      </c>
      <c r="J27" s="133" t="s">
        <v>58</v>
      </c>
      <c r="K27" s="134">
        <v>1.0</v>
      </c>
      <c r="L27" s="135">
        <v>44866.0</v>
      </c>
      <c r="M27" s="135">
        <v>44761.0</v>
      </c>
      <c r="N27" s="135">
        <v>45616.0</v>
      </c>
      <c r="O27" s="134">
        <v>750.0</v>
      </c>
      <c r="P27" s="133">
        <v>240.0</v>
      </c>
      <c r="Q27" s="134">
        <v>2.4080414E8</v>
      </c>
      <c r="R27" s="134">
        <v>6.985871704E7</v>
      </c>
      <c r="S27" s="134">
        <v>4.093389859E8</v>
      </c>
      <c r="T27" s="136">
        <v>7.2000184292E8</v>
      </c>
      <c r="U27" s="136">
        <v>2288492.5</v>
      </c>
      <c r="V27" s="137" t="s">
        <v>294</v>
      </c>
      <c r="W27" s="134">
        <v>1.0</v>
      </c>
      <c r="X27" s="133" t="s">
        <v>1600</v>
      </c>
      <c r="Y27" s="133" t="s">
        <v>1601</v>
      </c>
      <c r="Z27" s="133" t="s">
        <v>58</v>
      </c>
      <c r="AA27" s="133">
        <v>1.0</v>
      </c>
      <c r="AB27" s="133" t="s">
        <v>1602</v>
      </c>
      <c r="AC27" s="133" t="s">
        <v>86</v>
      </c>
      <c r="AD27" s="133"/>
      <c r="AE27" s="133"/>
    </row>
    <row r="28">
      <c r="A28" s="126">
        <v>0.0</v>
      </c>
      <c r="B28" s="127" t="s">
        <v>2115</v>
      </c>
      <c r="C28" s="127" t="s">
        <v>49</v>
      </c>
      <c r="D28" s="127" t="s">
        <v>2117</v>
      </c>
      <c r="E28" s="127" t="s">
        <v>1610</v>
      </c>
      <c r="F28" s="127" t="s">
        <v>1581</v>
      </c>
      <c r="G28" s="127" t="s">
        <v>2042</v>
      </c>
      <c r="H28" s="127" t="s">
        <v>86</v>
      </c>
      <c r="I28" s="127" t="s">
        <v>2122</v>
      </c>
      <c r="J28" s="127" t="s">
        <v>31</v>
      </c>
      <c r="K28" s="128">
        <v>1.0</v>
      </c>
      <c r="L28" s="129">
        <v>45446.0</v>
      </c>
      <c r="M28" s="129">
        <v>45230.0</v>
      </c>
      <c r="N28" s="129">
        <v>45811.0</v>
      </c>
      <c r="O28" s="128">
        <v>365.0</v>
      </c>
      <c r="P28" s="127">
        <v>365.0</v>
      </c>
      <c r="Q28" s="128">
        <v>3.841403E9</v>
      </c>
      <c r="R28" s="128">
        <v>1.009767376E9</v>
      </c>
      <c r="S28" s="128">
        <v>6.366915518E9</v>
      </c>
      <c r="T28" s="130">
        <v>1.121808589457E10</v>
      </c>
      <c r="U28" s="130">
        <v>1.327269597E7</v>
      </c>
      <c r="V28" s="131" t="s">
        <v>294</v>
      </c>
      <c r="W28" s="128">
        <v>1.0</v>
      </c>
      <c r="X28" s="127" t="s">
        <v>92</v>
      </c>
      <c r="Y28" s="127" t="s">
        <v>1601</v>
      </c>
      <c r="Z28" s="127" t="s">
        <v>31</v>
      </c>
      <c r="AA28" s="127">
        <v>5.0</v>
      </c>
      <c r="AB28" s="127" t="s">
        <v>1565</v>
      </c>
      <c r="AC28" s="127" t="s">
        <v>86</v>
      </c>
      <c r="AD28" s="127"/>
      <c r="AE28" s="127"/>
    </row>
    <row r="29">
      <c r="A29" s="132">
        <v>5721.0</v>
      </c>
      <c r="B29" s="133" t="s">
        <v>2132</v>
      </c>
      <c r="C29" s="133" t="s">
        <v>49</v>
      </c>
      <c r="D29" s="133" t="s">
        <v>2134</v>
      </c>
      <c r="E29" s="133" t="s">
        <v>1610</v>
      </c>
      <c r="F29" s="133" t="s">
        <v>1581</v>
      </c>
      <c r="G29" s="133" t="s">
        <v>2003</v>
      </c>
      <c r="H29" s="133" t="s">
        <v>86</v>
      </c>
      <c r="I29" s="133" t="s">
        <v>1986</v>
      </c>
      <c r="J29" s="133" t="s">
        <v>58</v>
      </c>
      <c r="K29" s="134">
        <v>1.0</v>
      </c>
      <c r="L29" s="135">
        <v>44827.0</v>
      </c>
      <c r="M29" s="135">
        <v>44728.0</v>
      </c>
      <c r="N29" s="135">
        <v>45607.0</v>
      </c>
      <c r="O29" s="134">
        <v>780.0</v>
      </c>
      <c r="P29" s="133">
        <v>240.0</v>
      </c>
      <c r="Q29" s="134">
        <v>2.348133E8</v>
      </c>
      <c r="R29" s="134">
        <v>1.353718897E8</v>
      </c>
      <c r="S29" s="134">
        <v>7.373761154E8</v>
      </c>
      <c r="T29" s="136">
        <v>1.10756130514E9</v>
      </c>
      <c r="U29" s="136">
        <v>2897731.43</v>
      </c>
      <c r="V29" s="137" t="s">
        <v>294</v>
      </c>
      <c r="W29" s="134">
        <v>1.0</v>
      </c>
      <c r="X29" s="133" t="s">
        <v>1600</v>
      </c>
      <c r="Y29" s="133" t="s">
        <v>1601</v>
      </c>
      <c r="Z29" s="133" t="s">
        <v>58</v>
      </c>
      <c r="AA29" s="133">
        <v>1.0</v>
      </c>
      <c r="AB29" s="133" t="s">
        <v>1602</v>
      </c>
      <c r="AC29" s="133" t="s">
        <v>86</v>
      </c>
      <c r="AD29" s="133"/>
      <c r="AE29" s="133"/>
    </row>
    <row r="30">
      <c r="A30" s="138">
        <v>5389.0</v>
      </c>
      <c r="B30" s="127" t="s">
        <v>833</v>
      </c>
      <c r="C30" s="127" t="s">
        <v>49</v>
      </c>
      <c r="D30" s="127" t="s">
        <v>832</v>
      </c>
      <c r="E30" s="127" t="s">
        <v>1610</v>
      </c>
      <c r="F30" s="127" t="s">
        <v>1581</v>
      </c>
      <c r="G30" s="127" t="s">
        <v>1611</v>
      </c>
      <c r="H30" s="127" t="s">
        <v>86</v>
      </c>
      <c r="I30" s="127" t="s">
        <v>2148</v>
      </c>
      <c r="J30" s="127" t="s">
        <v>39</v>
      </c>
      <c r="K30" s="128">
        <v>1.0</v>
      </c>
      <c r="L30" s="129">
        <v>45131.0</v>
      </c>
      <c r="M30" s="129">
        <v>44984.0</v>
      </c>
      <c r="N30" s="129">
        <v>45736.0</v>
      </c>
      <c r="O30" s="128">
        <v>605.0</v>
      </c>
      <c r="P30" s="127">
        <v>365.0</v>
      </c>
      <c r="Q30" s="128">
        <v>2.02999E9</v>
      </c>
      <c r="R30" s="128">
        <v>5.03959E8</v>
      </c>
      <c r="S30" s="128">
        <v>9.147348293E9</v>
      </c>
      <c r="T30" s="130">
        <v>1.168129729289E10</v>
      </c>
      <c r="U30" s="130">
        <v>1.245183784E7</v>
      </c>
      <c r="V30" s="131" t="s">
        <v>294</v>
      </c>
      <c r="W30" s="128">
        <v>1.0</v>
      </c>
      <c r="X30" s="127" t="s">
        <v>147</v>
      </c>
      <c r="Y30" s="127" t="s">
        <v>1601</v>
      </c>
      <c r="Z30" s="127" t="s">
        <v>39</v>
      </c>
      <c r="AA30" s="127">
        <v>4.0</v>
      </c>
      <c r="AB30" s="127" t="s">
        <v>1565</v>
      </c>
      <c r="AC30" s="127" t="s">
        <v>86</v>
      </c>
      <c r="AD30" s="127"/>
      <c r="AE30" s="127"/>
    </row>
    <row r="31">
      <c r="A31" s="132">
        <v>3561.0</v>
      </c>
      <c r="B31" s="133" t="s">
        <v>2157</v>
      </c>
      <c r="C31" s="133" t="s">
        <v>49</v>
      </c>
      <c r="D31" s="133" t="s">
        <v>2158</v>
      </c>
      <c r="E31" s="133" t="s">
        <v>1610</v>
      </c>
      <c r="F31" s="133" t="s">
        <v>1581</v>
      </c>
      <c r="G31" s="133" t="s">
        <v>2160</v>
      </c>
      <c r="H31" s="133" t="s">
        <v>86</v>
      </c>
      <c r="I31" s="133" t="s">
        <v>2164</v>
      </c>
      <c r="J31" s="133" t="s">
        <v>39</v>
      </c>
      <c r="K31" s="134">
        <v>1.0</v>
      </c>
      <c r="L31" s="135">
        <v>44533.0</v>
      </c>
      <c r="M31" s="135">
        <v>44372.0</v>
      </c>
      <c r="N31" s="135">
        <v>45570.0</v>
      </c>
      <c r="O31" s="134">
        <v>1037.0</v>
      </c>
      <c r="P31" s="133">
        <v>365.0</v>
      </c>
      <c r="Q31" s="134">
        <v>3.7996096E8</v>
      </c>
      <c r="R31" s="134">
        <v>7.953640703E7</v>
      </c>
      <c r="S31" s="134">
        <v>8.346559114E8</v>
      </c>
      <c r="T31" s="136">
        <v>1.29415327844E9</v>
      </c>
      <c r="U31" s="136">
        <v>4572113.1</v>
      </c>
      <c r="V31" s="137" t="s">
        <v>294</v>
      </c>
      <c r="W31" s="134">
        <v>1.0</v>
      </c>
      <c r="X31" s="133" t="s">
        <v>147</v>
      </c>
      <c r="Y31" s="133" t="s">
        <v>1601</v>
      </c>
      <c r="Z31" s="133" t="s">
        <v>39</v>
      </c>
      <c r="AA31" s="133">
        <v>4.0</v>
      </c>
      <c r="AB31" s="133" t="s">
        <v>1565</v>
      </c>
      <c r="AC31" s="133" t="s">
        <v>86</v>
      </c>
      <c r="AD31" s="133"/>
      <c r="AE31" s="133"/>
    </row>
    <row r="32">
      <c r="A32" s="138">
        <v>5972.0</v>
      </c>
      <c r="B32" s="127" t="s">
        <v>2171</v>
      </c>
      <c r="C32" s="127" t="s">
        <v>49</v>
      </c>
      <c r="D32" s="127" t="s">
        <v>2173</v>
      </c>
      <c r="E32" s="127" t="s">
        <v>2175</v>
      </c>
      <c r="F32" s="127" t="s">
        <v>1581</v>
      </c>
      <c r="G32" s="127" t="s">
        <v>2176</v>
      </c>
      <c r="H32" s="127" t="s">
        <v>86</v>
      </c>
      <c r="I32" s="127" t="s">
        <v>370</v>
      </c>
      <c r="J32" s="127" t="s">
        <v>1683</v>
      </c>
      <c r="K32" s="128">
        <v>1.0</v>
      </c>
      <c r="L32" s="129">
        <v>45189.0</v>
      </c>
      <c r="M32" s="129">
        <v>44980.0</v>
      </c>
      <c r="N32" s="129">
        <v>45564.0</v>
      </c>
      <c r="O32" s="128">
        <v>375.0</v>
      </c>
      <c r="P32" s="127">
        <v>180.0</v>
      </c>
      <c r="Q32" s="128">
        <v>6.972505E8</v>
      </c>
      <c r="R32" s="128">
        <v>0.0</v>
      </c>
      <c r="S32" s="128">
        <v>1.833628232E9</v>
      </c>
      <c r="T32" s="130">
        <v>2.53087873165E9</v>
      </c>
      <c r="U32" s="130">
        <v>3451735.15</v>
      </c>
      <c r="V32" s="131" t="s">
        <v>294</v>
      </c>
      <c r="W32" s="128">
        <v>1.0</v>
      </c>
      <c r="X32" s="127" t="s">
        <v>1600</v>
      </c>
      <c r="Y32" s="127" t="s">
        <v>1601</v>
      </c>
      <c r="Z32" s="127" t="s">
        <v>1683</v>
      </c>
      <c r="AA32" s="127">
        <v>9.0</v>
      </c>
      <c r="AB32" s="127" t="s">
        <v>1602</v>
      </c>
      <c r="AC32" s="127" t="s">
        <v>86</v>
      </c>
      <c r="AD32" s="127"/>
      <c r="AE32" s="127"/>
    </row>
    <row r="33">
      <c r="A33" s="132">
        <v>5397.0</v>
      </c>
      <c r="B33" s="133" t="s">
        <v>2187</v>
      </c>
      <c r="C33" s="133" t="s">
        <v>49</v>
      </c>
      <c r="D33" s="133" t="s">
        <v>2188</v>
      </c>
      <c r="E33" s="133" t="s">
        <v>1610</v>
      </c>
      <c r="F33" s="133" t="s">
        <v>1581</v>
      </c>
      <c r="G33" s="133" t="s">
        <v>1636</v>
      </c>
      <c r="H33" s="133" t="s">
        <v>86</v>
      </c>
      <c r="I33" s="133" t="s">
        <v>2192</v>
      </c>
      <c r="J33" s="133" t="s">
        <v>1747</v>
      </c>
      <c r="K33" s="134">
        <v>0.998</v>
      </c>
      <c r="L33" s="135">
        <v>45216.0</v>
      </c>
      <c r="M33" s="135">
        <v>44911.0</v>
      </c>
      <c r="N33" s="135">
        <v>45581.0</v>
      </c>
      <c r="O33" s="134">
        <v>365.0</v>
      </c>
      <c r="P33" s="133">
        <v>365.0</v>
      </c>
      <c r="Q33" s="134">
        <v>1.7584474E9</v>
      </c>
      <c r="R33" s="134">
        <v>0.0</v>
      </c>
      <c r="S33" s="134">
        <v>6.200583472E9</v>
      </c>
      <c r="T33" s="136">
        <v>7.9590308715E9</v>
      </c>
      <c r="U33" s="136">
        <v>9823728.49</v>
      </c>
      <c r="V33" s="137" t="s">
        <v>294</v>
      </c>
      <c r="W33" s="134">
        <v>1.0</v>
      </c>
      <c r="X33" s="133" t="s">
        <v>1600</v>
      </c>
      <c r="Y33" s="133" t="s">
        <v>1601</v>
      </c>
      <c r="Z33" s="133" t="s">
        <v>1747</v>
      </c>
      <c r="AA33" s="133">
        <v>6.0</v>
      </c>
      <c r="AB33" s="133" t="s">
        <v>1602</v>
      </c>
      <c r="AC33" s="133" t="s">
        <v>86</v>
      </c>
      <c r="AD33" s="133"/>
      <c r="AE33" s="133"/>
    </row>
    <row r="34">
      <c r="A34" s="138">
        <v>5493.0</v>
      </c>
      <c r="B34" s="127" t="s">
        <v>2202</v>
      </c>
      <c r="C34" s="127" t="s">
        <v>49</v>
      </c>
      <c r="D34" s="127" t="s">
        <v>2204</v>
      </c>
      <c r="E34" s="127" t="s">
        <v>1610</v>
      </c>
      <c r="F34" s="127" t="s">
        <v>1581</v>
      </c>
      <c r="G34" s="127" t="s">
        <v>2003</v>
      </c>
      <c r="H34" s="127" t="s">
        <v>86</v>
      </c>
      <c r="I34" s="127" t="s">
        <v>1646</v>
      </c>
      <c r="J34" s="127" t="s">
        <v>1646</v>
      </c>
      <c r="K34" s="128">
        <v>1.0</v>
      </c>
      <c r="L34" s="129">
        <v>45078.0</v>
      </c>
      <c r="M34" s="129">
        <v>44922.0</v>
      </c>
      <c r="N34" s="129">
        <v>45498.0</v>
      </c>
      <c r="O34" s="128">
        <v>420.0</v>
      </c>
      <c r="P34" s="127">
        <v>180.0</v>
      </c>
      <c r="Q34" s="128">
        <v>3.4980144E8</v>
      </c>
      <c r="R34" s="128">
        <v>1.049054467E8</v>
      </c>
      <c r="S34" s="128">
        <v>1.047209985E9</v>
      </c>
      <c r="T34" s="130">
        <v>1.50191687131E9</v>
      </c>
      <c r="U34" s="130">
        <v>2491544.58</v>
      </c>
      <c r="V34" s="131" t="s">
        <v>294</v>
      </c>
      <c r="W34" s="128">
        <v>1.0</v>
      </c>
      <c r="X34" s="127" t="s">
        <v>1600</v>
      </c>
      <c r="Y34" s="127" t="s">
        <v>1601</v>
      </c>
      <c r="Z34" s="127" t="s">
        <v>1646</v>
      </c>
      <c r="AA34" s="127">
        <v>14.0</v>
      </c>
      <c r="AB34" s="127" t="s">
        <v>1602</v>
      </c>
      <c r="AC34" s="127" t="s">
        <v>86</v>
      </c>
      <c r="AD34" s="127"/>
      <c r="AE34" s="127"/>
    </row>
    <row r="35">
      <c r="A35" s="126">
        <v>3221.0</v>
      </c>
      <c r="B35" s="133" t="s">
        <v>2216</v>
      </c>
      <c r="C35" s="133" t="s">
        <v>49</v>
      </c>
      <c r="D35" s="133" t="s">
        <v>2217</v>
      </c>
      <c r="E35" s="133" t="s">
        <v>1610</v>
      </c>
      <c r="F35" s="133" t="s">
        <v>1581</v>
      </c>
      <c r="G35" s="133" t="s">
        <v>1669</v>
      </c>
      <c r="H35" s="133" t="s">
        <v>86</v>
      </c>
      <c r="I35" s="133" t="s">
        <v>443</v>
      </c>
      <c r="J35" s="133" t="s">
        <v>122</v>
      </c>
      <c r="K35" s="134">
        <v>1.0</v>
      </c>
      <c r="L35" s="135">
        <v>45215.0</v>
      </c>
      <c r="M35" s="135">
        <v>45105.0</v>
      </c>
      <c r="N35" s="135">
        <v>45755.0</v>
      </c>
      <c r="O35" s="134">
        <v>540.0</v>
      </c>
      <c r="P35" s="133">
        <v>540.0</v>
      </c>
      <c r="Q35" s="134">
        <v>1.173283E9</v>
      </c>
      <c r="R35" s="134">
        <v>0.0</v>
      </c>
      <c r="S35" s="134">
        <v>2.424953196E9</v>
      </c>
      <c r="T35" s="136">
        <v>3.59823619629E9</v>
      </c>
      <c r="U35" s="136">
        <v>4402562.85</v>
      </c>
      <c r="V35" s="137" t="s">
        <v>294</v>
      </c>
      <c r="W35" s="134">
        <v>1.0</v>
      </c>
      <c r="X35" s="133" t="s">
        <v>122</v>
      </c>
      <c r="Y35" s="133" t="s">
        <v>1601</v>
      </c>
      <c r="Z35" s="133" t="s">
        <v>122</v>
      </c>
      <c r="AA35" s="133">
        <v>27.0</v>
      </c>
      <c r="AB35" s="133" t="s">
        <v>1602</v>
      </c>
      <c r="AC35" s="133" t="s">
        <v>86</v>
      </c>
      <c r="AD35" s="133"/>
      <c r="AE35" s="133"/>
    </row>
    <row r="36">
      <c r="A36" s="138">
        <v>5952.0</v>
      </c>
      <c r="B36" s="127" t="s">
        <v>2230</v>
      </c>
      <c r="C36" s="127" t="s">
        <v>49</v>
      </c>
      <c r="D36" s="127" t="s">
        <v>2232</v>
      </c>
      <c r="E36" s="127" t="s">
        <v>1610</v>
      </c>
      <c r="F36" s="127" t="s">
        <v>1581</v>
      </c>
      <c r="G36" s="127" t="s">
        <v>1817</v>
      </c>
      <c r="H36" s="127" t="s">
        <v>81</v>
      </c>
      <c r="I36" s="127" t="s">
        <v>582</v>
      </c>
      <c r="J36" s="127" t="s">
        <v>1674</v>
      </c>
      <c r="K36" s="128">
        <v>0.998</v>
      </c>
      <c r="L36" s="129">
        <v>45078.0</v>
      </c>
      <c r="M36" s="129">
        <v>44865.0</v>
      </c>
      <c r="N36" s="129">
        <v>45908.0</v>
      </c>
      <c r="O36" s="128">
        <v>830.0</v>
      </c>
      <c r="P36" s="127">
        <v>365.0</v>
      </c>
      <c r="Q36" s="128">
        <v>1.5364823E9</v>
      </c>
      <c r="R36" s="128">
        <v>3.995114467E8</v>
      </c>
      <c r="S36" s="128">
        <v>5.609923925E9</v>
      </c>
      <c r="T36" s="130">
        <v>7.54591767174E9</v>
      </c>
      <c r="U36" s="130">
        <v>1.191380767E7</v>
      </c>
      <c r="V36" s="131" t="s">
        <v>294</v>
      </c>
      <c r="W36" s="128">
        <v>2.0</v>
      </c>
      <c r="X36" s="127" t="s">
        <v>1600</v>
      </c>
      <c r="Y36" s="127" t="s">
        <v>1601</v>
      </c>
      <c r="Z36" s="127" t="s">
        <v>1674</v>
      </c>
      <c r="AA36" s="127">
        <v>26.0</v>
      </c>
      <c r="AB36" s="127" t="s">
        <v>1602</v>
      </c>
      <c r="AC36" s="127" t="s">
        <v>1603</v>
      </c>
      <c r="AD36" s="127"/>
      <c r="AE36" s="127"/>
    </row>
    <row r="37">
      <c r="A37" s="126">
        <v>3031.0</v>
      </c>
      <c r="B37" s="133" t="s">
        <v>2242</v>
      </c>
      <c r="C37" s="133" t="s">
        <v>49</v>
      </c>
      <c r="D37" s="133" t="s">
        <v>2245</v>
      </c>
      <c r="E37" s="133" t="s">
        <v>1610</v>
      </c>
      <c r="F37" s="133" t="s">
        <v>1581</v>
      </c>
      <c r="G37" s="133" t="s">
        <v>2246</v>
      </c>
      <c r="H37" s="133" t="s">
        <v>86</v>
      </c>
      <c r="I37" s="133" t="s">
        <v>2248</v>
      </c>
      <c r="J37" s="133" t="s">
        <v>96</v>
      </c>
      <c r="K37" s="134">
        <v>0.994</v>
      </c>
      <c r="L37" s="135">
        <v>44718.0</v>
      </c>
      <c r="M37" s="135">
        <v>44559.0</v>
      </c>
      <c r="N37" s="135">
        <v>45543.0</v>
      </c>
      <c r="O37" s="134">
        <v>825.0</v>
      </c>
      <c r="P37" s="133">
        <v>365.0</v>
      </c>
      <c r="Q37" s="134">
        <v>1.3603644E9</v>
      </c>
      <c r="R37" s="134">
        <v>2.311119973E8</v>
      </c>
      <c r="S37" s="134">
        <v>4.92933465E9</v>
      </c>
      <c r="T37" s="136">
        <v>6.52081104741E9</v>
      </c>
      <c r="U37" s="136">
        <v>1.477008257E7</v>
      </c>
      <c r="V37" s="137" t="s">
        <v>294</v>
      </c>
      <c r="W37" s="134">
        <v>1.0</v>
      </c>
      <c r="X37" s="133" t="s">
        <v>147</v>
      </c>
      <c r="Y37" s="133" t="s">
        <v>1601</v>
      </c>
      <c r="Z37" s="133" t="s">
        <v>96</v>
      </c>
      <c r="AA37" s="133">
        <v>25.0</v>
      </c>
      <c r="AB37" s="133" t="s">
        <v>1565</v>
      </c>
      <c r="AC37" s="133" t="s">
        <v>86</v>
      </c>
      <c r="AD37" s="133"/>
      <c r="AE37" s="133"/>
    </row>
    <row r="38">
      <c r="A38" s="138">
        <v>6350.0</v>
      </c>
      <c r="B38" s="127" t="s">
        <v>2259</v>
      </c>
      <c r="C38" s="127" t="s">
        <v>49</v>
      </c>
      <c r="D38" s="127" t="s">
        <v>2261</v>
      </c>
      <c r="E38" s="127" t="s">
        <v>1610</v>
      </c>
      <c r="F38" s="127" t="s">
        <v>1581</v>
      </c>
      <c r="G38" s="127" t="s">
        <v>1636</v>
      </c>
      <c r="H38" s="127" t="s">
        <v>86</v>
      </c>
      <c r="I38" s="127" t="s">
        <v>672</v>
      </c>
      <c r="J38" s="127" t="s">
        <v>112</v>
      </c>
      <c r="K38" s="128">
        <v>1.0</v>
      </c>
      <c r="L38" s="129">
        <v>45453.0</v>
      </c>
      <c r="M38" s="129">
        <v>45231.0</v>
      </c>
      <c r="N38" s="129">
        <v>45818.0</v>
      </c>
      <c r="O38" s="128">
        <v>365.0</v>
      </c>
      <c r="P38" s="127">
        <v>365.0</v>
      </c>
      <c r="Q38" s="128">
        <v>3.9507884E9</v>
      </c>
      <c r="R38" s="128">
        <v>0.0</v>
      </c>
      <c r="S38" s="128">
        <v>5.529557713E9</v>
      </c>
      <c r="T38" s="130">
        <v>9.48034611329E9</v>
      </c>
      <c r="U38" s="130">
        <v>1.080927059E7</v>
      </c>
      <c r="V38" s="131" t="s">
        <v>294</v>
      </c>
      <c r="W38" s="128">
        <v>1.0</v>
      </c>
      <c r="X38" s="127" t="s">
        <v>92</v>
      </c>
      <c r="Y38" s="127" t="s">
        <v>1601</v>
      </c>
      <c r="Z38" s="127" t="s">
        <v>112</v>
      </c>
      <c r="AA38" s="127">
        <v>12.0</v>
      </c>
      <c r="AB38" s="127" t="s">
        <v>1565</v>
      </c>
      <c r="AC38" s="127" t="s">
        <v>86</v>
      </c>
      <c r="AD38" s="127"/>
      <c r="AE38" s="127"/>
    </row>
    <row r="39">
      <c r="A39" s="132">
        <v>5713.0</v>
      </c>
      <c r="B39" s="133" t="s">
        <v>2272</v>
      </c>
      <c r="C39" s="133" t="s">
        <v>49</v>
      </c>
      <c r="D39" s="133" t="s">
        <v>2273</v>
      </c>
      <c r="E39" s="133" t="s">
        <v>1942</v>
      </c>
      <c r="F39" s="133" t="s">
        <v>1581</v>
      </c>
      <c r="G39" s="133" t="s">
        <v>1611</v>
      </c>
      <c r="H39" s="133" t="s">
        <v>86</v>
      </c>
      <c r="I39" s="133" t="s">
        <v>2277</v>
      </c>
      <c r="J39" s="133" t="s">
        <v>1664</v>
      </c>
      <c r="K39" s="134">
        <v>1.0</v>
      </c>
      <c r="L39" s="135">
        <v>44671.0</v>
      </c>
      <c r="M39" s="135">
        <v>44595.0</v>
      </c>
      <c r="N39" s="135">
        <v>45661.0</v>
      </c>
      <c r="O39" s="134">
        <v>990.0</v>
      </c>
      <c r="P39" s="133">
        <v>540.0</v>
      </c>
      <c r="Q39" s="134">
        <v>9.8998195E8</v>
      </c>
      <c r="R39" s="134">
        <v>7.334586807E8</v>
      </c>
      <c r="S39" s="134">
        <v>5.902247003E9</v>
      </c>
      <c r="T39" s="136">
        <v>7.62568763407E9</v>
      </c>
      <c r="U39" s="136">
        <v>1.559674779E7</v>
      </c>
      <c r="V39" s="137" t="s">
        <v>294</v>
      </c>
      <c r="W39" s="134">
        <v>1.0</v>
      </c>
      <c r="X39" s="133" t="s">
        <v>1600</v>
      </c>
      <c r="Y39" s="133" t="s">
        <v>1601</v>
      </c>
      <c r="Z39" s="133" t="s">
        <v>1664</v>
      </c>
      <c r="AA39" s="133">
        <v>3.0</v>
      </c>
      <c r="AB39" s="133" t="s">
        <v>1602</v>
      </c>
      <c r="AC39" s="133" t="s">
        <v>86</v>
      </c>
      <c r="AD39" s="133"/>
      <c r="AE39" s="133"/>
    </row>
    <row r="40">
      <c r="A40" s="126">
        <v>2497.0</v>
      </c>
      <c r="B40" s="127" t="s">
        <v>2287</v>
      </c>
      <c r="C40" s="127" t="s">
        <v>49</v>
      </c>
      <c r="D40" s="127" t="s">
        <v>2288</v>
      </c>
      <c r="E40" s="127" t="s">
        <v>1610</v>
      </c>
      <c r="F40" s="127" t="s">
        <v>1581</v>
      </c>
      <c r="G40" s="127" t="s">
        <v>2291</v>
      </c>
      <c r="H40" s="127" t="s">
        <v>86</v>
      </c>
      <c r="I40" s="127" t="s">
        <v>443</v>
      </c>
      <c r="J40" s="127" t="s">
        <v>122</v>
      </c>
      <c r="K40" s="128">
        <v>0.999</v>
      </c>
      <c r="L40" s="129">
        <v>44805.0</v>
      </c>
      <c r="M40" s="129">
        <v>44719.0</v>
      </c>
      <c r="N40" s="129">
        <v>45535.0</v>
      </c>
      <c r="O40" s="128">
        <v>730.0</v>
      </c>
      <c r="P40" s="127">
        <v>730.0</v>
      </c>
      <c r="Q40" s="128">
        <v>8.0897555E8</v>
      </c>
      <c r="R40" s="128">
        <v>0.0</v>
      </c>
      <c r="S40" s="128">
        <v>2.139377145E9</v>
      </c>
      <c r="T40" s="130">
        <v>2.94835269535E9</v>
      </c>
      <c r="U40" s="130">
        <v>6407727.13</v>
      </c>
      <c r="V40" s="131" t="s">
        <v>294</v>
      </c>
      <c r="W40" s="128">
        <v>1.0</v>
      </c>
      <c r="X40" s="127" t="s">
        <v>122</v>
      </c>
      <c r="Y40" s="127" t="s">
        <v>1601</v>
      </c>
      <c r="Z40" s="127" t="s">
        <v>122</v>
      </c>
      <c r="AA40" s="127">
        <v>27.0</v>
      </c>
      <c r="AB40" s="127" t="s">
        <v>1602</v>
      </c>
      <c r="AC40" s="127" t="s">
        <v>86</v>
      </c>
      <c r="AD40" s="127"/>
      <c r="AE40" s="127"/>
    </row>
    <row r="41">
      <c r="A41" s="132">
        <v>6171.0</v>
      </c>
      <c r="B41" s="133" t="s">
        <v>2300</v>
      </c>
      <c r="C41" s="133" t="s">
        <v>49</v>
      </c>
      <c r="D41" s="133" t="s">
        <v>2301</v>
      </c>
      <c r="E41" s="133" t="s">
        <v>1579</v>
      </c>
      <c r="F41" s="133" t="s">
        <v>1581</v>
      </c>
      <c r="G41" s="133" t="s">
        <v>2304</v>
      </c>
      <c r="H41" s="133" t="s">
        <v>86</v>
      </c>
      <c r="I41" s="133" t="s">
        <v>276</v>
      </c>
      <c r="J41" s="133" t="s">
        <v>52</v>
      </c>
      <c r="K41" s="134">
        <v>1.0</v>
      </c>
      <c r="L41" s="135">
        <v>45180.0</v>
      </c>
      <c r="M41" s="135">
        <v>44986.0</v>
      </c>
      <c r="N41" s="135">
        <v>45660.0</v>
      </c>
      <c r="O41" s="134">
        <v>480.0</v>
      </c>
      <c r="P41" s="133">
        <v>270.0</v>
      </c>
      <c r="Q41" s="134">
        <v>4.6364307E8</v>
      </c>
      <c r="R41" s="134">
        <v>0.0</v>
      </c>
      <c r="S41" s="134">
        <v>1.185429564E9</v>
      </c>
      <c r="T41" s="136">
        <v>1.64907263449E9</v>
      </c>
      <c r="U41" s="136">
        <v>2272760.15</v>
      </c>
      <c r="V41" s="137" t="s">
        <v>294</v>
      </c>
      <c r="W41" s="134">
        <v>1.0</v>
      </c>
      <c r="X41" s="133" t="s">
        <v>147</v>
      </c>
      <c r="Y41" s="133" t="s">
        <v>1601</v>
      </c>
      <c r="Z41" s="133" t="s">
        <v>52</v>
      </c>
      <c r="AA41" s="133">
        <v>18.0</v>
      </c>
      <c r="AB41" s="133" t="s">
        <v>1565</v>
      </c>
      <c r="AC41" s="133" t="s">
        <v>86</v>
      </c>
      <c r="AD41" s="133"/>
      <c r="AE41" s="133"/>
    </row>
    <row r="42">
      <c r="A42" s="138">
        <v>6127.0</v>
      </c>
      <c r="B42" s="127" t="s">
        <v>2314</v>
      </c>
      <c r="C42" s="127" t="s">
        <v>49</v>
      </c>
      <c r="D42" s="127" t="s">
        <v>2315</v>
      </c>
      <c r="E42" s="127" t="s">
        <v>1579</v>
      </c>
      <c r="F42" s="127" t="s">
        <v>1581</v>
      </c>
      <c r="G42" s="127" t="s">
        <v>2318</v>
      </c>
      <c r="H42" s="127" t="s">
        <v>86</v>
      </c>
      <c r="I42" s="127" t="s">
        <v>623</v>
      </c>
      <c r="J42" s="127" t="s">
        <v>120</v>
      </c>
      <c r="K42" s="128">
        <v>1.0</v>
      </c>
      <c r="L42" s="129">
        <v>45099.0</v>
      </c>
      <c r="M42" s="129">
        <v>44994.0</v>
      </c>
      <c r="N42" s="129">
        <v>45649.0</v>
      </c>
      <c r="O42" s="128">
        <v>550.0</v>
      </c>
      <c r="P42" s="127">
        <v>180.0</v>
      </c>
      <c r="Q42" s="128">
        <v>1.2509087E8</v>
      </c>
      <c r="R42" s="128">
        <v>3.750814544E7</v>
      </c>
      <c r="S42" s="128">
        <v>2.110898892E8</v>
      </c>
      <c r="T42" s="130">
        <v>3.7368890464E8</v>
      </c>
      <c r="U42" s="130">
        <v>786452.31</v>
      </c>
      <c r="V42" s="131" t="s">
        <v>294</v>
      </c>
      <c r="W42" s="128">
        <v>1.0</v>
      </c>
      <c r="X42" s="127" t="s">
        <v>1600</v>
      </c>
      <c r="Y42" s="127" t="s">
        <v>1601</v>
      </c>
      <c r="Z42" s="127" t="s">
        <v>120</v>
      </c>
      <c r="AA42" s="127">
        <v>26.0</v>
      </c>
      <c r="AB42" s="127" t="s">
        <v>1602</v>
      </c>
      <c r="AC42" s="127" t="s">
        <v>86</v>
      </c>
      <c r="AD42" s="127"/>
      <c r="AE42" s="127"/>
    </row>
    <row r="43">
      <c r="A43" s="132">
        <v>413.0</v>
      </c>
      <c r="B43" s="133" t="s">
        <v>2338</v>
      </c>
      <c r="C43" s="133" t="s">
        <v>49</v>
      </c>
      <c r="D43" s="133" t="s">
        <v>2340</v>
      </c>
      <c r="E43" s="133" t="s">
        <v>2175</v>
      </c>
      <c r="F43" s="133" t="s">
        <v>1581</v>
      </c>
      <c r="G43" s="133" t="s">
        <v>2003</v>
      </c>
      <c r="H43" s="133" t="s">
        <v>86</v>
      </c>
      <c r="I43" s="133" t="s">
        <v>443</v>
      </c>
      <c r="J43" s="133" t="s">
        <v>122</v>
      </c>
      <c r="K43" s="134">
        <v>1.0</v>
      </c>
      <c r="L43" s="135">
        <v>44627.0</v>
      </c>
      <c r="M43" s="135">
        <v>44482.0</v>
      </c>
      <c r="N43" s="135">
        <v>45462.0</v>
      </c>
      <c r="O43" s="134">
        <v>835.0</v>
      </c>
      <c r="P43" s="133">
        <v>180.0</v>
      </c>
      <c r="Q43" s="134">
        <v>7.3468616E7</v>
      </c>
      <c r="R43" s="134">
        <v>6.81756463E7</v>
      </c>
      <c r="S43" s="134">
        <v>3.420652191E8</v>
      </c>
      <c r="T43" s="136">
        <v>4.8370948139E8</v>
      </c>
      <c r="U43" s="136">
        <v>1358697.96</v>
      </c>
      <c r="V43" s="137" t="s">
        <v>294</v>
      </c>
      <c r="W43" s="134">
        <v>1.0</v>
      </c>
      <c r="X43" s="133" t="s">
        <v>122</v>
      </c>
      <c r="Y43" s="133" t="s">
        <v>1601</v>
      </c>
      <c r="Z43" s="133" t="s">
        <v>122</v>
      </c>
      <c r="AA43" s="133">
        <v>27.0</v>
      </c>
      <c r="AB43" s="133" t="s">
        <v>1602</v>
      </c>
      <c r="AC43" s="133" t="s">
        <v>86</v>
      </c>
      <c r="AD43" s="133"/>
      <c r="AE43" s="133"/>
    </row>
    <row r="44">
      <c r="A44" s="138">
        <v>3900.0</v>
      </c>
      <c r="B44" s="127" t="s">
        <v>2352</v>
      </c>
      <c r="C44" s="127" t="s">
        <v>49</v>
      </c>
      <c r="D44" s="127" t="s">
        <v>2354</v>
      </c>
      <c r="E44" s="127" t="s">
        <v>1942</v>
      </c>
      <c r="F44" s="127" t="s">
        <v>1581</v>
      </c>
      <c r="G44" s="127" t="s">
        <v>1611</v>
      </c>
      <c r="H44" s="127" t="s">
        <v>86</v>
      </c>
      <c r="I44" s="127" t="s">
        <v>2277</v>
      </c>
      <c r="J44" s="127" t="s">
        <v>1664</v>
      </c>
      <c r="K44" s="128">
        <v>0.988</v>
      </c>
      <c r="L44" s="129">
        <v>44593.0</v>
      </c>
      <c r="M44" s="129">
        <v>44468.0</v>
      </c>
      <c r="N44" s="129">
        <v>45408.0</v>
      </c>
      <c r="O44" s="128">
        <v>815.0</v>
      </c>
      <c r="P44" s="127">
        <v>365.0</v>
      </c>
      <c r="Q44" s="128">
        <v>4.9048736E8</v>
      </c>
      <c r="R44" s="128">
        <v>3.736562005E8</v>
      </c>
      <c r="S44" s="128">
        <v>8.209619538E8</v>
      </c>
      <c r="T44" s="130">
        <v>1.68510551438E9</v>
      </c>
      <c r="U44" s="130">
        <v>8329094.56</v>
      </c>
      <c r="V44" s="131" t="s">
        <v>294</v>
      </c>
      <c r="W44" s="128">
        <v>1.0</v>
      </c>
      <c r="X44" s="127" t="s">
        <v>1600</v>
      </c>
      <c r="Y44" s="127" t="s">
        <v>1601</v>
      </c>
      <c r="Z44" s="127" t="s">
        <v>1664</v>
      </c>
      <c r="AA44" s="127">
        <v>3.0</v>
      </c>
      <c r="AB44" s="127" t="s">
        <v>1602</v>
      </c>
      <c r="AC44" s="127" t="s">
        <v>86</v>
      </c>
      <c r="AD44" s="127"/>
      <c r="AE44" s="127"/>
    </row>
    <row r="45">
      <c r="A45" s="132">
        <v>3572.0</v>
      </c>
      <c r="B45" s="133" t="s">
        <v>2362</v>
      </c>
      <c r="C45" s="133" t="s">
        <v>49</v>
      </c>
      <c r="D45" s="133" t="s">
        <v>2364</v>
      </c>
      <c r="E45" s="133" t="s">
        <v>1610</v>
      </c>
      <c r="F45" s="133" t="s">
        <v>1581</v>
      </c>
      <c r="G45" s="133" t="s">
        <v>1636</v>
      </c>
      <c r="H45" s="133" t="s">
        <v>86</v>
      </c>
      <c r="I45" s="133" t="s">
        <v>462</v>
      </c>
      <c r="J45" s="133" t="s">
        <v>1839</v>
      </c>
      <c r="K45" s="134">
        <v>0.993</v>
      </c>
      <c r="L45" s="135">
        <v>44362.0</v>
      </c>
      <c r="M45" s="135">
        <v>44216.0</v>
      </c>
      <c r="N45" s="135">
        <v>45487.0</v>
      </c>
      <c r="O45" s="134">
        <v>1125.0</v>
      </c>
      <c r="P45" s="133">
        <v>240.0</v>
      </c>
      <c r="Q45" s="134">
        <v>1.2667517E8</v>
      </c>
      <c r="R45" s="134">
        <v>1.52636121E8</v>
      </c>
      <c r="S45" s="134">
        <v>5.641499339E8</v>
      </c>
      <c r="T45" s="136">
        <v>8.434612249E8</v>
      </c>
      <c r="U45" s="136">
        <v>3060945.65</v>
      </c>
      <c r="V45" s="137" t="s">
        <v>294</v>
      </c>
      <c r="W45" s="134">
        <v>1.0</v>
      </c>
      <c r="X45" s="133" t="s">
        <v>1600</v>
      </c>
      <c r="Y45" s="133" t="s">
        <v>1601</v>
      </c>
      <c r="Z45" s="133" t="s">
        <v>1839</v>
      </c>
      <c r="AA45" s="133">
        <v>17.0</v>
      </c>
      <c r="AB45" s="133" t="s">
        <v>1602</v>
      </c>
      <c r="AC45" s="133" t="s">
        <v>86</v>
      </c>
      <c r="AD45" s="133"/>
      <c r="AE45" s="133"/>
    </row>
    <row r="46">
      <c r="A46" s="138">
        <v>5353.0</v>
      </c>
      <c r="B46" s="127" t="s">
        <v>2377</v>
      </c>
      <c r="C46" s="127" t="s">
        <v>49</v>
      </c>
      <c r="D46" s="127" t="s">
        <v>2379</v>
      </c>
      <c r="E46" s="127" t="s">
        <v>1610</v>
      </c>
      <c r="F46" s="127" t="s">
        <v>1581</v>
      </c>
      <c r="G46" s="127" t="s">
        <v>2381</v>
      </c>
      <c r="H46" s="127" t="s">
        <v>86</v>
      </c>
      <c r="I46" s="127" t="s">
        <v>443</v>
      </c>
      <c r="J46" s="127" t="s">
        <v>1664</v>
      </c>
      <c r="K46" s="128">
        <v>1.0</v>
      </c>
      <c r="L46" s="129">
        <v>44888.0</v>
      </c>
      <c r="M46" s="129">
        <v>44798.0</v>
      </c>
      <c r="N46" s="129">
        <v>45638.0</v>
      </c>
      <c r="O46" s="128">
        <v>750.0</v>
      </c>
      <c r="P46" s="127">
        <v>180.0</v>
      </c>
      <c r="Q46" s="128">
        <v>5.5447366E8</v>
      </c>
      <c r="R46" s="128">
        <v>1.514186729E8</v>
      </c>
      <c r="S46" s="128">
        <v>1.152452617E9</v>
      </c>
      <c r="T46" s="130">
        <v>1.85834494949E9</v>
      </c>
      <c r="U46" s="130">
        <v>4902030.09</v>
      </c>
      <c r="V46" s="131" t="s">
        <v>294</v>
      </c>
      <c r="W46" s="128">
        <v>1.0</v>
      </c>
      <c r="X46" s="127" t="s">
        <v>1600</v>
      </c>
      <c r="Y46" s="127" t="s">
        <v>1601</v>
      </c>
      <c r="Z46" s="127" t="s">
        <v>1664</v>
      </c>
      <c r="AA46" s="127">
        <v>3.0</v>
      </c>
      <c r="AB46" s="127" t="s">
        <v>1602</v>
      </c>
      <c r="AC46" s="127" t="s">
        <v>86</v>
      </c>
      <c r="AD46" s="127"/>
      <c r="AE46" s="127"/>
    </row>
    <row r="47">
      <c r="A47" s="132">
        <v>5815.0</v>
      </c>
      <c r="B47" s="133" t="s">
        <v>2390</v>
      </c>
      <c r="C47" s="133" t="s">
        <v>49</v>
      </c>
      <c r="D47" s="133" t="s">
        <v>2391</v>
      </c>
      <c r="E47" s="133" t="s">
        <v>1579</v>
      </c>
      <c r="F47" s="133" t="s">
        <v>1581</v>
      </c>
      <c r="G47" s="133" t="s">
        <v>1817</v>
      </c>
      <c r="H47" s="133" t="s">
        <v>86</v>
      </c>
      <c r="I47" s="133" t="s">
        <v>188</v>
      </c>
      <c r="J47" s="133" t="s">
        <v>1674</v>
      </c>
      <c r="K47" s="134">
        <v>1.0</v>
      </c>
      <c r="L47" s="135">
        <v>44972.0</v>
      </c>
      <c r="M47" s="135">
        <v>44797.0</v>
      </c>
      <c r="N47" s="135">
        <v>45602.0</v>
      </c>
      <c r="O47" s="134">
        <v>630.0</v>
      </c>
      <c r="P47" s="133">
        <v>180.0</v>
      </c>
      <c r="Q47" s="134">
        <v>3.1089165E8</v>
      </c>
      <c r="R47" s="134">
        <v>0.0</v>
      </c>
      <c r="S47" s="134">
        <v>1.024303076E9</v>
      </c>
      <c r="T47" s="136">
        <v>1.33519472589E9</v>
      </c>
      <c r="U47" s="136">
        <v>2158969.79</v>
      </c>
      <c r="V47" s="137" t="s">
        <v>294</v>
      </c>
      <c r="W47" s="134">
        <v>1.0</v>
      </c>
      <c r="X47" s="133" t="s">
        <v>1600</v>
      </c>
      <c r="Y47" s="133" t="s">
        <v>1601</v>
      </c>
      <c r="Z47" s="133" t="s">
        <v>1674</v>
      </c>
      <c r="AA47" s="133">
        <v>26.0</v>
      </c>
      <c r="AB47" s="133" t="s">
        <v>1602</v>
      </c>
      <c r="AC47" s="133" t="s">
        <v>86</v>
      </c>
      <c r="AD47" s="133"/>
      <c r="AE47" s="133"/>
    </row>
    <row r="48">
      <c r="A48" s="138">
        <v>5394.0</v>
      </c>
      <c r="B48" s="127" t="s">
        <v>2401</v>
      </c>
      <c r="C48" s="127" t="s">
        <v>49</v>
      </c>
      <c r="D48" s="127" t="s">
        <v>2402</v>
      </c>
      <c r="E48" s="127" t="s">
        <v>1610</v>
      </c>
      <c r="F48" s="127" t="s">
        <v>1581</v>
      </c>
      <c r="G48" s="127" t="s">
        <v>1838</v>
      </c>
      <c r="H48" s="127" t="s">
        <v>86</v>
      </c>
      <c r="I48" s="127" t="s">
        <v>370</v>
      </c>
      <c r="J48" s="127" t="s">
        <v>1683</v>
      </c>
      <c r="K48" s="128">
        <v>1.0</v>
      </c>
      <c r="L48" s="129">
        <v>44852.0</v>
      </c>
      <c r="M48" s="129">
        <v>44676.0</v>
      </c>
      <c r="N48" s="129">
        <v>45607.0</v>
      </c>
      <c r="O48" s="128">
        <v>755.0</v>
      </c>
      <c r="P48" s="127">
        <v>365.0</v>
      </c>
      <c r="Q48" s="128">
        <v>8.3069126E8</v>
      </c>
      <c r="R48" s="128">
        <v>7.030054485E8</v>
      </c>
      <c r="S48" s="128">
        <v>3.147512205E9</v>
      </c>
      <c r="T48" s="130">
        <v>4.68120891342E9</v>
      </c>
      <c r="U48" s="130">
        <v>1.283428208E7</v>
      </c>
      <c r="V48" s="131" t="s">
        <v>294</v>
      </c>
      <c r="W48" s="128">
        <v>1.0</v>
      </c>
      <c r="X48" s="127" t="s">
        <v>1600</v>
      </c>
      <c r="Y48" s="127" t="s">
        <v>1601</v>
      </c>
      <c r="Z48" s="127" t="s">
        <v>1683</v>
      </c>
      <c r="AA48" s="127">
        <v>9.0</v>
      </c>
      <c r="AB48" s="127" t="s">
        <v>1602</v>
      </c>
      <c r="AC48" s="127" t="s">
        <v>86</v>
      </c>
      <c r="AD48" s="127"/>
      <c r="AE48" s="127"/>
    </row>
    <row r="49">
      <c r="A49" s="132">
        <v>5399.0</v>
      </c>
      <c r="B49" s="133" t="s">
        <v>2410</v>
      </c>
      <c r="C49" s="133" t="s">
        <v>49</v>
      </c>
      <c r="D49" s="133" t="s">
        <v>2413</v>
      </c>
      <c r="E49" s="133" t="s">
        <v>1610</v>
      </c>
      <c r="F49" s="133" t="s">
        <v>1581</v>
      </c>
      <c r="G49" s="133" t="s">
        <v>1838</v>
      </c>
      <c r="H49" s="133" t="s">
        <v>86</v>
      </c>
      <c r="I49" s="133" t="s">
        <v>2415</v>
      </c>
      <c r="J49" s="133" t="s">
        <v>1683</v>
      </c>
      <c r="K49" s="134">
        <v>1.0</v>
      </c>
      <c r="L49" s="135">
        <v>44743.0</v>
      </c>
      <c r="M49" s="135">
        <v>44594.0</v>
      </c>
      <c r="N49" s="135">
        <v>45598.0</v>
      </c>
      <c r="O49" s="134">
        <v>855.0</v>
      </c>
      <c r="P49" s="133">
        <v>365.0</v>
      </c>
      <c r="Q49" s="134">
        <v>6.599728E8</v>
      </c>
      <c r="R49" s="134">
        <v>5.621223222E8</v>
      </c>
      <c r="S49" s="134">
        <v>3.392401002E9</v>
      </c>
      <c r="T49" s="136">
        <v>4.61449612456E9</v>
      </c>
      <c r="U49" s="136">
        <v>1.108476301E7</v>
      </c>
      <c r="V49" s="137" t="s">
        <v>294</v>
      </c>
      <c r="W49" s="134">
        <v>1.0</v>
      </c>
      <c r="X49" s="133" t="s">
        <v>1600</v>
      </c>
      <c r="Y49" s="133" t="s">
        <v>1601</v>
      </c>
      <c r="Z49" s="133" t="s">
        <v>1683</v>
      </c>
      <c r="AA49" s="133">
        <v>9.0</v>
      </c>
      <c r="AB49" s="133" t="s">
        <v>1602</v>
      </c>
      <c r="AC49" s="133" t="s">
        <v>86</v>
      </c>
      <c r="AD49" s="133"/>
      <c r="AE49" s="133"/>
    </row>
    <row r="50">
      <c r="A50" s="126">
        <v>2494.0</v>
      </c>
      <c r="B50" s="127" t="s">
        <v>2422</v>
      </c>
      <c r="C50" s="127" t="s">
        <v>49</v>
      </c>
      <c r="D50" s="127" t="s">
        <v>2425</v>
      </c>
      <c r="E50" s="127" t="s">
        <v>1610</v>
      </c>
      <c r="F50" s="127" t="s">
        <v>1581</v>
      </c>
      <c r="G50" s="127" t="s">
        <v>2291</v>
      </c>
      <c r="H50" s="127" t="s">
        <v>86</v>
      </c>
      <c r="I50" s="127" t="s">
        <v>443</v>
      </c>
      <c r="J50" s="127" t="s">
        <v>122</v>
      </c>
      <c r="K50" s="128">
        <v>0.999</v>
      </c>
      <c r="L50" s="129">
        <v>44820.0</v>
      </c>
      <c r="M50" s="129">
        <v>44718.0</v>
      </c>
      <c r="N50" s="129">
        <v>45600.0</v>
      </c>
      <c r="O50" s="128">
        <v>780.0</v>
      </c>
      <c r="P50" s="127">
        <v>730.0</v>
      </c>
      <c r="Q50" s="128">
        <v>9.5610163E8</v>
      </c>
      <c r="R50" s="128">
        <v>0.0</v>
      </c>
      <c r="S50" s="128">
        <v>2.368206495E9</v>
      </c>
      <c r="T50" s="130">
        <v>3.32430812541E9</v>
      </c>
      <c r="U50" s="130">
        <v>7573082.22</v>
      </c>
      <c r="V50" s="131" t="s">
        <v>294</v>
      </c>
      <c r="W50" s="128">
        <v>1.0</v>
      </c>
      <c r="X50" s="127" t="s">
        <v>122</v>
      </c>
      <c r="Y50" s="127" t="s">
        <v>1601</v>
      </c>
      <c r="Z50" s="127" t="s">
        <v>122</v>
      </c>
      <c r="AA50" s="127">
        <v>27.0</v>
      </c>
      <c r="AB50" s="127" t="s">
        <v>1602</v>
      </c>
      <c r="AC50" s="127" t="s">
        <v>86</v>
      </c>
      <c r="AD50" s="127"/>
      <c r="AE50" s="127"/>
    </row>
    <row r="51">
      <c r="A51" s="126">
        <v>3031.0</v>
      </c>
      <c r="B51" s="133" t="s">
        <v>2434</v>
      </c>
      <c r="C51" s="133" t="s">
        <v>49</v>
      </c>
      <c r="D51" s="133" t="s">
        <v>2436</v>
      </c>
      <c r="E51" s="133" t="s">
        <v>1610</v>
      </c>
      <c r="F51" s="133" t="s">
        <v>1581</v>
      </c>
      <c r="G51" s="133" t="s">
        <v>2246</v>
      </c>
      <c r="H51" s="133" t="s">
        <v>86</v>
      </c>
      <c r="I51" s="133" t="s">
        <v>2248</v>
      </c>
      <c r="J51" s="133" t="s">
        <v>96</v>
      </c>
      <c r="K51" s="134">
        <v>0.996</v>
      </c>
      <c r="L51" s="135">
        <v>44946.0</v>
      </c>
      <c r="M51" s="135">
        <v>44776.0</v>
      </c>
      <c r="N51" s="135">
        <v>45571.0</v>
      </c>
      <c r="O51" s="134">
        <v>625.0</v>
      </c>
      <c r="P51" s="133">
        <v>365.0</v>
      </c>
      <c r="Q51" s="134">
        <v>1.4999393E9</v>
      </c>
      <c r="R51" s="134">
        <v>2.859920281E8</v>
      </c>
      <c r="S51" s="134">
        <v>6.671840412E9</v>
      </c>
      <c r="T51" s="136">
        <v>8.45777174016E9</v>
      </c>
      <c r="U51" s="136">
        <v>1.287157714E7</v>
      </c>
      <c r="V51" s="137" t="s">
        <v>294</v>
      </c>
      <c r="W51" s="134">
        <v>1.0</v>
      </c>
      <c r="X51" s="133" t="s">
        <v>147</v>
      </c>
      <c r="Y51" s="133" t="s">
        <v>1601</v>
      </c>
      <c r="Z51" s="133" t="s">
        <v>96</v>
      </c>
      <c r="AA51" s="133">
        <v>25.0</v>
      </c>
      <c r="AB51" s="133" t="s">
        <v>1565</v>
      </c>
      <c r="AC51" s="133" t="s">
        <v>86</v>
      </c>
      <c r="AD51" s="133"/>
      <c r="AE51" s="133"/>
    </row>
    <row r="52">
      <c r="A52" s="138">
        <v>4502.0</v>
      </c>
      <c r="B52" s="127" t="s">
        <v>2443</v>
      </c>
      <c r="C52" s="127" t="s">
        <v>49</v>
      </c>
      <c r="D52" s="127" t="s">
        <v>2446</v>
      </c>
      <c r="E52" s="127" t="s">
        <v>1610</v>
      </c>
      <c r="F52" s="127" t="s">
        <v>1581</v>
      </c>
      <c r="G52" s="127" t="s">
        <v>1636</v>
      </c>
      <c r="H52" s="127" t="s">
        <v>86</v>
      </c>
      <c r="I52" s="127" t="s">
        <v>443</v>
      </c>
      <c r="J52" s="127" t="s">
        <v>122</v>
      </c>
      <c r="K52" s="128">
        <v>1.0</v>
      </c>
      <c r="L52" s="129">
        <v>44839.0</v>
      </c>
      <c r="M52" s="129">
        <v>44642.0</v>
      </c>
      <c r="N52" s="129">
        <v>45324.0</v>
      </c>
      <c r="O52" s="128">
        <v>485.0</v>
      </c>
      <c r="P52" s="127">
        <v>365.0</v>
      </c>
      <c r="Q52" s="128">
        <v>2.8772986E8</v>
      </c>
      <c r="R52" s="128">
        <v>0.0</v>
      </c>
      <c r="S52" s="128">
        <v>6.498754699E8</v>
      </c>
      <c r="T52" s="130">
        <v>9.3760532989E8</v>
      </c>
      <c r="U52" s="130">
        <v>2496571.45</v>
      </c>
      <c r="V52" s="131" t="s">
        <v>294</v>
      </c>
      <c r="W52" s="128">
        <v>1.0</v>
      </c>
      <c r="X52" s="127" t="s">
        <v>122</v>
      </c>
      <c r="Y52" s="127" t="s">
        <v>1601</v>
      </c>
      <c r="Z52" s="127" t="s">
        <v>122</v>
      </c>
      <c r="AA52" s="127">
        <v>27.0</v>
      </c>
      <c r="AB52" s="127" t="s">
        <v>1602</v>
      </c>
      <c r="AC52" s="127" t="s">
        <v>86</v>
      </c>
      <c r="AD52" s="127"/>
      <c r="AE52" s="127"/>
    </row>
    <row r="53">
      <c r="A53" s="126">
        <v>3221.0</v>
      </c>
      <c r="B53" s="133" t="s">
        <v>2453</v>
      </c>
      <c r="C53" s="133" t="s">
        <v>49</v>
      </c>
      <c r="D53" s="133" t="s">
        <v>2455</v>
      </c>
      <c r="F53" s="133" t="s">
        <v>1581</v>
      </c>
      <c r="G53" s="133" t="s">
        <v>1669</v>
      </c>
      <c r="H53" s="133" t="s">
        <v>86</v>
      </c>
      <c r="I53" s="133" t="s">
        <v>443</v>
      </c>
      <c r="J53" s="133" t="s">
        <v>122</v>
      </c>
      <c r="K53" s="134">
        <v>0.986</v>
      </c>
      <c r="L53" s="135">
        <v>43619.0</v>
      </c>
      <c r="M53" s="135">
        <v>43453.0</v>
      </c>
      <c r="N53" s="135">
        <v>45567.0</v>
      </c>
      <c r="O53" s="134">
        <v>1948.0</v>
      </c>
      <c r="P53" s="133" t="s">
        <v>2465</v>
      </c>
      <c r="Q53" s="134">
        <v>1.5967331E8</v>
      </c>
      <c r="R53" s="134">
        <v>2.03062135E8</v>
      </c>
      <c r="S53" s="134">
        <v>1.791041649E9</v>
      </c>
      <c r="T53" s="136">
        <v>2.1537770941E9</v>
      </c>
      <c r="U53" s="136">
        <v>9253455.23</v>
      </c>
      <c r="V53" s="137" t="s">
        <v>294</v>
      </c>
      <c r="W53" s="134">
        <v>1.0</v>
      </c>
      <c r="X53" s="133" t="s">
        <v>122</v>
      </c>
      <c r="Y53" s="133" t="s">
        <v>1601</v>
      </c>
      <c r="Z53" s="133" t="s">
        <v>122</v>
      </c>
      <c r="AA53" s="133">
        <v>27.0</v>
      </c>
      <c r="AB53" s="133" t="s">
        <v>1602</v>
      </c>
      <c r="AC53" s="133" t="s">
        <v>86</v>
      </c>
      <c r="AD53" s="133"/>
      <c r="AE53" s="133"/>
    </row>
    <row r="54">
      <c r="A54" s="138">
        <v>5384.0</v>
      </c>
      <c r="B54" s="127" t="s">
        <v>2472</v>
      </c>
      <c r="C54" s="127" t="s">
        <v>49</v>
      </c>
      <c r="D54" s="127" t="s">
        <v>2473</v>
      </c>
      <c r="E54" s="127" t="s">
        <v>1610</v>
      </c>
      <c r="F54" s="127" t="s">
        <v>1581</v>
      </c>
      <c r="G54" s="127" t="s">
        <v>1611</v>
      </c>
      <c r="H54" s="127" t="s">
        <v>86</v>
      </c>
      <c r="I54" s="127" t="s">
        <v>2475</v>
      </c>
      <c r="J54" s="127" t="s">
        <v>1839</v>
      </c>
      <c r="K54" s="128">
        <v>0.996</v>
      </c>
      <c r="L54" s="129">
        <v>44743.0</v>
      </c>
      <c r="M54" s="129">
        <v>44627.0</v>
      </c>
      <c r="N54" s="129">
        <v>45558.0</v>
      </c>
      <c r="O54" s="128">
        <v>815.0</v>
      </c>
      <c r="P54" s="127">
        <v>365.0</v>
      </c>
      <c r="Q54" s="128">
        <v>7.7208064E8</v>
      </c>
      <c r="R54" s="128">
        <v>6.868414886E8</v>
      </c>
      <c r="S54" s="128">
        <v>1.413541761E9</v>
      </c>
      <c r="T54" s="130">
        <v>2.87246388942E9</v>
      </c>
      <c r="U54" s="130">
        <v>1.282568904E7</v>
      </c>
      <c r="V54" s="131" t="s">
        <v>294</v>
      </c>
      <c r="W54" s="128">
        <v>1.0</v>
      </c>
      <c r="X54" s="127" t="s">
        <v>1600</v>
      </c>
      <c r="Y54" s="127" t="s">
        <v>1601</v>
      </c>
      <c r="Z54" s="127" t="s">
        <v>1839</v>
      </c>
      <c r="AA54" s="127">
        <v>17.0</v>
      </c>
      <c r="AB54" s="127" t="s">
        <v>1602</v>
      </c>
      <c r="AC54" s="127" t="s">
        <v>86</v>
      </c>
      <c r="AD54" s="127"/>
      <c r="AE54" s="127"/>
    </row>
    <row r="55">
      <c r="A55" s="132">
        <v>5714.0</v>
      </c>
      <c r="B55" s="133" t="s">
        <v>2480</v>
      </c>
      <c r="C55" s="133" t="s">
        <v>49</v>
      </c>
      <c r="D55" s="133" t="s">
        <v>2483</v>
      </c>
      <c r="E55" s="133" t="s">
        <v>1610</v>
      </c>
      <c r="F55" s="133" t="s">
        <v>1581</v>
      </c>
      <c r="G55" s="133" t="s">
        <v>1611</v>
      </c>
      <c r="H55" s="133" t="s">
        <v>86</v>
      </c>
      <c r="I55" s="133" t="s">
        <v>2485</v>
      </c>
      <c r="J55" s="133" t="s">
        <v>1646</v>
      </c>
      <c r="K55" s="134">
        <v>0.997</v>
      </c>
      <c r="L55" s="135">
        <v>44837.0</v>
      </c>
      <c r="M55" s="135">
        <v>44652.0</v>
      </c>
      <c r="N55" s="135">
        <v>45562.0</v>
      </c>
      <c r="O55" s="134">
        <v>725.0</v>
      </c>
      <c r="P55" s="133">
        <v>365.0</v>
      </c>
      <c r="Q55" s="134">
        <v>8.650256E8</v>
      </c>
      <c r="R55" s="134">
        <v>2.574719937E8</v>
      </c>
      <c r="S55" s="134">
        <v>1.853268595E9</v>
      </c>
      <c r="T55" s="136">
        <v>2.97576618834E9</v>
      </c>
      <c r="U55" s="136">
        <v>9655893.28</v>
      </c>
      <c r="V55" s="137" t="s">
        <v>294</v>
      </c>
      <c r="W55" s="134">
        <v>1.0</v>
      </c>
      <c r="X55" s="133" t="s">
        <v>1600</v>
      </c>
      <c r="Y55" s="133" t="s">
        <v>1601</v>
      </c>
      <c r="Z55" s="133" t="s">
        <v>1646</v>
      </c>
      <c r="AA55" s="133">
        <v>14.0</v>
      </c>
      <c r="AB55" s="133" t="s">
        <v>1602</v>
      </c>
      <c r="AC55" s="133" t="s">
        <v>86</v>
      </c>
      <c r="AD55" s="133"/>
      <c r="AE55" s="133"/>
    </row>
    <row r="56">
      <c r="A56" s="138">
        <v>5387.0</v>
      </c>
      <c r="B56" s="127" t="s">
        <v>2491</v>
      </c>
      <c r="C56" s="127" t="s">
        <v>49</v>
      </c>
      <c r="D56" s="127" t="s">
        <v>2494</v>
      </c>
      <c r="E56" s="127" t="s">
        <v>1610</v>
      </c>
      <c r="F56" s="127" t="s">
        <v>1581</v>
      </c>
      <c r="G56" s="127" t="s">
        <v>1611</v>
      </c>
      <c r="H56" s="127" t="s">
        <v>86</v>
      </c>
      <c r="I56" s="127" t="s">
        <v>1646</v>
      </c>
      <c r="J56" s="127" t="s">
        <v>1646</v>
      </c>
      <c r="K56" s="128">
        <v>0.999</v>
      </c>
      <c r="L56" s="129">
        <v>44733.0</v>
      </c>
      <c r="M56" s="129">
        <v>44641.0</v>
      </c>
      <c r="N56" s="129">
        <v>45548.0</v>
      </c>
      <c r="O56" s="128">
        <v>815.0</v>
      </c>
      <c r="P56" s="127">
        <v>365.0</v>
      </c>
      <c r="Q56" s="128">
        <v>8.400357E8</v>
      </c>
      <c r="R56" s="128">
        <v>7.487622757E8</v>
      </c>
      <c r="S56" s="128">
        <v>1.618372321E9</v>
      </c>
      <c r="T56" s="130">
        <v>3.20717029705E9</v>
      </c>
      <c r="U56" s="130">
        <v>1.381563457E7</v>
      </c>
      <c r="V56" s="131" t="s">
        <v>294</v>
      </c>
      <c r="W56" s="128">
        <v>1.0</v>
      </c>
      <c r="X56" s="127" t="s">
        <v>1600</v>
      </c>
      <c r="Y56" s="127" t="s">
        <v>1601</v>
      </c>
      <c r="Z56" s="127" t="s">
        <v>1646</v>
      </c>
      <c r="AA56" s="127">
        <v>14.0</v>
      </c>
      <c r="AB56" s="127" t="s">
        <v>1602</v>
      </c>
      <c r="AC56" s="127" t="s">
        <v>86</v>
      </c>
      <c r="AD56" s="127"/>
      <c r="AE56" s="127"/>
    </row>
    <row r="57">
      <c r="A57" s="132">
        <v>4877.0</v>
      </c>
      <c r="B57" s="133" t="s">
        <v>2505</v>
      </c>
      <c r="C57" s="133" t="s">
        <v>49</v>
      </c>
      <c r="D57" s="133" t="s">
        <v>2507</v>
      </c>
      <c r="E57" s="133" t="s">
        <v>1610</v>
      </c>
      <c r="F57" s="133" t="s">
        <v>1581</v>
      </c>
      <c r="G57" s="133" t="s">
        <v>1611</v>
      </c>
      <c r="H57" s="133" t="s">
        <v>86</v>
      </c>
      <c r="I57" s="133" t="s">
        <v>2509</v>
      </c>
      <c r="J57" s="133" t="s">
        <v>1747</v>
      </c>
      <c r="K57" s="134">
        <v>0.992</v>
      </c>
      <c r="L57" s="135">
        <v>44454.0</v>
      </c>
      <c r="M57" s="135">
        <v>44370.0</v>
      </c>
      <c r="N57" s="135">
        <v>45569.0</v>
      </c>
      <c r="O57" s="134">
        <v>1115.0</v>
      </c>
      <c r="P57" s="133">
        <v>365.0</v>
      </c>
      <c r="Q57" s="134">
        <v>6.1434477E8</v>
      </c>
      <c r="R57" s="134">
        <v>3.623576557E8</v>
      </c>
      <c r="S57" s="134">
        <v>8.347595825E8</v>
      </c>
      <c r="T57" s="136">
        <v>1.81146200825E9</v>
      </c>
      <c r="U57" s="136">
        <v>9718432.1</v>
      </c>
      <c r="V57" s="137" t="s">
        <v>294</v>
      </c>
      <c r="W57" s="134">
        <v>1.0</v>
      </c>
      <c r="X57" s="133" t="s">
        <v>1600</v>
      </c>
      <c r="Y57" s="133" t="s">
        <v>1601</v>
      </c>
      <c r="Z57" s="133" t="s">
        <v>1747</v>
      </c>
      <c r="AA57" s="133">
        <v>6.0</v>
      </c>
      <c r="AB57" s="133" t="s">
        <v>1602</v>
      </c>
      <c r="AC57" s="133" t="s">
        <v>86</v>
      </c>
      <c r="AD57" s="133"/>
      <c r="AE57" s="133"/>
    </row>
    <row r="58">
      <c r="A58" s="126">
        <v>5345.0</v>
      </c>
      <c r="B58" s="127" t="s">
        <v>2517</v>
      </c>
      <c r="C58" s="127" t="s">
        <v>49</v>
      </c>
      <c r="D58" s="127" t="s">
        <v>2519</v>
      </c>
      <c r="E58" s="127" t="s">
        <v>1756</v>
      </c>
      <c r="F58" s="127" t="s">
        <v>1581</v>
      </c>
      <c r="G58" s="127" t="s">
        <v>1669</v>
      </c>
      <c r="H58" s="127" t="s">
        <v>86</v>
      </c>
      <c r="I58" s="127" t="s">
        <v>2023</v>
      </c>
      <c r="J58" s="127" t="s">
        <v>1747</v>
      </c>
      <c r="K58" s="128">
        <v>1.0</v>
      </c>
      <c r="L58" s="129">
        <v>44824.0</v>
      </c>
      <c r="M58" s="129">
        <v>44734.0</v>
      </c>
      <c r="N58" s="129">
        <v>45569.0</v>
      </c>
      <c r="O58" s="128">
        <v>745.0</v>
      </c>
      <c r="P58" s="127">
        <v>365.0</v>
      </c>
      <c r="Q58" s="128">
        <v>5.3031597E8</v>
      </c>
      <c r="R58" s="128">
        <v>0.0</v>
      </c>
      <c r="S58" s="128">
        <v>7.885161903E8</v>
      </c>
      <c r="T58" s="130">
        <v>1.31883216033E9</v>
      </c>
      <c r="U58" s="130">
        <v>4126972.53</v>
      </c>
      <c r="V58" s="131" t="s">
        <v>294</v>
      </c>
      <c r="W58" s="128">
        <v>1.0</v>
      </c>
      <c r="X58" s="127" t="s">
        <v>1600</v>
      </c>
      <c r="Y58" s="127" t="s">
        <v>1601</v>
      </c>
      <c r="Z58" s="127" t="s">
        <v>1747</v>
      </c>
      <c r="AA58" s="127">
        <v>6.0</v>
      </c>
      <c r="AB58" s="127" t="s">
        <v>1602</v>
      </c>
      <c r="AC58" s="127" t="s">
        <v>86</v>
      </c>
      <c r="AD58" s="127"/>
      <c r="AE58" s="127"/>
    </row>
    <row r="59">
      <c r="A59" s="126">
        <v>2495.0</v>
      </c>
      <c r="B59" s="133" t="s">
        <v>2527</v>
      </c>
      <c r="C59" s="133" t="s">
        <v>49</v>
      </c>
      <c r="D59" s="133" t="s">
        <v>2530</v>
      </c>
      <c r="E59" s="133" t="s">
        <v>1610</v>
      </c>
      <c r="F59" s="133" t="s">
        <v>1581</v>
      </c>
      <c r="G59" s="133" t="s">
        <v>2291</v>
      </c>
      <c r="H59" s="133" t="s">
        <v>86</v>
      </c>
      <c r="I59" s="133" t="s">
        <v>443</v>
      </c>
      <c r="J59" s="133" t="s">
        <v>122</v>
      </c>
      <c r="K59" s="134">
        <v>0.999</v>
      </c>
      <c r="L59" s="135">
        <v>44805.0</v>
      </c>
      <c r="M59" s="135">
        <v>44740.0</v>
      </c>
      <c r="N59" s="135">
        <v>45535.0</v>
      </c>
      <c r="O59" s="134">
        <v>730.0</v>
      </c>
      <c r="P59" s="133">
        <v>730.0</v>
      </c>
      <c r="Q59" s="134">
        <v>7.50536E8</v>
      </c>
      <c r="R59" s="134">
        <v>0.0</v>
      </c>
      <c r="S59" s="134">
        <v>2.338252102E9</v>
      </c>
      <c r="T59" s="136">
        <v>3.08878810152E9</v>
      </c>
      <c r="U59" s="136">
        <v>5784477.84</v>
      </c>
      <c r="V59" s="137" t="s">
        <v>294</v>
      </c>
      <c r="W59" s="134">
        <v>1.0</v>
      </c>
      <c r="X59" s="133" t="s">
        <v>122</v>
      </c>
      <c r="Y59" s="133" t="s">
        <v>1601</v>
      </c>
      <c r="Z59" s="133" t="s">
        <v>122</v>
      </c>
      <c r="AA59" s="133">
        <v>27.0</v>
      </c>
      <c r="AB59" s="133" t="s">
        <v>1602</v>
      </c>
      <c r="AC59" s="133" t="s">
        <v>86</v>
      </c>
      <c r="AD59" s="133"/>
      <c r="AE59" s="133"/>
    </row>
    <row r="60">
      <c r="A60" s="138">
        <v>4501.0</v>
      </c>
      <c r="B60" s="127" t="s">
        <v>2537</v>
      </c>
      <c r="C60" s="127" t="s">
        <v>49</v>
      </c>
      <c r="D60" s="127" t="s">
        <v>2539</v>
      </c>
      <c r="E60" s="127" t="s">
        <v>1610</v>
      </c>
      <c r="F60" s="127" t="s">
        <v>1581</v>
      </c>
      <c r="G60" s="127" t="s">
        <v>1636</v>
      </c>
      <c r="H60" s="127" t="s">
        <v>86</v>
      </c>
      <c r="I60" s="127" t="s">
        <v>443</v>
      </c>
      <c r="J60" s="127" t="s">
        <v>122</v>
      </c>
      <c r="K60" s="128">
        <v>1.0</v>
      </c>
      <c r="L60" s="129">
        <v>44789.0</v>
      </c>
      <c r="M60" s="129">
        <v>44649.0</v>
      </c>
      <c r="N60" s="129">
        <v>45334.0</v>
      </c>
      <c r="O60" s="128">
        <v>545.0</v>
      </c>
      <c r="P60" s="127">
        <v>365.0</v>
      </c>
      <c r="Q60" s="128">
        <v>4.6190205E8</v>
      </c>
      <c r="R60" s="128">
        <v>0.0</v>
      </c>
      <c r="S60" s="128">
        <v>9.942070082E8</v>
      </c>
      <c r="T60" s="130">
        <v>1.45610905824E9</v>
      </c>
      <c r="U60" s="130">
        <v>3990514.47</v>
      </c>
      <c r="V60" s="131" t="s">
        <v>294</v>
      </c>
      <c r="W60" s="128">
        <v>1.0</v>
      </c>
      <c r="X60" s="127" t="s">
        <v>122</v>
      </c>
      <c r="Y60" s="127" t="s">
        <v>1601</v>
      </c>
      <c r="Z60" s="127" t="s">
        <v>122</v>
      </c>
      <c r="AA60" s="127">
        <v>27.0</v>
      </c>
      <c r="AB60" s="127" t="s">
        <v>1602</v>
      </c>
      <c r="AC60" s="127" t="s">
        <v>86</v>
      </c>
      <c r="AD60" s="127"/>
      <c r="AE60" s="127"/>
    </row>
    <row r="61">
      <c r="A61" s="132">
        <v>3032.0</v>
      </c>
      <c r="B61" s="133" t="s">
        <v>2550</v>
      </c>
      <c r="C61" s="133" t="s">
        <v>49</v>
      </c>
      <c r="D61" s="133" t="s">
        <v>2552</v>
      </c>
      <c r="E61" s="133" t="s">
        <v>1610</v>
      </c>
      <c r="F61" s="133" t="s">
        <v>1581</v>
      </c>
      <c r="G61" s="133" t="s">
        <v>2021</v>
      </c>
      <c r="H61" s="133" t="s">
        <v>86</v>
      </c>
      <c r="I61" s="133" t="s">
        <v>2555</v>
      </c>
      <c r="J61" s="133" t="s">
        <v>32</v>
      </c>
      <c r="K61" s="134">
        <v>1.0</v>
      </c>
      <c r="L61" s="135">
        <v>44502.0</v>
      </c>
      <c r="M61" s="135">
        <v>44439.0</v>
      </c>
      <c r="N61" s="135">
        <v>45462.0</v>
      </c>
      <c r="O61" s="134">
        <v>960.0</v>
      </c>
      <c r="P61" s="133">
        <v>720.0</v>
      </c>
      <c r="Q61" s="134">
        <v>1.2959328E9</v>
      </c>
      <c r="R61" s="134">
        <v>1.672392822E9</v>
      </c>
      <c r="S61" s="134">
        <v>5.186506396E9</v>
      </c>
      <c r="T61" s="136">
        <v>8.15483201804E9</v>
      </c>
      <c r="U61" s="136">
        <v>2.888881384E7</v>
      </c>
      <c r="V61" s="137" t="s">
        <v>294</v>
      </c>
      <c r="W61" s="134">
        <v>1.0</v>
      </c>
      <c r="X61" s="133" t="s">
        <v>1600</v>
      </c>
      <c r="Y61" s="133" t="s">
        <v>1601</v>
      </c>
      <c r="Z61" s="133" t="s">
        <v>32</v>
      </c>
      <c r="AA61" s="133">
        <v>2.0</v>
      </c>
      <c r="AB61" s="133" t="s">
        <v>1602</v>
      </c>
      <c r="AC61" s="133" t="s">
        <v>86</v>
      </c>
      <c r="AD61" s="133"/>
      <c r="AE61" s="133"/>
    </row>
    <row r="62">
      <c r="A62" s="138">
        <v>442.0</v>
      </c>
      <c r="B62" s="127" t="s">
        <v>2562</v>
      </c>
      <c r="C62" s="127" t="s">
        <v>49</v>
      </c>
      <c r="D62" s="127" t="s">
        <v>2564</v>
      </c>
      <c r="E62" s="127" t="s">
        <v>1610</v>
      </c>
      <c r="F62" s="127" t="s">
        <v>1581</v>
      </c>
      <c r="G62" s="127" t="s">
        <v>2566</v>
      </c>
      <c r="H62" s="127" t="s">
        <v>86</v>
      </c>
      <c r="I62" s="127" t="s">
        <v>2568</v>
      </c>
      <c r="J62" s="127" t="s">
        <v>112</v>
      </c>
      <c r="K62" s="128">
        <v>0.997</v>
      </c>
      <c r="L62" s="129">
        <v>44664.0</v>
      </c>
      <c r="M62" s="129">
        <v>44551.0</v>
      </c>
      <c r="N62" s="129">
        <v>45459.0</v>
      </c>
      <c r="O62" s="128">
        <v>795.0</v>
      </c>
      <c r="P62" s="127">
        <v>365.0</v>
      </c>
      <c r="Q62" s="128">
        <v>6.5240294E8</v>
      </c>
      <c r="R62" s="128">
        <v>4.500296792E8</v>
      </c>
      <c r="S62" s="128">
        <v>3.344946492E9</v>
      </c>
      <c r="T62" s="130">
        <v>4.44737911165E9</v>
      </c>
      <c r="U62" s="130">
        <v>1.030310859E7</v>
      </c>
      <c r="V62" s="131" t="s">
        <v>294</v>
      </c>
      <c r="W62" s="128">
        <v>1.0</v>
      </c>
      <c r="X62" s="127" t="s">
        <v>92</v>
      </c>
      <c r="Y62" s="127" t="s">
        <v>1601</v>
      </c>
      <c r="Z62" s="127" t="s">
        <v>112</v>
      </c>
      <c r="AA62" s="127">
        <v>12.0</v>
      </c>
      <c r="AB62" s="127" t="s">
        <v>1565</v>
      </c>
      <c r="AC62" s="127" t="s">
        <v>86</v>
      </c>
      <c r="AD62" s="127"/>
      <c r="AE62" s="127"/>
    </row>
    <row r="63">
      <c r="A63" s="132">
        <v>6200.0</v>
      </c>
      <c r="B63" s="133" t="s">
        <v>2574</v>
      </c>
      <c r="C63" s="133" t="s">
        <v>49</v>
      </c>
      <c r="D63" s="133" t="s">
        <v>2575</v>
      </c>
      <c r="E63" s="133" t="s">
        <v>1756</v>
      </c>
      <c r="F63" s="133" t="s">
        <v>1581</v>
      </c>
      <c r="G63" s="133" t="s">
        <v>2304</v>
      </c>
      <c r="H63" s="133" t="s">
        <v>86</v>
      </c>
      <c r="I63" s="133" t="s">
        <v>2577</v>
      </c>
      <c r="J63" s="133" t="s">
        <v>52</v>
      </c>
      <c r="K63" s="134">
        <v>1.0</v>
      </c>
      <c r="L63" s="135">
        <v>45239.0</v>
      </c>
      <c r="M63" s="135">
        <v>45017.0</v>
      </c>
      <c r="N63" s="135">
        <v>45479.0</v>
      </c>
      <c r="O63" s="134">
        <v>240.0</v>
      </c>
      <c r="P63" s="133">
        <v>240.0</v>
      </c>
      <c r="Q63" s="134">
        <v>1.29333024E8</v>
      </c>
      <c r="R63" s="134">
        <v>0.0</v>
      </c>
      <c r="S63" s="134">
        <v>1.111665573E8</v>
      </c>
      <c r="T63" s="136">
        <v>2.4049958125E8</v>
      </c>
      <c r="U63" s="136">
        <v>597381.17</v>
      </c>
      <c r="V63" s="137" t="s">
        <v>294</v>
      </c>
      <c r="W63" s="134">
        <v>1.0</v>
      </c>
      <c r="X63" s="133" t="s">
        <v>147</v>
      </c>
      <c r="Y63" s="133" t="s">
        <v>1601</v>
      </c>
      <c r="Z63" s="133" t="s">
        <v>52</v>
      </c>
      <c r="AA63" s="133">
        <v>18.0</v>
      </c>
      <c r="AB63" s="133" t="s">
        <v>1565</v>
      </c>
      <c r="AC63" s="133" t="s">
        <v>86</v>
      </c>
      <c r="AD63" s="133"/>
      <c r="AE63" s="133"/>
    </row>
    <row r="64">
      <c r="A64" s="138">
        <v>5621.0</v>
      </c>
      <c r="B64" s="149" t="s">
        <v>1467</v>
      </c>
      <c r="C64" s="127" t="s">
        <v>47</v>
      </c>
      <c r="D64" s="127" t="s">
        <v>2588</v>
      </c>
      <c r="E64" s="127" t="s">
        <v>2589</v>
      </c>
      <c r="F64" s="127" t="s">
        <v>1581</v>
      </c>
      <c r="G64" s="150"/>
      <c r="H64" s="127" t="s">
        <v>57</v>
      </c>
      <c r="I64" s="127" t="s">
        <v>110</v>
      </c>
      <c r="J64" s="127" t="s">
        <v>1702</v>
      </c>
      <c r="K64" s="151"/>
      <c r="L64" s="129">
        <v>44562.0</v>
      </c>
      <c r="M64" s="150"/>
      <c r="N64" s="129">
        <v>46022.0</v>
      </c>
      <c r="O64" s="150"/>
      <c r="P64" s="150"/>
      <c r="Q64" s="150"/>
      <c r="R64" s="150"/>
      <c r="S64" s="150"/>
      <c r="T64" s="130">
        <v>1.0E7</v>
      </c>
      <c r="U64" s="130">
        <v>9090.91</v>
      </c>
      <c r="V64" s="131" t="s">
        <v>2598</v>
      </c>
      <c r="W64" s="128">
        <v>3.0</v>
      </c>
      <c r="X64" s="127" t="s">
        <v>1600</v>
      </c>
      <c r="Y64" s="127" t="s">
        <v>1601</v>
      </c>
      <c r="Z64" s="127" t="s">
        <v>1702</v>
      </c>
      <c r="AA64" s="127">
        <v>21.0</v>
      </c>
      <c r="AB64" s="127" t="s">
        <v>1602</v>
      </c>
      <c r="AC64" s="127" t="s">
        <v>70</v>
      </c>
      <c r="AD64" s="127"/>
      <c r="AE64" s="127"/>
    </row>
    <row r="65">
      <c r="A65" s="152">
        <v>2093572.0</v>
      </c>
      <c r="B65" s="149" t="s">
        <v>1467</v>
      </c>
      <c r="C65" s="133" t="s">
        <v>47</v>
      </c>
      <c r="D65" s="133" t="s">
        <v>2605</v>
      </c>
      <c r="E65" s="133" t="s">
        <v>2589</v>
      </c>
      <c r="F65" s="133" t="s">
        <v>1581</v>
      </c>
      <c r="G65" s="153"/>
      <c r="H65" s="133" t="s">
        <v>57</v>
      </c>
      <c r="I65" s="133" t="s">
        <v>1986</v>
      </c>
      <c r="J65" s="133" t="s">
        <v>58</v>
      </c>
      <c r="K65" s="154"/>
      <c r="L65" s="135">
        <v>45901.0</v>
      </c>
      <c r="M65" s="153"/>
      <c r="N65" s="135">
        <v>46022.0</v>
      </c>
      <c r="O65" s="153"/>
      <c r="P65" s="153"/>
      <c r="Q65" s="153"/>
      <c r="R65" s="153"/>
      <c r="S65" s="153"/>
      <c r="T65" s="136">
        <v>1.61E8</v>
      </c>
      <c r="U65" s="136">
        <v>146363.64</v>
      </c>
      <c r="V65" s="137" t="s">
        <v>50</v>
      </c>
      <c r="W65" s="134">
        <v>4.0</v>
      </c>
      <c r="X65" s="133" t="s">
        <v>1600</v>
      </c>
      <c r="Y65" s="133" t="s">
        <v>2613</v>
      </c>
      <c r="Z65" s="133" t="s">
        <v>58</v>
      </c>
      <c r="AA65" s="133">
        <v>1.0</v>
      </c>
      <c r="AB65" s="133" t="s">
        <v>1602</v>
      </c>
      <c r="AC65" s="133" t="s">
        <v>70</v>
      </c>
      <c r="AD65" s="133"/>
      <c r="AE65" s="133"/>
    </row>
    <row r="66">
      <c r="A66" s="155">
        <v>2093603.0</v>
      </c>
      <c r="B66" s="149" t="s">
        <v>1467</v>
      </c>
      <c r="C66" s="127" t="s">
        <v>47</v>
      </c>
      <c r="D66" s="127" t="s">
        <v>2619</v>
      </c>
      <c r="E66" s="127" t="s">
        <v>2589</v>
      </c>
      <c r="F66" s="127" t="s">
        <v>1581</v>
      </c>
      <c r="G66" s="150"/>
      <c r="H66" s="127" t="s">
        <v>57</v>
      </c>
      <c r="I66" s="127" t="s">
        <v>1986</v>
      </c>
      <c r="J66" s="127" t="s">
        <v>58</v>
      </c>
      <c r="K66" s="151"/>
      <c r="L66" s="129">
        <v>45870.0</v>
      </c>
      <c r="M66" s="150"/>
      <c r="N66" s="129">
        <v>46022.0</v>
      </c>
      <c r="O66" s="150"/>
      <c r="P66" s="150"/>
      <c r="Q66" s="150"/>
      <c r="R66" s="150"/>
      <c r="S66" s="150"/>
      <c r="T66" s="130">
        <v>6.0E8</v>
      </c>
      <c r="U66" s="130">
        <v>545454.55</v>
      </c>
      <c r="V66" s="131" t="s">
        <v>50</v>
      </c>
      <c r="W66" s="128">
        <v>4.0</v>
      </c>
      <c r="X66" s="127" t="s">
        <v>1600</v>
      </c>
      <c r="Y66" s="127" t="s">
        <v>2613</v>
      </c>
      <c r="Z66" s="127" t="s">
        <v>58</v>
      </c>
      <c r="AA66" s="127">
        <v>1.0</v>
      </c>
      <c r="AB66" s="127" t="s">
        <v>1602</v>
      </c>
      <c r="AC66" s="127" t="s">
        <v>70</v>
      </c>
      <c r="AD66" s="127"/>
      <c r="AE66" s="127"/>
    </row>
    <row r="67">
      <c r="A67" s="152">
        <v>2095033.0</v>
      </c>
      <c r="B67" s="149" t="s">
        <v>1467</v>
      </c>
      <c r="C67" s="133" t="s">
        <v>47</v>
      </c>
      <c r="D67" s="133" t="s">
        <v>2627</v>
      </c>
      <c r="E67" s="133" t="s">
        <v>2629</v>
      </c>
      <c r="F67" s="133" t="s">
        <v>1581</v>
      </c>
      <c r="G67" s="153"/>
      <c r="H67" s="133" t="s">
        <v>57</v>
      </c>
      <c r="I67" s="133" t="s">
        <v>2631</v>
      </c>
      <c r="J67" s="133" t="s">
        <v>1702</v>
      </c>
      <c r="K67" s="154"/>
      <c r="L67" s="135">
        <v>45931.0</v>
      </c>
      <c r="M67" s="153"/>
      <c r="N67" s="135">
        <v>46112.0</v>
      </c>
      <c r="O67" s="153"/>
      <c r="P67" s="153"/>
      <c r="Q67" s="153"/>
      <c r="R67" s="153"/>
      <c r="S67" s="153"/>
      <c r="T67" s="136">
        <v>1.5E9</v>
      </c>
      <c r="U67" s="136">
        <v>1363636.36</v>
      </c>
      <c r="V67" s="137" t="s">
        <v>50</v>
      </c>
      <c r="W67" s="134">
        <v>4.0</v>
      </c>
      <c r="X67" s="133" t="s">
        <v>1600</v>
      </c>
      <c r="Y67" s="133" t="s">
        <v>2613</v>
      </c>
      <c r="Z67" s="133" t="s">
        <v>1702</v>
      </c>
      <c r="AA67" s="133">
        <v>21.0</v>
      </c>
      <c r="AB67" s="133" t="s">
        <v>1602</v>
      </c>
      <c r="AC67" s="133" t="s">
        <v>70</v>
      </c>
      <c r="AD67" s="133"/>
      <c r="AE67" s="133"/>
    </row>
    <row r="68">
      <c r="A68" s="155">
        <v>2095064.0</v>
      </c>
      <c r="B68" s="149" t="s">
        <v>1467</v>
      </c>
      <c r="C68" s="127" t="s">
        <v>47</v>
      </c>
      <c r="D68" s="127" t="s">
        <v>2639</v>
      </c>
      <c r="E68" s="127" t="s">
        <v>2629</v>
      </c>
      <c r="F68" s="127" t="s">
        <v>1581</v>
      </c>
      <c r="G68" s="150"/>
      <c r="H68" s="127" t="s">
        <v>57</v>
      </c>
      <c r="I68" s="127" t="s">
        <v>1986</v>
      </c>
      <c r="J68" s="127" t="s">
        <v>58</v>
      </c>
      <c r="K68" s="151"/>
      <c r="L68" s="129">
        <v>45870.0</v>
      </c>
      <c r="M68" s="150"/>
      <c r="N68" s="129">
        <v>46112.0</v>
      </c>
      <c r="O68" s="150"/>
      <c r="P68" s="150"/>
      <c r="Q68" s="150"/>
      <c r="R68" s="150"/>
      <c r="S68" s="150"/>
      <c r="T68" s="130">
        <v>4.5E8</v>
      </c>
      <c r="U68" s="130">
        <v>409090.91</v>
      </c>
      <c r="V68" s="131" t="s">
        <v>50</v>
      </c>
      <c r="W68" s="128">
        <v>4.0</v>
      </c>
      <c r="X68" s="127" t="s">
        <v>1600</v>
      </c>
      <c r="Y68" s="127" t="s">
        <v>2613</v>
      </c>
      <c r="Z68" s="127" t="s">
        <v>58</v>
      </c>
      <c r="AA68" s="127">
        <v>1.0</v>
      </c>
      <c r="AB68" s="127" t="s">
        <v>1602</v>
      </c>
      <c r="AC68" s="127" t="s">
        <v>70</v>
      </c>
      <c r="AD68" s="127"/>
      <c r="AE68" s="127"/>
    </row>
    <row r="69">
      <c r="A69" s="152">
        <v>2094089.0</v>
      </c>
      <c r="B69" s="149" t="s">
        <v>1467</v>
      </c>
      <c r="C69" s="133" t="s">
        <v>47</v>
      </c>
      <c r="D69" s="133" t="s">
        <v>2649</v>
      </c>
      <c r="E69" s="133" t="s">
        <v>2589</v>
      </c>
      <c r="F69" s="133" t="s">
        <v>1581</v>
      </c>
      <c r="G69" s="153"/>
      <c r="H69" s="133" t="s">
        <v>57</v>
      </c>
      <c r="I69" s="133" t="s">
        <v>2652</v>
      </c>
      <c r="J69" s="133" t="s">
        <v>120</v>
      </c>
      <c r="K69" s="154"/>
      <c r="L69" s="135">
        <v>45901.0</v>
      </c>
      <c r="M69" s="153"/>
      <c r="N69" s="135">
        <v>46384.0</v>
      </c>
      <c r="O69" s="153"/>
      <c r="P69" s="153"/>
      <c r="Q69" s="153"/>
      <c r="R69" s="153"/>
      <c r="S69" s="153"/>
      <c r="T69" s="136">
        <v>7.32E9</v>
      </c>
      <c r="U69" s="136">
        <v>6654545.45</v>
      </c>
      <c r="V69" s="137" t="s">
        <v>50</v>
      </c>
      <c r="W69" s="134">
        <v>4.0</v>
      </c>
      <c r="X69" s="133" t="s">
        <v>1600</v>
      </c>
      <c r="Y69" s="133" t="s">
        <v>2613</v>
      </c>
      <c r="Z69" s="133" t="s">
        <v>120</v>
      </c>
      <c r="AA69" s="133">
        <v>26.0</v>
      </c>
      <c r="AB69" s="133" t="s">
        <v>1602</v>
      </c>
      <c r="AC69" s="133" t="s">
        <v>70</v>
      </c>
      <c r="AD69" s="133"/>
      <c r="AE69" s="133"/>
    </row>
    <row r="70">
      <c r="A70" s="155">
        <v>2093938.0</v>
      </c>
      <c r="B70" s="149" t="s">
        <v>1467</v>
      </c>
      <c r="C70" s="127" t="s">
        <v>47</v>
      </c>
      <c r="D70" s="127" t="s">
        <v>2660</v>
      </c>
      <c r="E70" s="127" t="s">
        <v>2589</v>
      </c>
      <c r="F70" s="127" t="s">
        <v>1581</v>
      </c>
      <c r="G70" s="150"/>
      <c r="H70" s="127" t="s">
        <v>57</v>
      </c>
      <c r="I70" s="127" t="s">
        <v>2662</v>
      </c>
      <c r="J70" s="127" t="s">
        <v>408</v>
      </c>
      <c r="K70" s="151"/>
      <c r="L70" s="129">
        <v>45931.0</v>
      </c>
      <c r="M70" s="150"/>
      <c r="N70" s="129">
        <v>46387.0</v>
      </c>
      <c r="O70" s="150"/>
      <c r="P70" s="150"/>
      <c r="Q70" s="150"/>
      <c r="R70" s="150"/>
      <c r="S70" s="150"/>
      <c r="T70" s="130">
        <v>1.05E9</v>
      </c>
      <c r="U70" s="130">
        <v>954545.45</v>
      </c>
      <c r="V70" s="131" t="s">
        <v>50</v>
      </c>
      <c r="W70" s="128">
        <v>4.0</v>
      </c>
      <c r="X70" s="127" t="s">
        <v>1600</v>
      </c>
      <c r="Y70" s="127" t="s">
        <v>2613</v>
      </c>
      <c r="Z70" s="127" t="s">
        <v>408</v>
      </c>
      <c r="AA70" s="127">
        <v>15.0</v>
      </c>
      <c r="AB70" s="127" t="s">
        <v>1602</v>
      </c>
      <c r="AC70" s="127" t="s">
        <v>70</v>
      </c>
      <c r="AD70" s="127"/>
      <c r="AE70" s="127"/>
    </row>
    <row r="71">
      <c r="A71" s="152">
        <v>2093969.0</v>
      </c>
      <c r="B71" s="149" t="s">
        <v>1467</v>
      </c>
      <c r="C71" s="133" t="s">
        <v>47</v>
      </c>
      <c r="D71" s="133" t="s">
        <v>2670</v>
      </c>
      <c r="E71" s="133" t="s">
        <v>2589</v>
      </c>
      <c r="F71" s="133" t="s">
        <v>1581</v>
      </c>
      <c r="G71" s="153"/>
      <c r="H71" s="133" t="s">
        <v>57</v>
      </c>
      <c r="I71" s="133" t="s">
        <v>432</v>
      </c>
      <c r="J71" s="133" t="s">
        <v>1702</v>
      </c>
      <c r="K71" s="154"/>
      <c r="L71" s="135">
        <v>45931.0</v>
      </c>
      <c r="M71" s="153"/>
      <c r="N71" s="135">
        <v>46323.0</v>
      </c>
      <c r="O71" s="153"/>
      <c r="P71" s="153"/>
      <c r="Q71" s="153"/>
      <c r="R71" s="153"/>
      <c r="S71" s="153"/>
      <c r="T71" s="136">
        <v>2.6E9</v>
      </c>
      <c r="U71" s="136">
        <v>2363636.36</v>
      </c>
      <c r="V71" s="137" t="s">
        <v>50</v>
      </c>
      <c r="W71" s="134">
        <v>4.0</v>
      </c>
      <c r="X71" s="133" t="s">
        <v>1600</v>
      </c>
      <c r="Y71" s="133" t="s">
        <v>2613</v>
      </c>
      <c r="Z71" s="133" t="s">
        <v>1702</v>
      </c>
      <c r="AA71" s="133">
        <v>21.0</v>
      </c>
      <c r="AB71" s="133" t="s">
        <v>1602</v>
      </c>
      <c r="AC71" s="133" t="s">
        <v>70</v>
      </c>
      <c r="AD71" s="133"/>
      <c r="AE71" s="133"/>
    </row>
    <row r="72">
      <c r="A72" s="155">
        <v>2093997.0</v>
      </c>
      <c r="B72" s="149" t="s">
        <v>1467</v>
      </c>
      <c r="C72" s="127" t="s">
        <v>47</v>
      </c>
      <c r="D72" s="127" t="s">
        <v>2680</v>
      </c>
      <c r="E72" s="127" t="s">
        <v>2589</v>
      </c>
      <c r="F72" s="127" t="s">
        <v>1581</v>
      </c>
      <c r="G72" s="150"/>
      <c r="H72" s="127" t="s">
        <v>57</v>
      </c>
      <c r="I72" s="127" t="s">
        <v>136</v>
      </c>
      <c r="J72" s="127" t="s">
        <v>1839</v>
      </c>
      <c r="K72" s="151"/>
      <c r="L72" s="129">
        <v>45863.0</v>
      </c>
      <c r="M72" s="150"/>
      <c r="N72" s="129">
        <v>45869.0</v>
      </c>
      <c r="O72" s="150"/>
      <c r="P72" s="150"/>
      <c r="Q72" s="150"/>
      <c r="R72" s="150"/>
      <c r="S72" s="150"/>
      <c r="T72" s="130">
        <v>4.01E8</v>
      </c>
      <c r="U72" s="130">
        <v>364545.45</v>
      </c>
      <c r="V72" s="131" t="s">
        <v>50</v>
      </c>
      <c r="W72" s="128">
        <v>4.0</v>
      </c>
      <c r="X72" s="127" t="s">
        <v>1600</v>
      </c>
      <c r="Y72" s="127" t="s">
        <v>2613</v>
      </c>
      <c r="Z72" s="127" t="s">
        <v>1839</v>
      </c>
      <c r="AA72" s="127">
        <v>17.0</v>
      </c>
      <c r="AB72" s="127" t="s">
        <v>1602</v>
      </c>
      <c r="AC72" s="127" t="s">
        <v>70</v>
      </c>
      <c r="AD72" s="127"/>
      <c r="AE72" s="127"/>
    </row>
    <row r="73">
      <c r="A73" s="152">
        <v>2093266.0</v>
      </c>
      <c r="B73" s="149" t="s">
        <v>1467</v>
      </c>
      <c r="C73" s="133" t="s">
        <v>47</v>
      </c>
      <c r="D73" s="133" t="s">
        <v>2690</v>
      </c>
      <c r="E73" s="133" t="s">
        <v>2589</v>
      </c>
      <c r="F73" s="133" t="s">
        <v>1581</v>
      </c>
      <c r="G73" s="153"/>
      <c r="H73" s="133" t="s">
        <v>57</v>
      </c>
      <c r="I73" s="133" t="s">
        <v>110</v>
      </c>
      <c r="J73" s="133" t="s">
        <v>1702</v>
      </c>
      <c r="K73" s="154"/>
      <c r="L73" s="135">
        <v>45870.0</v>
      </c>
      <c r="M73" s="153"/>
      <c r="N73" s="135">
        <v>46204.0</v>
      </c>
      <c r="O73" s="153"/>
      <c r="P73" s="153"/>
      <c r="Q73" s="153"/>
      <c r="R73" s="153"/>
      <c r="S73" s="153"/>
      <c r="T73" s="136">
        <v>1.2E9</v>
      </c>
      <c r="U73" s="136">
        <v>1090909.09</v>
      </c>
      <c r="V73" s="137" t="s">
        <v>50</v>
      </c>
      <c r="W73" s="134">
        <v>4.0</v>
      </c>
      <c r="X73" s="133" t="s">
        <v>1600</v>
      </c>
      <c r="Y73" s="133" t="s">
        <v>2613</v>
      </c>
      <c r="Z73" s="133" t="s">
        <v>1702</v>
      </c>
      <c r="AA73" s="133">
        <v>21.0</v>
      </c>
      <c r="AB73" s="133" t="s">
        <v>1602</v>
      </c>
      <c r="AC73" s="133" t="s">
        <v>70</v>
      </c>
      <c r="AD73" s="133"/>
      <c r="AE73" s="133"/>
    </row>
    <row r="74">
      <c r="A74" s="155">
        <v>2093207.0</v>
      </c>
      <c r="B74" s="149" t="s">
        <v>1467</v>
      </c>
      <c r="C74" s="127" t="s">
        <v>47</v>
      </c>
      <c r="D74" s="127" t="s">
        <v>2697</v>
      </c>
      <c r="E74" s="127" t="s">
        <v>2589</v>
      </c>
      <c r="F74" s="127" t="s">
        <v>1581</v>
      </c>
      <c r="G74" s="150"/>
      <c r="H74" s="127" t="s">
        <v>57</v>
      </c>
      <c r="I74" s="127" t="s">
        <v>2699</v>
      </c>
      <c r="J74" s="127" t="s">
        <v>1702</v>
      </c>
      <c r="K74" s="151"/>
      <c r="L74" s="129">
        <v>45931.0</v>
      </c>
      <c r="M74" s="150"/>
      <c r="N74" s="129">
        <v>46111.0</v>
      </c>
      <c r="O74" s="150"/>
      <c r="P74" s="150"/>
      <c r="Q74" s="150"/>
      <c r="R74" s="150"/>
      <c r="S74" s="150"/>
      <c r="T74" s="130">
        <v>1.5E9</v>
      </c>
      <c r="U74" s="130">
        <v>1363636.36</v>
      </c>
      <c r="V74" s="131" t="s">
        <v>50</v>
      </c>
      <c r="W74" s="128">
        <v>4.0</v>
      </c>
      <c r="X74" s="127" t="s">
        <v>1600</v>
      </c>
      <c r="Y74" s="127" t="s">
        <v>2613</v>
      </c>
      <c r="Z74" s="127" t="s">
        <v>1702</v>
      </c>
      <c r="AA74" s="127">
        <v>21.0</v>
      </c>
      <c r="AB74" s="127" t="s">
        <v>1602</v>
      </c>
      <c r="AC74" s="127" t="s">
        <v>70</v>
      </c>
      <c r="AD74" s="127"/>
      <c r="AE74" s="127"/>
    </row>
    <row r="75">
      <c r="A75" s="152">
        <v>2093238.0</v>
      </c>
      <c r="B75" s="149" t="s">
        <v>1467</v>
      </c>
      <c r="C75" s="133" t="s">
        <v>47</v>
      </c>
      <c r="D75" s="133" t="s">
        <v>2706</v>
      </c>
      <c r="E75" s="133" t="s">
        <v>2589</v>
      </c>
      <c r="F75" s="133" t="s">
        <v>1581</v>
      </c>
      <c r="G75" s="153"/>
      <c r="H75" s="133" t="s">
        <v>57</v>
      </c>
      <c r="I75" s="133" t="s">
        <v>674</v>
      </c>
      <c r="J75" s="133" t="s">
        <v>1664</v>
      </c>
      <c r="K75" s="154"/>
      <c r="L75" s="135">
        <v>45901.0</v>
      </c>
      <c r="M75" s="153"/>
      <c r="N75" s="135">
        <v>46261.0</v>
      </c>
      <c r="O75" s="153"/>
      <c r="P75" s="153"/>
      <c r="Q75" s="153"/>
      <c r="R75" s="153"/>
      <c r="S75" s="153"/>
      <c r="T75" s="136">
        <v>5.2E9</v>
      </c>
      <c r="U75" s="136">
        <v>4727272.73</v>
      </c>
      <c r="V75" s="137" t="s">
        <v>50</v>
      </c>
      <c r="W75" s="134">
        <v>4.0</v>
      </c>
      <c r="X75" s="133" t="s">
        <v>1600</v>
      </c>
      <c r="Y75" s="133" t="s">
        <v>2613</v>
      </c>
      <c r="Z75" s="133" t="s">
        <v>1664</v>
      </c>
      <c r="AA75" s="133">
        <v>3.0</v>
      </c>
      <c r="AB75" s="133" t="s">
        <v>1602</v>
      </c>
      <c r="AC75" s="133" t="s">
        <v>70</v>
      </c>
      <c r="AD75" s="133"/>
      <c r="AE75" s="133"/>
    </row>
    <row r="76">
      <c r="A76" s="155">
        <v>2094028.0</v>
      </c>
      <c r="B76" s="149" t="s">
        <v>1467</v>
      </c>
      <c r="C76" s="127" t="s">
        <v>47</v>
      </c>
      <c r="D76" s="127" t="s">
        <v>2714</v>
      </c>
      <c r="E76" s="127" t="s">
        <v>2589</v>
      </c>
      <c r="F76" s="127" t="s">
        <v>1581</v>
      </c>
      <c r="G76" s="150"/>
      <c r="H76" s="127" t="s">
        <v>57</v>
      </c>
      <c r="I76" s="127" t="s">
        <v>544</v>
      </c>
      <c r="J76" s="127" t="s">
        <v>32</v>
      </c>
      <c r="K76" s="151"/>
      <c r="L76" s="129">
        <v>45870.0</v>
      </c>
      <c r="M76" s="150"/>
      <c r="N76" s="129">
        <v>46050.0</v>
      </c>
      <c r="O76" s="150"/>
      <c r="P76" s="150"/>
      <c r="Q76" s="150"/>
      <c r="R76" s="150"/>
      <c r="S76" s="150"/>
      <c r="T76" s="130">
        <v>1.0E9</v>
      </c>
      <c r="U76" s="130">
        <v>909090.91</v>
      </c>
      <c r="V76" s="131" t="s">
        <v>50</v>
      </c>
      <c r="W76" s="128">
        <v>4.0</v>
      </c>
      <c r="X76" s="127" t="s">
        <v>1600</v>
      </c>
      <c r="Y76" s="127" t="s">
        <v>2613</v>
      </c>
      <c r="Z76" s="127" t="s">
        <v>32</v>
      </c>
      <c r="AA76" s="127">
        <v>2.0</v>
      </c>
      <c r="AB76" s="127" t="s">
        <v>1602</v>
      </c>
      <c r="AC76" s="127" t="s">
        <v>70</v>
      </c>
      <c r="AD76" s="127"/>
      <c r="AE76" s="127"/>
    </row>
    <row r="77">
      <c r="A77" s="152">
        <v>2094058.0</v>
      </c>
      <c r="B77" s="149" t="s">
        <v>1467</v>
      </c>
      <c r="C77" s="133" t="s">
        <v>47</v>
      </c>
      <c r="D77" s="133" t="s">
        <v>2720</v>
      </c>
      <c r="E77" s="133" t="s">
        <v>2589</v>
      </c>
      <c r="F77" s="133" t="s">
        <v>1581</v>
      </c>
      <c r="G77" s="153"/>
      <c r="H77" s="133" t="s">
        <v>57</v>
      </c>
      <c r="I77" s="133" t="s">
        <v>332</v>
      </c>
      <c r="J77" s="133" t="s">
        <v>1664</v>
      </c>
      <c r="K77" s="154"/>
      <c r="L77" s="135">
        <v>45931.0</v>
      </c>
      <c r="M77" s="153"/>
      <c r="N77" s="135">
        <v>46323.0</v>
      </c>
      <c r="O77" s="153"/>
      <c r="P77" s="153"/>
      <c r="Q77" s="153"/>
      <c r="R77" s="153"/>
      <c r="S77" s="153"/>
      <c r="T77" s="136">
        <v>4.2E9</v>
      </c>
      <c r="U77" s="136">
        <v>3818181.82</v>
      </c>
      <c r="V77" s="137" t="s">
        <v>50</v>
      </c>
      <c r="W77" s="134">
        <v>4.0</v>
      </c>
      <c r="X77" s="133" t="s">
        <v>1600</v>
      </c>
      <c r="Y77" s="133" t="s">
        <v>2613</v>
      </c>
      <c r="Z77" s="133" t="s">
        <v>1664</v>
      </c>
      <c r="AA77" s="133">
        <v>3.0</v>
      </c>
      <c r="AB77" s="133" t="s">
        <v>1602</v>
      </c>
      <c r="AC77" s="133" t="s">
        <v>70</v>
      </c>
      <c r="AD77" s="133"/>
      <c r="AE77" s="133"/>
    </row>
    <row r="78">
      <c r="A78" s="155">
        <v>2095093.0</v>
      </c>
      <c r="B78" s="149" t="s">
        <v>1467</v>
      </c>
      <c r="C78" s="127" t="s">
        <v>47</v>
      </c>
      <c r="D78" s="127" t="s">
        <v>2732</v>
      </c>
      <c r="E78" s="127" t="s">
        <v>2589</v>
      </c>
      <c r="F78" s="127" t="s">
        <v>1581</v>
      </c>
      <c r="G78" s="150"/>
      <c r="H78" s="127" t="s">
        <v>57</v>
      </c>
      <c r="I78" s="127" t="s">
        <v>471</v>
      </c>
      <c r="J78" s="127" t="s">
        <v>1664</v>
      </c>
      <c r="K78" s="151"/>
      <c r="L78" s="129">
        <v>45908.0</v>
      </c>
      <c r="M78" s="150"/>
      <c r="N78" s="129">
        <v>46058.0</v>
      </c>
      <c r="O78" s="150"/>
      <c r="P78" s="150"/>
      <c r="Q78" s="150"/>
      <c r="R78" s="150"/>
      <c r="S78" s="150"/>
      <c r="T78" s="130">
        <v>1.5E9</v>
      </c>
      <c r="U78" s="130">
        <v>1363636.36</v>
      </c>
      <c r="V78" s="131" t="s">
        <v>50</v>
      </c>
      <c r="W78" s="128">
        <v>4.0</v>
      </c>
      <c r="X78" s="127" t="s">
        <v>1600</v>
      </c>
      <c r="Y78" s="127" t="s">
        <v>2613</v>
      </c>
      <c r="Z78" s="127" t="s">
        <v>1664</v>
      </c>
      <c r="AA78" s="127">
        <v>3.0</v>
      </c>
      <c r="AB78" s="127" t="s">
        <v>1602</v>
      </c>
      <c r="AC78" s="127" t="s">
        <v>70</v>
      </c>
      <c r="AD78" s="127"/>
      <c r="AE78" s="127"/>
    </row>
    <row r="79">
      <c r="A79" s="152">
        <v>2094334.0</v>
      </c>
      <c r="B79" s="149" t="s">
        <v>1467</v>
      </c>
      <c r="C79" s="133" t="s">
        <v>47</v>
      </c>
      <c r="D79" s="133" t="s">
        <v>2740</v>
      </c>
      <c r="E79" s="133" t="s">
        <v>2589</v>
      </c>
      <c r="F79" s="133" t="s">
        <v>1581</v>
      </c>
      <c r="G79" s="153"/>
      <c r="H79" s="133" t="s">
        <v>57</v>
      </c>
      <c r="I79" s="133" t="s">
        <v>1986</v>
      </c>
      <c r="J79" s="133" t="s">
        <v>58</v>
      </c>
      <c r="K79" s="154"/>
      <c r="L79" s="135">
        <v>45962.0</v>
      </c>
      <c r="M79" s="153"/>
      <c r="N79" s="135">
        <v>46022.0</v>
      </c>
      <c r="O79" s="153"/>
      <c r="P79" s="153"/>
      <c r="Q79" s="153"/>
      <c r="R79" s="153"/>
      <c r="S79" s="153"/>
      <c r="T79" s="136">
        <v>1.2E9</v>
      </c>
      <c r="U79" s="136">
        <v>1090909.09</v>
      </c>
      <c r="V79" s="137" t="s">
        <v>50</v>
      </c>
      <c r="W79" s="134">
        <v>4.0</v>
      </c>
      <c r="X79" s="133" t="s">
        <v>1600</v>
      </c>
      <c r="Y79" s="133" t="s">
        <v>2613</v>
      </c>
      <c r="Z79" s="133" t="s">
        <v>58</v>
      </c>
      <c r="AA79" s="133">
        <v>1.0</v>
      </c>
      <c r="AB79" s="133" t="s">
        <v>1602</v>
      </c>
      <c r="AC79" s="133" t="s">
        <v>70</v>
      </c>
      <c r="AD79" s="133"/>
      <c r="AE79" s="133"/>
    </row>
    <row r="80">
      <c r="A80" s="155">
        <v>2093632.0</v>
      </c>
      <c r="B80" s="149" t="s">
        <v>1467</v>
      </c>
      <c r="C80" s="127" t="s">
        <v>47</v>
      </c>
      <c r="D80" s="127" t="s">
        <v>2750</v>
      </c>
      <c r="E80" s="127" t="s">
        <v>2589</v>
      </c>
      <c r="F80" s="127" t="s">
        <v>1581</v>
      </c>
      <c r="G80" s="151"/>
      <c r="H80" s="127" t="s">
        <v>57</v>
      </c>
      <c r="I80" s="127" t="s">
        <v>332</v>
      </c>
      <c r="J80" s="127" t="s">
        <v>1664</v>
      </c>
      <c r="K80" s="128">
        <v>0.0</v>
      </c>
      <c r="L80" s="129">
        <v>45958.0</v>
      </c>
      <c r="M80" s="156"/>
      <c r="N80" s="129">
        <v>46508.0</v>
      </c>
      <c r="O80" s="151"/>
      <c r="P80" s="151"/>
      <c r="Q80" s="151"/>
      <c r="R80" s="151"/>
      <c r="S80" s="151"/>
      <c r="T80" s="130">
        <v>1.473537E10</v>
      </c>
      <c r="U80" s="130">
        <v>1.339579091E7</v>
      </c>
      <c r="V80" s="131" t="s">
        <v>50</v>
      </c>
      <c r="W80" s="128">
        <v>3.0</v>
      </c>
      <c r="X80" s="127" t="s">
        <v>1600</v>
      </c>
      <c r="Y80" s="127" t="s">
        <v>2755</v>
      </c>
      <c r="Z80" s="127" t="s">
        <v>1664</v>
      </c>
      <c r="AA80" s="127">
        <v>3.0</v>
      </c>
      <c r="AB80" s="127" t="s">
        <v>1602</v>
      </c>
      <c r="AC80" s="127" t="s">
        <v>70</v>
      </c>
      <c r="AD80" s="127"/>
      <c r="AE80" s="127"/>
    </row>
    <row r="81">
      <c r="A81" s="152">
        <v>2093663.0</v>
      </c>
      <c r="B81" s="149" t="s">
        <v>1467</v>
      </c>
      <c r="C81" s="133" t="s">
        <v>47</v>
      </c>
      <c r="D81" s="133" t="s">
        <v>2759</v>
      </c>
      <c r="E81" s="133" t="s">
        <v>2589</v>
      </c>
      <c r="F81" s="133" t="s">
        <v>1581</v>
      </c>
      <c r="G81" s="154"/>
      <c r="H81" s="133" t="s">
        <v>57</v>
      </c>
      <c r="I81" s="133" t="s">
        <v>1986</v>
      </c>
      <c r="J81" s="133" t="s">
        <v>58</v>
      </c>
      <c r="K81" s="134">
        <v>0.0</v>
      </c>
      <c r="L81" s="135">
        <v>45920.0</v>
      </c>
      <c r="M81" s="157"/>
      <c r="N81" s="135">
        <v>46060.0</v>
      </c>
      <c r="O81" s="154"/>
      <c r="P81" s="154"/>
      <c r="Q81" s="154"/>
      <c r="R81" s="154"/>
      <c r="S81" s="154"/>
      <c r="T81" s="136">
        <v>1.652243E9</v>
      </c>
      <c r="U81" s="136">
        <v>1502039.09</v>
      </c>
      <c r="V81" s="137" t="s">
        <v>50</v>
      </c>
      <c r="W81" s="134">
        <v>3.0</v>
      </c>
      <c r="X81" s="133" t="s">
        <v>1600</v>
      </c>
      <c r="Y81" s="133" t="s">
        <v>2766</v>
      </c>
      <c r="Z81" s="133" t="s">
        <v>58</v>
      </c>
      <c r="AA81" s="133">
        <v>1.0</v>
      </c>
      <c r="AB81" s="133" t="s">
        <v>1602</v>
      </c>
      <c r="AC81" s="133" t="s">
        <v>70</v>
      </c>
      <c r="AD81" s="133"/>
      <c r="AE81" s="133"/>
    </row>
    <row r="82">
      <c r="A82" s="155">
        <v>2093297.0</v>
      </c>
      <c r="B82" s="149" t="s">
        <v>1467</v>
      </c>
      <c r="C82" s="127" t="s">
        <v>47</v>
      </c>
      <c r="D82" s="127" t="s">
        <v>2770</v>
      </c>
      <c r="E82" s="127" t="s">
        <v>2629</v>
      </c>
      <c r="F82" s="127" t="s">
        <v>1581</v>
      </c>
      <c r="G82" s="151"/>
      <c r="H82" s="127" t="s">
        <v>57</v>
      </c>
      <c r="I82" s="127" t="s">
        <v>1986</v>
      </c>
      <c r="J82" s="127" t="s">
        <v>58</v>
      </c>
      <c r="K82" s="128">
        <v>0.0</v>
      </c>
      <c r="L82" s="129">
        <v>45901.0</v>
      </c>
      <c r="M82" s="156"/>
      <c r="N82" s="129">
        <v>46101.0</v>
      </c>
      <c r="O82" s="151"/>
      <c r="P82" s="151"/>
      <c r="Q82" s="151"/>
      <c r="R82" s="151"/>
      <c r="S82" s="151"/>
      <c r="T82" s="130">
        <v>1.342457E9</v>
      </c>
      <c r="U82" s="130">
        <v>1220415.45</v>
      </c>
      <c r="V82" s="131" t="s">
        <v>50</v>
      </c>
      <c r="W82" s="128">
        <v>3.0</v>
      </c>
      <c r="X82" s="127" t="s">
        <v>1600</v>
      </c>
      <c r="Y82" s="127" t="s">
        <v>2766</v>
      </c>
      <c r="Z82" s="127" t="s">
        <v>58</v>
      </c>
      <c r="AA82" s="127">
        <v>1.0</v>
      </c>
      <c r="AB82" s="127" t="s">
        <v>1602</v>
      </c>
      <c r="AC82" s="127" t="s">
        <v>70</v>
      </c>
      <c r="AD82" s="127"/>
      <c r="AE82" s="127"/>
    </row>
    <row r="83">
      <c r="A83" s="132" t="s">
        <v>2776</v>
      </c>
      <c r="B83" s="149" t="s">
        <v>1467</v>
      </c>
      <c r="C83" s="133" t="s">
        <v>49</v>
      </c>
      <c r="D83" s="133" t="s">
        <v>2778</v>
      </c>
      <c r="E83" s="133" t="s">
        <v>2589</v>
      </c>
      <c r="F83" s="133" t="s">
        <v>1581</v>
      </c>
      <c r="G83" s="154"/>
      <c r="H83" s="133" t="s">
        <v>57</v>
      </c>
      <c r="I83" s="133" t="s">
        <v>440</v>
      </c>
      <c r="J83" s="133" t="s">
        <v>90</v>
      </c>
      <c r="K83" s="134">
        <v>0.0</v>
      </c>
      <c r="L83" s="135">
        <v>45901.0</v>
      </c>
      <c r="M83" s="157"/>
      <c r="N83" s="135">
        <v>46266.0</v>
      </c>
      <c r="O83" s="154"/>
      <c r="P83" s="154"/>
      <c r="Q83" s="154"/>
      <c r="R83" s="154"/>
      <c r="S83" s="154"/>
      <c r="T83" s="136">
        <v>1.2E10</v>
      </c>
      <c r="U83" s="136">
        <v>1.090909091E7</v>
      </c>
      <c r="V83" s="137" t="s">
        <v>2783</v>
      </c>
      <c r="W83" s="134">
        <v>3.0</v>
      </c>
      <c r="X83" s="133" t="s">
        <v>147</v>
      </c>
      <c r="Y83" s="133" t="s">
        <v>1601</v>
      </c>
      <c r="Z83" s="133" t="s">
        <v>90</v>
      </c>
      <c r="AA83" s="133">
        <v>11.0</v>
      </c>
      <c r="AB83" s="133" t="s">
        <v>1565</v>
      </c>
      <c r="AC83" s="133" t="s">
        <v>70</v>
      </c>
      <c r="AD83" s="133"/>
      <c r="AE83" s="133"/>
    </row>
    <row r="84">
      <c r="A84" s="138">
        <v>7715.0</v>
      </c>
      <c r="B84" s="127" t="s">
        <v>2787</v>
      </c>
      <c r="C84" s="127" t="s">
        <v>49</v>
      </c>
      <c r="D84" s="127" t="s">
        <v>2789</v>
      </c>
      <c r="E84" s="127" t="s">
        <v>2791</v>
      </c>
      <c r="F84" s="127" t="s">
        <v>1581</v>
      </c>
      <c r="G84" s="151"/>
      <c r="H84" s="127" t="s">
        <v>2793</v>
      </c>
      <c r="I84" s="127" t="s">
        <v>2795</v>
      </c>
      <c r="J84" s="127" t="s">
        <v>408</v>
      </c>
      <c r="K84" s="128">
        <v>0.0</v>
      </c>
      <c r="L84" s="129">
        <v>45839.0</v>
      </c>
      <c r="M84" s="156"/>
      <c r="N84" s="129">
        <v>45959.0</v>
      </c>
      <c r="O84" s="151"/>
      <c r="P84" s="151"/>
      <c r="Q84" s="151"/>
      <c r="R84" s="151"/>
      <c r="S84" s="151"/>
      <c r="T84" s="130">
        <v>3.56E8</v>
      </c>
      <c r="U84" s="130">
        <v>323636.36</v>
      </c>
      <c r="V84" s="131" t="s">
        <v>2799</v>
      </c>
      <c r="W84" s="128">
        <v>2.0</v>
      </c>
      <c r="X84" s="127" t="s">
        <v>1600</v>
      </c>
      <c r="Y84" s="127" t="s">
        <v>1601</v>
      </c>
      <c r="Z84" s="127" t="s">
        <v>408</v>
      </c>
      <c r="AA84" s="127">
        <v>15.0</v>
      </c>
      <c r="AB84" s="127" t="s">
        <v>1602</v>
      </c>
      <c r="AC84" s="127" t="s">
        <v>70</v>
      </c>
      <c r="AD84" s="127"/>
      <c r="AE84" s="127"/>
    </row>
    <row r="85">
      <c r="A85" s="132" t="s">
        <v>2803</v>
      </c>
      <c r="B85" s="133" t="s">
        <v>2805</v>
      </c>
      <c r="C85" s="133" t="s">
        <v>49</v>
      </c>
      <c r="D85" s="133" t="s">
        <v>2806</v>
      </c>
      <c r="E85" s="133" t="s">
        <v>2589</v>
      </c>
      <c r="F85" s="133" t="s">
        <v>1581</v>
      </c>
      <c r="G85" s="154"/>
      <c r="H85" s="133" t="s">
        <v>2793</v>
      </c>
      <c r="I85" s="133" t="s">
        <v>2809</v>
      </c>
      <c r="J85" s="133" t="s">
        <v>32</v>
      </c>
      <c r="K85" s="134">
        <v>0.0</v>
      </c>
      <c r="L85" s="135">
        <v>45839.0</v>
      </c>
      <c r="M85" s="157"/>
      <c r="N85" s="135">
        <v>46204.0</v>
      </c>
      <c r="O85" s="154"/>
      <c r="P85" s="154"/>
      <c r="Q85" s="154"/>
      <c r="R85" s="154"/>
      <c r="S85" s="154"/>
      <c r="T85" s="136">
        <v>1.85783E9</v>
      </c>
      <c r="U85" s="136">
        <v>1688936.36</v>
      </c>
      <c r="V85" s="137" t="s">
        <v>2799</v>
      </c>
      <c r="W85" s="134">
        <v>2.0</v>
      </c>
      <c r="X85" s="133" t="s">
        <v>1600</v>
      </c>
      <c r="Y85" s="133" t="s">
        <v>1601</v>
      </c>
      <c r="Z85" s="133" t="s">
        <v>32</v>
      </c>
      <c r="AA85" s="133">
        <v>2.0</v>
      </c>
      <c r="AB85" s="133" t="s">
        <v>1602</v>
      </c>
      <c r="AC85" s="133" t="s">
        <v>70</v>
      </c>
      <c r="AD85" s="133"/>
      <c r="AE85" s="133"/>
    </row>
    <row r="86">
      <c r="A86" s="138">
        <v>7502.0</v>
      </c>
      <c r="B86" s="127" t="s">
        <v>838</v>
      </c>
      <c r="C86" s="127" t="s">
        <v>49</v>
      </c>
      <c r="D86" s="127" t="s">
        <v>2817</v>
      </c>
      <c r="E86" s="127" t="s">
        <v>2629</v>
      </c>
      <c r="F86" s="127" t="s">
        <v>1581</v>
      </c>
      <c r="G86" s="151"/>
      <c r="H86" s="127" t="s">
        <v>57</v>
      </c>
      <c r="I86" s="127" t="s">
        <v>39</v>
      </c>
      <c r="J86" s="127" t="s">
        <v>39</v>
      </c>
      <c r="K86" s="151"/>
      <c r="L86" s="129">
        <v>45901.0</v>
      </c>
      <c r="M86" s="156"/>
      <c r="N86" s="129">
        <v>46266.0</v>
      </c>
      <c r="O86" s="151"/>
      <c r="P86" s="151"/>
      <c r="Q86" s="151"/>
      <c r="R86" s="151"/>
      <c r="S86" s="151"/>
      <c r="T86" s="130">
        <v>1.2568E10</v>
      </c>
      <c r="U86" s="130">
        <v>1.142545455E7</v>
      </c>
      <c r="V86" s="131" t="s">
        <v>2598</v>
      </c>
      <c r="W86" s="128">
        <v>3.0</v>
      </c>
      <c r="X86" s="127" t="s">
        <v>147</v>
      </c>
      <c r="Y86" s="127" t="s">
        <v>1601</v>
      </c>
      <c r="Z86" s="127" t="s">
        <v>39</v>
      </c>
      <c r="AA86" s="127">
        <v>4.0</v>
      </c>
      <c r="AB86" s="127" t="s">
        <v>1565</v>
      </c>
      <c r="AC86" s="127" t="s">
        <v>70</v>
      </c>
      <c r="AD86" s="127"/>
      <c r="AE86" s="127"/>
    </row>
    <row r="87">
      <c r="A87" s="132" t="s">
        <v>2825</v>
      </c>
      <c r="B87" s="149" t="s">
        <v>1467</v>
      </c>
      <c r="C87" s="133" t="s">
        <v>49</v>
      </c>
      <c r="D87" s="133" t="s">
        <v>2826</v>
      </c>
      <c r="E87" s="133" t="s">
        <v>2589</v>
      </c>
      <c r="F87" s="133" t="s">
        <v>1581</v>
      </c>
      <c r="G87" s="154"/>
      <c r="H87" s="133" t="s">
        <v>64</v>
      </c>
      <c r="I87" s="133" t="s">
        <v>2830</v>
      </c>
      <c r="J87" s="133" t="s">
        <v>32</v>
      </c>
      <c r="K87" s="154"/>
      <c r="L87" s="135">
        <v>45901.0</v>
      </c>
      <c r="M87" s="157"/>
      <c r="N87" s="135">
        <v>46266.0</v>
      </c>
      <c r="O87" s="154"/>
      <c r="P87" s="154"/>
      <c r="Q87" s="154"/>
      <c r="R87" s="154"/>
      <c r="S87" s="154"/>
      <c r="T87" s="136">
        <v>4.8E9</v>
      </c>
      <c r="U87" s="136">
        <v>4363636.36</v>
      </c>
      <c r="V87" s="137" t="s">
        <v>2783</v>
      </c>
      <c r="W87" s="134">
        <v>3.0</v>
      </c>
      <c r="X87" s="133" t="s">
        <v>1600</v>
      </c>
      <c r="Y87" s="133" t="s">
        <v>1601</v>
      </c>
      <c r="Z87" s="133" t="s">
        <v>32</v>
      </c>
      <c r="AA87" s="133">
        <v>2.0</v>
      </c>
      <c r="AB87" s="133" t="s">
        <v>1602</v>
      </c>
      <c r="AC87" s="133" t="s">
        <v>70</v>
      </c>
      <c r="AD87" s="133"/>
      <c r="AE87" s="133"/>
    </row>
    <row r="88">
      <c r="A88" s="138" t="s">
        <v>2840</v>
      </c>
      <c r="B88" s="127" t="s">
        <v>2841</v>
      </c>
      <c r="C88" s="127" t="s">
        <v>49</v>
      </c>
      <c r="D88" s="127" t="s">
        <v>2842</v>
      </c>
      <c r="E88" s="127" t="s">
        <v>2589</v>
      </c>
      <c r="F88" s="127" t="s">
        <v>1581</v>
      </c>
      <c r="G88" s="151"/>
      <c r="H88" s="127" t="s">
        <v>57</v>
      </c>
      <c r="I88" s="127" t="s">
        <v>360</v>
      </c>
      <c r="J88" s="127" t="s">
        <v>96</v>
      </c>
      <c r="K88" s="128">
        <v>0.0</v>
      </c>
      <c r="L88" s="129">
        <v>45901.0</v>
      </c>
      <c r="M88" s="156"/>
      <c r="N88" s="129">
        <v>46266.0</v>
      </c>
      <c r="O88" s="151"/>
      <c r="P88" s="151"/>
      <c r="Q88" s="151"/>
      <c r="R88" s="151"/>
      <c r="S88" s="151"/>
      <c r="T88" s="130">
        <v>2.5E10</v>
      </c>
      <c r="U88" s="130">
        <v>2.272727273E7</v>
      </c>
      <c r="V88" s="131" t="s">
        <v>2848</v>
      </c>
      <c r="W88" s="128">
        <v>3.0</v>
      </c>
      <c r="X88" s="127" t="s">
        <v>147</v>
      </c>
      <c r="Y88" s="127" t="s">
        <v>1601</v>
      </c>
      <c r="Z88" s="127" t="s">
        <v>96</v>
      </c>
      <c r="AA88" s="127">
        <v>25.0</v>
      </c>
      <c r="AB88" s="127" t="s">
        <v>1565</v>
      </c>
      <c r="AC88" s="127" t="s">
        <v>70</v>
      </c>
      <c r="AD88" s="127"/>
      <c r="AE88" s="127"/>
    </row>
    <row r="89">
      <c r="A89" s="132" t="s">
        <v>2851</v>
      </c>
      <c r="B89" s="149" t="s">
        <v>1467</v>
      </c>
      <c r="C89" s="133" t="s">
        <v>49</v>
      </c>
      <c r="D89" s="133" t="s">
        <v>2852</v>
      </c>
      <c r="E89" s="133" t="s">
        <v>2589</v>
      </c>
      <c r="F89" s="133" t="s">
        <v>1581</v>
      </c>
      <c r="G89" s="154"/>
      <c r="H89" s="133" t="s">
        <v>64</v>
      </c>
      <c r="I89" s="133" t="s">
        <v>452</v>
      </c>
      <c r="J89" s="133" t="s">
        <v>161</v>
      </c>
      <c r="K89" s="134">
        <v>0.0</v>
      </c>
      <c r="L89" s="135">
        <v>45931.0</v>
      </c>
      <c r="M89" s="157"/>
      <c r="N89" s="135">
        <v>46296.0</v>
      </c>
      <c r="O89" s="154"/>
      <c r="P89" s="154"/>
      <c r="Q89" s="154"/>
      <c r="R89" s="154"/>
      <c r="S89" s="154"/>
      <c r="T89" s="136">
        <v>6.0E9</v>
      </c>
      <c r="U89" s="136">
        <v>5454545.45</v>
      </c>
      <c r="V89" s="137" t="s">
        <v>294</v>
      </c>
      <c r="W89" s="134">
        <v>4.0</v>
      </c>
      <c r="X89" s="133" t="s">
        <v>1600</v>
      </c>
      <c r="Y89" s="133" t="s">
        <v>2613</v>
      </c>
      <c r="Z89" s="133" t="s">
        <v>161</v>
      </c>
      <c r="AA89" s="133">
        <v>23.0</v>
      </c>
      <c r="AB89" s="133" t="s">
        <v>1602</v>
      </c>
      <c r="AC89" s="133" t="s">
        <v>70</v>
      </c>
      <c r="AD89" s="133"/>
      <c r="AE89" s="133"/>
    </row>
    <row r="90">
      <c r="A90" s="138" t="s">
        <v>2859</v>
      </c>
      <c r="B90" s="127" t="s">
        <v>2861</v>
      </c>
      <c r="C90" s="127" t="s">
        <v>49</v>
      </c>
      <c r="D90" s="127" t="s">
        <v>2863</v>
      </c>
      <c r="E90" s="127" t="s">
        <v>2589</v>
      </c>
      <c r="F90" s="127" t="s">
        <v>1581</v>
      </c>
      <c r="G90" s="151"/>
      <c r="H90" s="127" t="s">
        <v>2793</v>
      </c>
      <c r="I90" s="127" t="s">
        <v>206</v>
      </c>
      <c r="J90" s="127" t="s">
        <v>150</v>
      </c>
      <c r="K90" s="128">
        <v>0.0</v>
      </c>
      <c r="L90" s="129">
        <v>45839.0</v>
      </c>
      <c r="M90" s="156"/>
      <c r="N90" s="129">
        <v>46204.0</v>
      </c>
      <c r="O90" s="151"/>
      <c r="P90" s="151"/>
      <c r="Q90" s="151"/>
      <c r="R90" s="151"/>
      <c r="S90" s="151"/>
      <c r="T90" s="130">
        <v>3.45833E9</v>
      </c>
      <c r="U90" s="130">
        <v>3143936.36</v>
      </c>
      <c r="V90" s="131" t="s">
        <v>2799</v>
      </c>
      <c r="W90" s="128">
        <v>2.0</v>
      </c>
      <c r="X90" s="127" t="s">
        <v>1600</v>
      </c>
      <c r="Y90" s="127" t="s">
        <v>1601</v>
      </c>
      <c r="Z90" s="127" t="s">
        <v>150</v>
      </c>
      <c r="AA90" s="127">
        <v>20.0</v>
      </c>
      <c r="AB90" s="127" t="s">
        <v>1602</v>
      </c>
      <c r="AC90" s="127" t="s">
        <v>70</v>
      </c>
      <c r="AD90" s="127"/>
      <c r="AE90" s="127"/>
    </row>
    <row r="91">
      <c r="A91" s="132" t="s">
        <v>2871</v>
      </c>
      <c r="B91" s="133" t="s">
        <v>2873</v>
      </c>
      <c r="C91" s="133" t="s">
        <v>49</v>
      </c>
      <c r="D91" s="133" t="s">
        <v>2874</v>
      </c>
      <c r="E91" s="133" t="s">
        <v>2791</v>
      </c>
      <c r="F91" s="133" t="s">
        <v>1581</v>
      </c>
      <c r="G91" s="154"/>
      <c r="H91" s="133" t="s">
        <v>2793</v>
      </c>
      <c r="I91" s="133" t="s">
        <v>687</v>
      </c>
      <c r="J91" s="133" t="s">
        <v>1839</v>
      </c>
      <c r="K91" s="134">
        <v>0.0</v>
      </c>
      <c r="L91" s="135">
        <v>45839.0</v>
      </c>
      <c r="M91" s="157"/>
      <c r="N91" s="135">
        <v>45959.0</v>
      </c>
      <c r="O91" s="154"/>
      <c r="P91" s="154"/>
      <c r="Q91" s="154"/>
      <c r="R91" s="154"/>
      <c r="S91" s="154"/>
      <c r="T91" s="136">
        <v>7.4764E8</v>
      </c>
      <c r="U91" s="136">
        <v>679672.73</v>
      </c>
      <c r="V91" s="137" t="s">
        <v>2799</v>
      </c>
      <c r="W91" s="134">
        <v>2.0</v>
      </c>
      <c r="X91" s="133" t="s">
        <v>1600</v>
      </c>
      <c r="Y91" s="133" t="s">
        <v>1601</v>
      </c>
      <c r="Z91" s="133" t="s">
        <v>1839</v>
      </c>
      <c r="AA91" s="133">
        <v>17.0</v>
      </c>
      <c r="AB91" s="133" t="s">
        <v>1602</v>
      </c>
      <c r="AC91" s="133" t="s">
        <v>70</v>
      </c>
      <c r="AD91" s="133"/>
      <c r="AE91" s="133"/>
    </row>
    <row r="92">
      <c r="A92" s="138">
        <v>3744.0</v>
      </c>
      <c r="B92" s="149" t="s">
        <v>1467</v>
      </c>
      <c r="C92" s="127" t="s">
        <v>49</v>
      </c>
      <c r="D92" s="127" t="s">
        <v>2883</v>
      </c>
      <c r="E92" s="127" t="s">
        <v>298</v>
      </c>
      <c r="F92" s="127" t="s">
        <v>1581</v>
      </c>
      <c r="G92" s="151"/>
      <c r="H92" s="127" t="s">
        <v>57</v>
      </c>
      <c r="I92" s="127" t="s">
        <v>1986</v>
      </c>
      <c r="J92" s="127" t="s">
        <v>58</v>
      </c>
      <c r="K92" s="128">
        <v>0.0</v>
      </c>
      <c r="L92" s="129">
        <v>45901.0</v>
      </c>
      <c r="M92" s="156"/>
      <c r="N92" s="129">
        <v>46441.0</v>
      </c>
      <c r="O92" s="151"/>
      <c r="P92" s="151"/>
      <c r="Q92" s="151"/>
      <c r="R92" s="150"/>
      <c r="S92" s="151"/>
      <c r="T92" s="130">
        <v>2.2E10</v>
      </c>
      <c r="U92" s="130">
        <v>2.0E7</v>
      </c>
      <c r="V92" s="131" t="s">
        <v>2783</v>
      </c>
      <c r="W92" s="128">
        <v>3.0</v>
      </c>
      <c r="X92" s="127" t="s">
        <v>1600</v>
      </c>
      <c r="Y92" s="127" t="s">
        <v>1601</v>
      </c>
      <c r="Z92" s="127" t="s">
        <v>58</v>
      </c>
      <c r="AA92" s="127">
        <v>1.0</v>
      </c>
      <c r="AB92" s="127" t="s">
        <v>1602</v>
      </c>
      <c r="AC92" s="127" t="s">
        <v>70</v>
      </c>
      <c r="AD92" s="127"/>
      <c r="AE92" s="127"/>
    </row>
    <row r="93">
      <c r="A93" s="132">
        <v>7684.0</v>
      </c>
      <c r="B93" s="133" t="s">
        <v>2893</v>
      </c>
      <c r="C93" s="133" t="s">
        <v>49</v>
      </c>
      <c r="D93" s="133" t="s">
        <v>2895</v>
      </c>
      <c r="E93" s="133" t="s">
        <v>298</v>
      </c>
      <c r="F93" s="133" t="s">
        <v>1581</v>
      </c>
      <c r="G93" s="154"/>
      <c r="H93" s="133" t="s">
        <v>2793</v>
      </c>
      <c r="I93" s="133" t="s">
        <v>2897</v>
      </c>
      <c r="J93" s="133" t="s">
        <v>1747</v>
      </c>
      <c r="K93" s="134">
        <v>0.0</v>
      </c>
      <c r="L93" s="135">
        <v>45839.0</v>
      </c>
      <c r="M93" s="157"/>
      <c r="N93" s="135">
        <v>46204.0</v>
      </c>
      <c r="O93" s="154"/>
      <c r="P93" s="154"/>
      <c r="Q93" s="154"/>
      <c r="R93" s="153"/>
      <c r="S93" s="154"/>
      <c r="T93" s="136">
        <v>1.0092E10</v>
      </c>
      <c r="U93" s="136">
        <v>9174545.45</v>
      </c>
      <c r="V93" s="137" t="s">
        <v>2799</v>
      </c>
      <c r="W93" s="134">
        <v>2.0</v>
      </c>
      <c r="X93" s="133" t="s">
        <v>1600</v>
      </c>
      <c r="Y93" s="133" t="s">
        <v>1601</v>
      </c>
      <c r="Z93" s="133" t="s">
        <v>1747</v>
      </c>
      <c r="AA93" s="133">
        <v>6.0</v>
      </c>
      <c r="AB93" s="133" t="s">
        <v>1602</v>
      </c>
      <c r="AC93" s="133" t="s">
        <v>70</v>
      </c>
      <c r="AD93" s="133"/>
      <c r="AE93" s="133"/>
    </row>
    <row r="94">
      <c r="A94" s="138">
        <v>7688.0</v>
      </c>
      <c r="B94" s="127" t="s">
        <v>2905</v>
      </c>
      <c r="C94" s="127" t="s">
        <v>49</v>
      </c>
      <c r="D94" s="127" t="s">
        <v>2907</v>
      </c>
      <c r="E94" s="127" t="s">
        <v>298</v>
      </c>
      <c r="F94" s="127" t="s">
        <v>1581</v>
      </c>
      <c r="G94" s="151"/>
      <c r="H94" s="127" t="s">
        <v>2793</v>
      </c>
      <c r="I94" s="127" t="s">
        <v>2909</v>
      </c>
      <c r="J94" s="127" t="s">
        <v>1674</v>
      </c>
      <c r="K94" s="128">
        <v>0.0</v>
      </c>
      <c r="L94" s="129">
        <v>45839.0</v>
      </c>
      <c r="M94" s="156"/>
      <c r="N94" s="129">
        <v>46204.0</v>
      </c>
      <c r="O94" s="151"/>
      <c r="P94" s="151"/>
      <c r="Q94" s="151"/>
      <c r="R94" s="150"/>
      <c r="S94" s="151"/>
      <c r="T94" s="130">
        <v>1.8188E10</v>
      </c>
      <c r="U94" s="130">
        <v>1.653454545E7</v>
      </c>
      <c r="V94" s="131" t="s">
        <v>2799</v>
      </c>
      <c r="W94" s="128">
        <v>2.0</v>
      </c>
      <c r="X94" s="127" t="s">
        <v>1600</v>
      </c>
      <c r="Y94" s="127" t="s">
        <v>1601</v>
      </c>
      <c r="Z94" s="127" t="s">
        <v>1674</v>
      </c>
      <c r="AA94" s="127">
        <v>26.0</v>
      </c>
      <c r="AB94" s="127" t="s">
        <v>1602</v>
      </c>
      <c r="AC94" s="127" t="s">
        <v>70</v>
      </c>
      <c r="AD94" s="127"/>
      <c r="AE94" s="127"/>
    </row>
    <row r="95">
      <c r="A95" s="132" t="s">
        <v>2916</v>
      </c>
      <c r="B95" s="133" t="s">
        <v>2917</v>
      </c>
      <c r="C95" s="133" t="s">
        <v>49</v>
      </c>
      <c r="D95" s="133" t="s">
        <v>2920</v>
      </c>
      <c r="E95" s="133" t="s">
        <v>298</v>
      </c>
      <c r="F95" s="133" t="s">
        <v>1581</v>
      </c>
      <c r="G95" s="154"/>
      <c r="H95" s="133" t="s">
        <v>64</v>
      </c>
      <c r="I95" s="133" t="s">
        <v>2922</v>
      </c>
      <c r="J95" s="133" t="s">
        <v>112</v>
      </c>
      <c r="K95" s="134">
        <v>0.0</v>
      </c>
      <c r="L95" s="135">
        <v>45992.0</v>
      </c>
      <c r="M95" s="157"/>
      <c r="N95" s="135">
        <v>46357.0</v>
      </c>
      <c r="O95" s="154"/>
      <c r="P95" s="154"/>
      <c r="Q95" s="154"/>
      <c r="R95" s="153"/>
      <c r="S95" s="154"/>
      <c r="T95" s="136">
        <v>1.7039E10</v>
      </c>
      <c r="U95" s="136">
        <v>1.549E7</v>
      </c>
      <c r="V95" s="137" t="s">
        <v>2783</v>
      </c>
      <c r="W95" s="134">
        <v>3.0</v>
      </c>
      <c r="X95" s="133" t="s">
        <v>92</v>
      </c>
      <c r="Y95" s="133" t="s">
        <v>1601</v>
      </c>
      <c r="Z95" s="133" t="s">
        <v>112</v>
      </c>
      <c r="AA95" s="133">
        <v>12.0</v>
      </c>
      <c r="AB95" s="133" t="s">
        <v>1565</v>
      </c>
      <c r="AC95" s="133" t="s">
        <v>70</v>
      </c>
      <c r="AD95" s="133"/>
      <c r="AE95" s="133"/>
    </row>
    <row r="96">
      <c r="A96" s="138" t="s">
        <v>2931</v>
      </c>
      <c r="B96" s="127" t="s">
        <v>2933</v>
      </c>
      <c r="C96" s="127" t="s">
        <v>49</v>
      </c>
      <c r="D96" s="127" t="s">
        <v>2934</v>
      </c>
      <c r="E96" s="127" t="s">
        <v>298</v>
      </c>
      <c r="F96" s="127" t="s">
        <v>1581</v>
      </c>
      <c r="G96" s="151"/>
      <c r="H96" s="127" t="s">
        <v>64</v>
      </c>
      <c r="I96" s="127" t="s">
        <v>481</v>
      </c>
      <c r="J96" s="127" t="s">
        <v>2937</v>
      </c>
      <c r="K96" s="128">
        <v>0.0</v>
      </c>
      <c r="L96" s="129">
        <v>45992.0</v>
      </c>
      <c r="M96" s="156"/>
      <c r="N96" s="129">
        <v>46357.0</v>
      </c>
      <c r="O96" s="151"/>
      <c r="P96" s="151"/>
      <c r="Q96" s="151"/>
      <c r="R96" s="150"/>
      <c r="S96" s="151"/>
      <c r="T96" s="130">
        <v>1.5135E10</v>
      </c>
      <c r="U96" s="130">
        <v>1.375909091E7</v>
      </c>
      <c r="V96" s="131" t="s">
        <v>294</v>
      </c>
      <c r="W96" s="128">
        <v>3.0</v>
      </c>
      <c r="X96" s="127" t="s">
        <v>1600</v>
      </c>
      <c r="Y96" s="127" t="s">
        <v>2755</v>
      </c>
      <c r="Z96" s="127" t="s">
        <v>94</v>
      </c>
      <c r="AA96" s="127">
        <v>8.0</v>
      </c>
      <c r="AB96" s="127" t="s">
        <v>1565</v>
      </c>
      <c r="AC96" s="127" t="s">
        <v>70</v>
      </c>
      <c r="AD96" s="127"/>
      <c r="AE96" s="127"/>
    </row>
    <row r="97">
      <c r="A97" s="132" t="s">
        <v>2944</v>
      </c>
      <c r="B97" s="133" t="s">
        <v>2945</v>
      </c>
      <c r="C97" s="133" t="s">
        <v>49</v>
      </c>
      <c r="D97" s="133" t="s">
        <v>2947</v>
      </c>
      <c r="E97" s="133" t="s">
        <v>298</v>
      </c>
      <c r="F97" s="133" t="s">
        <v>1581</v>
      </c>
      <c r="G97" s="154"/>
      <c r="H97" s="133" t="s">
        <v>64</v>
      </c>
      <c r="I97" s="133" t="s">
        <v>2922</v>
      </c>
      <c r="J97" s="133" t="s">
        <v>112</v>
      </c>
      <c r="K97" s="134">
        <v>0.0</v>
      </c>
      <c r="L97" s="135">
        <v>45992.0</v>
      </c>
      <c r="M97" s="157"/>
      <c r="N97" s="135">
        <v>46357.0</v>
      </c>
      <c r="O97" s="154"/>
      <c r="P97" s="154"/>
      <c r="Q97" s="154"/>
      <c r="R97" s="153"/>
      <c r="S97" s="154"/>
      <c r="T97" s="136">
        <v>1.7235E10</v>
      </c>
      <c r="U97" s="136">
        <v>1.566818182E7</v>
      </c>
      <c r="V97" s="137" t="s">
        <v>2783</v>
      </c>
      <c r="W97" s="134">
        <v>3.0</v>
      </c>
      <c r="X97" s="133" t="s">
        <v>92</v>
      </c>
      <c r="Y97" s="133" t="s">
        <v>1601</v>
      </c>
      <c r="Z97" s="133" t="s">
        <v>112</v>
      </c>
      <c r="AA97" s="133">
        <v>12.0</v>
      </c>
      <c r="AB97" s="133" t="s">
        <v>1565</v>
      </c>
      <c r="AC97" s="133" t="s">
        <v>70</v>
      </c>
      <c r="AD97" s="133"/>
      <c r="AE97" s="133"/>
    </row>
    <row r="98">
      <c r="A98" s="138">
        <v>7718.0</v>
      </c>
      <c r="B98" s="127" t="s">
        <v>2955</v>
      </c>
      <c r="C98" s="127" t="s">
        <v>49</v>
      </c>
      <c r="D98" s="127" t="s">
        <v>2956</v>
      </c>
      <c r="E98" s="127" t="s">
        <v>298</v>
      </c>
      <c r="F98" s="127" t="s">
        <v>1581</v>
      </c>
      <c r="G98" s="151"/>
      <c r="H98" s="127" t="s">
        <v>2793</v>
      </c>
      <c r="I98" s="127" t="s">
        <v>2958</v>
      </c>
      <c r="J98" s="127" t="s">
        <v>120</v>
      </c>
      <c r="K98" s="128">
        <v>0.0</v>
      </c>
      <c r="L98" s="129">
        <v>45839.0</v>
      </c>
      <c r="M98" s="156"/>
      <c r="N98" s="129">
        <v>46204.0</v>
      </c>
      <c r="O98" s="151"/>
      <c r="P98" s="151"/>
      <c r="Q98" s="151"/>
      <c r="R98" s="150"/>
      <c r="S98" s="151"/>
      <c r="T98" s="130">
        <v>1.903E10</v>
      </c>
      <c r="U98" s="130">
        <v>1.73E7</v>
      </c>
      <c r="V98" s="131" t="s">
        <v>2799</v>
      </c>
      <c r="W98" s="128">
        <v>2.0</v>
      </c>
      <c r="X98" s="127" t="s">
        <v>1600</v>
      </c>
      <c r="Y98" s="127" t="s">
        <v>1601</v>
      </c>
      <c r="Z98" s="127" t="s">
        <v>120</v>
      </c>
      <c r="AA98" s="127">
        <v>26.0</v>
      </c>
      <c r="AB98" s="127" t="s">
        <v>1602</v>
      </c>
      <c r="AC98" s="127" t="s">
        <v>70</v>
      </c>
      <c r="AD98" s="127"/>
      <c r="AE98" s="127"/>
    </row>
    <row r="99">
      <c r="A99" s="132">
        <v>7682.0</v>
      </c>
      <c r="B99" s="133" t="s">
        <v>2964</v>
      </c>
      <c r="C99" s="133" t="s">
        <v>49</v>
      </c>
      <c r="D99" s="133" t="s">
        <v>2966</v>
      </c>
      <c r="E99" s="133" t="s">
        <v>298</v>
      </c>
      <c r="F99" s="133" t="s">
        <v>1581</v>
      </c>
      <c r="G99" s="154"/>
      <c r="H99" s="133" t="s">
        <v>2793</v>
      </c>
      <c r="I99" s="133" t="s">
        <v>2968</v>
      </c>
      <c r="J99" s="133" t="s">
        <v>31</v>
      </c>
      <c r="K99" s="134">
        <v>0.0</v>
      </c>
      <c r="L99" s="135">
        <v>45839.0</v>
      </c>
      <c r="M99" s="157"/>
      <c r="N99" s="135">
        <v>46204.0</v>
      </c>
      <c r="O99" s="154"/>
      <c r="P99" s="154"/>
      <c r="Q99" s="154"/>
      <c r="R99" s="153"/>
      <c r="S99" s="154"/>
      <c r="T99" s="136">
        <v>1.8475E10</v>
      </c>
      <c r="U99" s="136">
        <v>1.679545455E7</v>
      </c>
      <c r="V99" s="137" t="s">
        <v>2799</v>
      </c>
      <c r="W99" s="134">
        <v>2.0</v>
      </c>
      <c r="X99" s="133" t="s">
        <v>92</v>
      </c>
      <c r="Y99" s="133" t="s">
        <v>1601</v>
      </c>
      <c r="Z99" s="133" t="s">
        <v>31</v>
      </c>
      <c r="AA99" s="133">
        <v>5.0</v>
      </c>
      <c r="AB99" s="133" t="s">
        <v>1565</v>
      </c>
      <c r="AC99" s="133" t="s">
        <v>70</v>
      </c>
      <c r="AD99" s="133"/>
      <c r="AE99" s="133"/>
    </row>
    <row r="100">
      <c r="A100" s="155">
        <v>2084745.0</v>
      </c>
      <c r="B100" s="127" t="s">
        <v>2976</v>
      </c>
      <c r="C100" s="127" t="s">
        <v>49</v>
      </c>
      <c r="D100" s="127" t="s">
        <v>2977</v>
      </c>
      <c r="E100" s="127" t="s">
        <v>298</v>
      </c>
      <c r="F100" s="127" t="s">
        <v>1581</v>
      </c>
      <c r="G100" s="151"/>
      <c r="H100" s="127" t="s">
        <v>64</v>
      </c>
      <c r="I100" s="127" t="s">
        <v>560</v>
      </c>
      <c r="J100" s="127" t="s">
        <v>150</v>
      </c>
      <c r="K100" s="151"/>
      <c r="L100" s="129">
        <v>45901.0</v>
      </c>
      <c r="M100" s="156"/>
      <c r="N100" s="129">
        <v>46381.0</v>
      </c>
      <c r="O100" s="151"/>
      <c r="P100" s="151"/>
      <c r="Q100" s="151"/>
      <c r="R100" s="150"/>
      <c r="S100" s="151"/>
      <c r="T100" s="130">
        <v>2.0E10</v>
      </c>
      <c r="U100" s="130">
        <v>1.818181818E7</v>
      </c>
      <c r="V100" s="131" t="s">
        <v>2783</v>
      </c>
      <c r="W100" s="128">
        <v>3.0</v>
      </c>
      <c r="X100" s="127" t="s">
        <v>1600</v>
      </c>
      <c r="Y100" s="127" t="s">
        <v>1601</v>
      </c>
      <c r="Z100" s="127" t="s">
        <v>150</v>
      </c>
      <c r="AA100" s="127">
        <v>20.0</v>
      </c>
      <c r="AB100" s="127" t="s">
        <v>1602</v>
      </c>
      <c r="AC100" s="127" t="s">
        <v>70</v>
      </c>
      <c r="AD100" s="127"/>
      <c r="AE100" s="127"/>
    </row>
    <row r="101">
      <c r="A101" s="132">
        <v>7687.0</v>
      </c>
      <c r="B101" s="133" t="s">
        <v>2986</v>
      </c>
      <c r="C101" s="133" t="s">
        <v>49</v>
      </c>
      <c r="D101" s="133" t="s">
        <v>2988</v>
      </c>
      <c r="E101" s="133" t="s">
        <v>298</v>
      </c>
      <c r="F101" s="133" t="s">
        <v>1581</v>
      </c>
      <c r="G101" s="154"/>
      <c r="H101" s="133" t="s">
        <v>2793</v>
      </c>
      <c r="I101" s="133" t="s">
        <v>182</v>
      </c>
      <c r="J101" s="133" t="s">
        <v>150</v>
      </c>
      <c r="K101" s="134">
        <v>0.0</v>
      </c>
      <c r="L101" s="135">
        <v>45839.0</v>
      </c>
      <c r="M101" s="157"/>
      <c r="N101" s="135">
        <v>46204.0</v>
      </c>
      <c r="O101" s="154"/>
      <c r="P101" s="154"/>
      <c r="Q101" s="154"/>
      <c r="R101" s="153"/>
      <c r="S101" s="154"/>
      <c r="T101" s="136">
        <v>1.173E10</v>
      </c>
      <c r="U101" s="136">
        <v>1.066363636E7</v>
      </c>
      <c r="V101" s="137" t="s">
        <v>2799</v>
      </c>
      <c r="W101" s="134">
        <v>2.0</v>
      </c>
      <c r="X101" s="133" t="s">
        <v>1600</v>
      </c>
      <c r="Y101" s="133" t="s">
        <v>1601</v>
      </c>
      <c r="Z101" s="133" t="s">
        <v>150</v>
      </c>
      <c r="AA101" s="133">
        <v>20.0</v>
      </c>
      <c r="AB101" s="133" t="s">
        <v>1602</v>
      </c>
      <c r="AC101" s="133" t="s">
        <v>70</v>
      </c>
      <c r="AD101" s="133"/>
      <c r="AE101" s="133"/>
    </row>
    <row r="102">
      <c r="A102" s="138">
        <v>7686.0</v>
      </c>
      <c r="B102" s="127" t="s">
        <v>841</v>
      </c>
      <c r="C102" s="127" t="s">
        <v>49</v>
      </c>
      <c r="D102" s="127" t="s">
        <v>840</v>
      </c>
      <c r="E102" s="127" t="s">
        <v>298</v>
      </c>
      <c r="F102" s="127" t="s">
        <v>1581</v>
      </c>
      <c r="G102" s="151"/>
      <c r="H102" s="127" t="s">
        <v>2793</v>
      </c>
      <c r="I102" s="127" t="s">
        <v>2997</v>
      </c>
      <c r="J102" s="127" t="s">
        <v>101</v>
      </c>
      <c r="K102" s="128">
        <v>0.0</v>
      </c>
      <c r="L102" s="129">
        <v>45839.0</v>
      </c>
      <c r="M102" s="156"/>
      <c r="N102" s="129">
        <v>46204.0</v>
      </c>
      <c r="O102" s="151"/>
      <c r="P102" s="151"/>
      <c r="Q102" s="151"/>
      <c r="R102" s="150"/>
      <c r="S102" s="151"/>
      <c r="T102" s="130">
        <v>2.1362E10</v>
      </c>
      <c r="U102" s="130">
        <v>1.942E7</v>
      </c>
      <c r="V102" s="131" t="s">
        <v>2799</v>
      </c>
      <c r="W102" s="128">
        <v>2.0</v>
      </c>
      <c r="X102" s="127" t="s">
        <v>147</v>
      </c>
      <c r="Y102" s="127" t="s">
        <v>1601</v>
      </c>
      <c r="Z102" s="127" t="s">
        <v>101</v>
      </c>
      <c r="AA102" s="127">
        <v>10.0</v>
      </c>
      <c r="AB102" s="127" t="s">
        <v>1565</v>
      </c>
      <c r="AC102" s="127" t="s">
        <v>70</v>
      </c>
      <c r="AD102" s="127"/>
      <c r="AE102" s="127"/>
    </row>
    <row r="103">
      <c r="A103" s="132">
        <v>7683.0</v>
      </c>
      <c r="B103" s="133" t="s">
        <v>3004</v>
      </c>
      <c r="C103" s="133" t="s">
        <v>49</v>
      </c>
      <c r="D103" s="133" t="s">
        <v>3007</v>
      </c>
      <c r="E103" s="133" t="s">
        <v>298</v>
      </c>
      <c r="F103" s="133" t="s">
        <v>1581</v>
      </c>
      <c r="G103" s="154"/>
      <c r="H103" s="133" t="s">
        <v>2793</v>
      </c>
      <c r="I103" s="133" t="s">
        <v>481</v>
      </c>
      <c r="J103" s="133" t="s">
        <v>2937</v>
      </c>
      <c r="K103" s="134">
        <v>0.0</v>
      </c>
      <c r="L103" s="135">
        <v>45839.0</v>
      </c>
      <c r="M103" s="157"/>
      <c r="N103" s="135">
        <v>46204.0</v>
      </c>
      <c r="O103" s="154"/>
      <c r="P103" s="154"/>
      <c r="Q103" s="154"/>
      <c r="R103" s="153"/>
      <c r="S103" s="154"/>
      <c r="T103" s="136">
        <v>1.7237E10</v>
      </c>
      <c r="U103" s="136">
        <v>1.567E7</v>
      </c>
      <c r="V103" s="137" t="s">
        <v>2799</v>
      </c>
      <c r="W103" s="134">
        <v>2.0</v>
      </c>
      <c r="X103" s="133" t="s">
        <v>1600</v>
      </c>
      <c r="Y103" s="133" t="s">
        <v>1601</v>
      </c>
      <c r="Z103" s="133" t="s">
        <v>94</v>
      </c>
      <c r="AA103" s="133">
        <v>8.0</v>
      </c>
      <c r="AB103" s="133" t="s">
        <v>1565</v>
      </c>
      <c r="AC103" s="133" t="s">
        <v>70</v>
      </c>
      <c r="AD103" s="133"/>
      <c r="AE103" s="133"/>
    </row>
    <row r="104">
      <c r="A104" s="138">
        <v>7690.0</v>
      </c>
      <c r="B104" s="127" t="s">
        <v>3015</v>
      </c>
      <c r="C104" s="127" t="s">
        <v>49</v>
      </c>
      <c r="D104" s="127" t="s">
        <v>3017</v>
      </c>
      <c r="E104" s="127" t="s">
        <v>298</v>
      </c>
      <c r="F104" s="127" t="s">
        <v>1581</v>
      </c>
      <c r="G104" s="151"/>
      <c r="H104" s="127" t="s">
        <v>2793</v>
      </c>
      <c r="I104" s="127" t="s">
        <v>3020</v>
      </c>
      <c r="J104" s="127" t="s">
        <v>1683</v>
      </c>
      <c r="K104" s="128">
        <v>0.0</v>
      </c>
      <c r="L104" s="129">
        <v>45839.0</v>
      </c>
      <c r="M104" s="156"/>
      <c r="N104" s="129">
        <v>46204.0</v>
      </c>
      <c r="O104" s="151"/>
      <c r="P104" s="151"/>
      <c r="Q104" s="151"/>
      <c r="R104" s="150"/>
      <c r="S104" s="151"/>
      <c r="T104" s="130">
        <v>2.0411E10</v>
      </c>
      <c r="U104" s="130">
        <v>1.855545455E7</v>
      </c>
      <c r="V104" s="131" t="s">
        <v>2799</v>
      </c>
      <c r="W104" s="128">
        <v>2.0</v>
      </c>
      <c r="X104" s="127" t="s">
        <v>1600</v>
      </c>
      <c r="Y104" s="127" t="s">
        <v>1601</v>
      </c>
      <c r="Z104" s="127" t="s">
        <v>1683</v>
      </c>
      <c r="AA104" s="127">
        <v>9.0</v>
      </c>
      <c r="AB104" s="127" t="s">
        <v>1602</v>
      </c>
      <c r="AC104" s="127" t="s">
        <v>70</v>
      </c>
      <c r="AD104" s="127"/>
      <c r="AE104" s="127"/>
    </row>
    <row r="105">
      <c r="A105" s="132">
        <v>7714.0</v>
      </c>
      <c r="B105" s="133" t="s">
        <v>3027</v>
      </c>
      <c r="C105" s="133" t="s">
        <v>49</v>
      </c>
      <c r="D105" s="133" t="s">
        <v>3028</v>
      </c>
      <c r="E105" s="133" t="s">
        <v>298</v>
      </c>
      <c r="F105" s="133" t="s">
        <v>1581</v>
      </c>
      <c r="G105" s="154"/>
      <c r="H105" s="133" t="s">
        <v>2793</v>
      </c>
      <c r="I105" s="133" t="s">
        <v>3030</v>
      </c>
      <c r="J105" s="133" t="s">
        <v>1646</v>
      </c>
      <c r="K105" s="134">
        <v>0.0</v>
      </c>
      <c r="L105" s="135">
        <v>45839.0</v>
      </c>
      <c r="M105" s="157"/>
      <c r="N105" s="135">
        <v>46204.0</v>
      </c>
      <c r="O105" s="154"/>
      <c r="P105" s="154"/>
      <c r="Q105" s="154"/>
      <c r="R105" s="153"/>
      <c r="S105" s="154"/>
      <c r="T105" s="136">
        <v>6.574E9</v>
      </c>
      <c r="U105" s="136">
        <v>5976363.64</v>
      </c>
      <c r="V105" s="137" t="s">
        <v>2799</v>
      </c>
      <c r="W105" s="134">
        <v>2.0</v>
      </c>
      <c r="X105" s="133" t="s">
        <v>1600</v>
      </c>
      <c r="Y105" s="133" t="s">
        <v>1601</v>
      </c>
      <c r="Z105" s="133" t="s">
        <v>1646</v>
      </c>
      <c r="AA105" s="133">
        <v>14.0</v>
      </c>
      <c r="AB105" s="133" t="s">
        <v>1602</v>
      </c>
      <c r="AC105" s="133" t="s">
        <v>70</v>
      </c>
      <c r="AD105" s="133"/>
      <c r="AE105" s="133"/>
    </row>
    <row r="106">
      <c r="A106" s="138">
        <v>7685.0</v>
      </c>
      <c r="B106" s="127" t="s">
        <v>3039</v>
      </c>
      <c r="C106" s="127" t="s">
        <v>49</v>
      </c>
      <c r="D106" s="127" t="s">
        <v>3041</v>
      </c>
      <c r="E106" s="127" t="s">
        <v>298</v>
      </c>
      <c r="F106" s="127" t="s">
        <v>1581</v>
      </c>
      <c r="G106" s="150"/>
      <c r="H106" s="127" t="s">
        <v>2793</v>
      </c>
      <c r="I106" s="127" t="s">
        <v>3044</v>
      </c>
      <c r="J106" s="127" t="s">
        <v>32</v>
      </c>
      <c r="K106" s="128">
        <v>0.0</v>
      </c>
      <c r="L106" s="129">
        <v>45839.0</v>
      </c>
      <c r="M106" s="150"/>
      <c r="N106" s="129">
        <v>46204.0</v>
      </c>
      <c r="O106" s="150"/>
      <c r="P106" s="150"/>
      <c r="Q106" s="151"/>
      <c r="R106" s="150"/>
      <c r="S106" s="150"/>
      <c r="T106" s="130">
        <v>1.7802E10</v>
      </c>
      <c r="U106" s="130">
        <v>1.618363636E7</v>
      </c>
      <c r="V106" s="131" t="s">
        <v>2799</v>
      </c>
      <c r="W106" s="128">
        <v>2.0</v>
      </c>
      <c r="X106" s="127" t="s">
        <v>1600</v>
      </c>
      <c r="Y106" s="127" t="s">
        <v>1601</v>
      </c>
      <c r="Z106" s="127" t="s">
        <v>32</v>
      </c>
      <c r="AA106" s="127">
        <v>2.0</v>
      </c>
      <c r="AB106" s="127" t="s">
        <v>1602</v>
      </c>
      <c r="AC106" s="127" t="s">
        <v>70</v>
      </c>
      <c r="AD106" s="127"/>
      <c r="AE106" s="127"/>
    </row>
    <row r="107">
      <c r="A107" s="152">
        <v>2084441.0</v>
      </c>
      <c r="B107" s="133" t="s">
        <v>3050</v>
      </c>
      <c r="C107" s="133" t="s">
        <v>49</v>
      </c>
      <c r="D107" s="133" t="s">
        <v>3052</v>
      </c>
      <c r="E107" s="133" t="s">
        <v>298</v>
      </c>
      <c r="F107" s="133" t="s">
        <v>1581</v>
      </c>
      <c r="G107" s="153"/>
      <c r="H107" s="133" t="s">
        <v>64</v>
      </c>
      <c r="I107" s="133" t="s">
        <v>3054</v>
      </c>
      <c r="J107" s="133" t="s">
        <v>32</v>
      </c>
      <c r="K107" s="134">
        <v>0.0</v>
      </c>
      <c r="L107" s="135">
        <v>45901.0</v>
      </c>
      <c r="M107" s="153"/>
      <c r="N107" s="135">
        <v>46266.0</v>
      </c>
      <c r="O107" s="153"/>
      <c r="P107" s="153"/>
      <c r="Q107" s="154"/>
      <c r="R107" s="153"/>
      <c r="S107" s="153"/>
      <c r="T107" s="136">
        <v>8.0E9</v>
      </c>
      <c r="U107" s="136">
        <v>7272727.27</v>
      </c>
      <c r="V107" s="137" t="s">
        <v>2783</v>
      </c>
      <c r="W107" s="134">
        <v>3.0</v>
      </c>
      <c r="X107" s="133" t="s">
        <v>1600</v>
      </c>
      <c r="Y107" s="133" t="s">
        <v>1601</v>
      </c>
      <c r="Z107" s="133" t="s">
        <v>32</v>
      </c>
      <c r="AA107" s="133">
        <v>2.0</v>
      </c>
      <c r="AB107" s="133" t="s">
        <v>1602</v>
      </c>
      <c r="AC107" s="133" t="s">
        <v>70</v>
      </c>
      <c r="AD107" s="133"/>
      <c r="AE107" s="133"/>
    </row>
    <row r="108">
      <c r="A108" s="138" t="s">
        <v>3062</v>
      </c>
      <c r="B108" s="127" t="s">
        <v>3064</v>
      </c>
      <c r="C108" s="127" t="s">
        <v>49</v>
      </c>
      <c r="D108" s="127" t="s">
        <v>3066</v>
      </c>
      <c r="E108" s="127" t="s">
        <v>298</v>
      </c>
      <c r="F108" s="127" t="s">
        <v>1581</v>
      </c>
      <c r="G108" s="151"/>
      <c r="H108" s="127" t="s">
        <v>64</v>
      </c>
      <c r="I108" s="127" t="s">
        <v>443</v>
      </c>
      <c r="J108" s="127" t="s">
        <v>107</v>
      </c>
      <c r="K108" s="128">
        <v>0.0</v>
      </c>
      <c r="L108" s="129">
        <v>45901.0</v>
      </c>
      <c r="M108" s="150"/>
      <c r="N108" s="129">
        <v>46441.0</v>
      </c>
      <c r="O108" s="150"/>
      <c r="P108" s="150"/>
      <c r="Q108" s="151"/>
      <c r="R108" s="150"/>
      <c r="S108" s="150"/>
      <c r="T108" s="130">
        <v>1.7956E10</v>
      </c>
      <c r="U108" s="130">
        <v>1.632363636E7</v>
      </c>
      <c r="V108" s="131" t="s">
        <v>2783</v>
      </c>
      <c r="W108" s="128">
        <v>3.0</v>
      </c>
      <c r="X108" s="127" t="s">
        <v>147</v>
      </c>
      <c r="Y108" s="127" t="s">
        <v>1601</v>
      </c>
      <c r="Z108" s="127" t="s">
        <v>107</v>
      </c>
      <c r="AA108" s="127">
        <v>19.0</v>
      </c>
      <c r="AB108" s="127" t="s">
        <v>1565</v>
      </c>
      <c r="AC108" s="127" t="s">
        <v>70</v>
      </c>
      <c r="AD108" s="127"/>
      <c r="AE108" s="127"/>
    </row>
    <row r="109">
      <c r="A109" s="132">
        <v>7689.0</v>
      </c>
      <c r="B109" s="133" t="s">
        <v>3076</v>
      </c>
      <c r="C109" s="133" t="s">
        <v>49</v>
      </c>
      <c r="D109" s="133" t="s">
        <v>3079</v>
      </c>
      <c r="E109" s="133" t="s">
        <v>298</v>
      </c>
      <c r="F109" s="133" t="s">
        <v>1581</v>
      </c>
      <c r="G109" s="154"/>
      <c r="H109" s="133" t="s">
        <v>2793</v>
      </c>
      <c r="I109" s="133" t="s">
        <v>3082</v>
      </c>
      <c r="J109" s="133" t="s">
        <v>150</v>
      </c>
      <c r="K109" s="134">
        <v>0.0</v>
      </c>
      <c r="L109" s="135">
        <v>45839.0</v>
      </c>
      <c r="M109" s="153"/>
      <c r="N109" s="135">
        <v>46204.0</v>
      </c>
      <c r="O109" s="153"/>
      <c r="P109" s="153"/>
      <c r="Q109" s="154"/>
      <c r="R109" s="153"/>
      <c r="S109" s="153"/>
      <c r="T109" s="136">
        <v>1.2837E10</v>
      </c>
      <c r="U109" s="136">
        <v>1.167E7</v>
      </c>
      <c r="V109" s="137" t="s">
        <v>2799</v>
      </c>
      <c r="W109" s="134">
        <v>2.0</v>
      </c>
      <c r="X109" s="133" t="s">
        <v>1600</v>
      </c>
      <c r="Y109" s="133" t="s">
        <v>1601</v>
      </c>
      <c r="Z109" s="133" t="s">
        <v>150</v>
      </c>
      <c r="AA109" s="133">
        <v>20.0</v>
      </c>
      <c r="AB109" s="133" t="s">
        <v>1602</v>
      </c>
      <c r="AC109" s="133" t="s">
        <v>70</v>
      </c>
      <c r="AD109" s="133"/>
      <c r="AE109" s="133"/>
    </row>
    <row r="110">
      <c r="A110" s="138" t="s">
        <v>3093</v>
      </c>
      <c r="B110" s="127" t="s">
        <v>3094</v>
      </c>
      <c r="C110" s="127" t="s">
        <v>49</v>
      </c>
      <c r="D110" s="127" t="s">
        <v>3095</v>
      </c>
      <c r="E110" s="127" t="s">
        <v>298</v>
      </c>
      <c r="F110" s="127" t="s">
        <v>1581</v>
      </c>
      <c r="G110" s="151"/>
      <c r="H110" s="127" t="s">
        <v>64</v>
      </c>
      <c r="I110" s="127" t="s">
        <v>391</v>
      </c>
      <c r="J110" s="127" t="s">
        <v>112</v>
      </c>
      <c r="K110" s="128">
        <v>0.0</v>
      </c>
      <c r="L110" s="129">
        <v>45992.0</v>
      </c>
      <c r="M110" s="150"/>
      <c r="N110" s="129">
        <v>46357.0</v>
      </c>
      <c r="O110" s="150"/>
      <c r="P110" s="150"/>
      <c r="Q110" s="151"/>
      <c r="R110" s="150"/>
      <c r="S110" s="150"/>
      <c r="T110" s="130">
        <v>1.50265E10</v>
      </c>
      <c r="U110" s="130">
        <v>1.366045455E7</v>
      </c>
      <c r="V110" s="131" t="s">
        <v>2783</v>
      </c>
      <c r="W110" s="128">
        <v>3.0</v>
      </c>
      <c r="X110" s="127" t="s">
        <v>92</v>
      </c>
      <c r="Y110" s="127" t="s">
        <v>1601</v>
      </c>
      <c r="Z110" s="127" t="s">
        <v>112</v>
      </c>
      <c r="AA110" s="127">
        <v>12.0</v>
      </c>
      <c r="AB110" s="127" t="s">
        <v>1565</v>
      </c>
      <c r="AC110" s="127" t="s">
        <v>70</v>
      </c>
      <c r="AD110" s="127"/>
      <c r="AE110" s="127"/>
    </row>
    <row r="111">
      <c r="A111" s="152">
        <v>2084684.0</v>
      </c>
      <c r="B111" s="149" t="s">
        <v>1467</v>
      </c>
      <c r="C111" s="133" t="s">
        <v>49</v>
      </c>
      <c r="D111" s="133" t="s">
        <v>3104</v>
      </c>
      <c r="E111" s="133" t="s">
        <v>298</v>
      </c>
      <c r="F111" s="133" t="s">
        <v>1581</v>
      </c>
      <c r="G111" s="154"/>
      <c r="H111" s="133" t="s">
        <v>64</v>
      </c>
      <c r="I111" s="133" t="s">
        <v>1839</v>
      </c>
      <c r="J111" s="133" t="s">
        <v>1839</v>
      </c>
      <c r="K111" s="154"/>
      <c r="L111" s="135">
        <v>45931.0</v>
      </c>
      <c r="M111" s="153"/>
      <c r="N111" s="135">
        <v>46111.0</v>
      </c>
      <c r="O111" s="153"/>
      <c r="P111" s="153"/>
      <c r="Q111" s="154"/>
      <c r="R111" s="153"/>
      <c r="S111" s="153"/>
      <c r="T111" s="136">
        <v>8.0E8</v>
      </c>
      <c r="U111" s="136">
        <v>727272.73</v>
      </c>
      <c r="V111" s="137" t="s">
        <v>294</v>
      </c>
      <c r="W111" s="134">
        <v>4.0</v>
      </c>
      <c r="X111" s="133" t="s">
        <v>1600</v>
      </c>
      <c r="Y111" s="133" t="s">
        <v>2613</v>
      </c>
      <c r="Z111" s="133" t="s">
        <v>1839</v>
      </c>
      <c r="AA111" s="133">
        <v>17.0</v>
      </c>
      <c r="AB111" s="133" t="s">
        <v>1602</v>
      </c>
      <c r="AC111" s="133" t="s">
        <v>70</v>
      </c>
      <c r="AD111" s="133"/>
      <c r="AE111" s="133"/>
    </row>
    <row r="112">
      <c r="A112" s="138" t="s">
        <v>3114</v>
      </c>
      <c r="B112" s="127" t="s">
        <v>3115</v>
      </c>
      <c r="C112" s="127" t="s">
        <v>49</v>
      </c>
      <c r="D112" s="127" t="s">
        <v>3118</v>
      </c>
      <c r="E112" s="127" t="s">
        <v>2791</v>
      </c>
      <c r="F112" s="127" t="s">
        <v>1581</v>
      </c>
      <c r="G112" s="151"/>
      <c r="H112" s="127" t="s">
        <v>2793</v>
      </c>
      <c r="I112" s="127" t="s">
        <v>178</v>
      </c>
      <c r="J112" s="127" t="s">
        <v>1674</v>
      </c>
      <c r="K112" s="128">
        <v>0.0</v>
      </c>
      <c r="L112" s="129">
        <v>45839.0</v>
      </c>
      <c r="M112" s="150"/>
      <c r="N112" s="129">
        <v>46204.0</v>
      </c>
      <c r="O112" s="150"/>
      <c r="P112" s="150"/>
      <c r="Q112" s="151"/>
      <c r="R112" s="150"/>
      <c r="S112" s="150"/>
      <c r="T112" s="130">
        <v>5.91698E9</v>
      </c>
      <c r="U112" s="130">
        <v>5379072.73</v>
      </c>
      <c r="V112" s="131" t="s">
        <v>2799</v>
      </c>
      <c r="W112" s="128">
        <v>2.0</v>
      </c>
      <c r="X112" s="127" t="s">
        <v>1600</v>
      </c>
      <c r="Y112" s="127" t="s">
        <v>1601</v>
      </c>
      <c r="Z112" s="127" t="s">
        <v>1674</v>
      </c>
      <c r="AA112" s="127">
        <v>26.0</v>
      </c>
      <c r="AB112" s="127" t="s">
        <v>1602</v>
      </c>
      <c r="AC112" s="127" t="s">
        <v>70</v>
      </c>
      <c r="AD112" s="127"/>
      <c r="AE112" s="127"/>
    </row>
    <row r="113">
      <c r="A113" s="132">
        <v>7012.0</v>
      </c>
      <c r="B113" s="133" t="s">
        <v>3127</v>
      </c>
      <c r="C113" s="133" t="s">
        <v>49</v>
      </c>
      <c r="D113" s="133" t="s">
        <v>3129</v>
      </c>
      <c r="E113" s="133" t="s">
        <v>2791</v>
      </c>
      <c r="F113" s="133" t="s">
        <v>1581</v>
      </c>
      <c r="G113" s="154"/>
      <c r="H113" s="133" t="s">
        <v>2793</v>
      </c>
      <c r="I113" s="133" t="s">
        <v>644</v>
      </c>
      <c r="J113" s="133" t="s">
        <v>32</v>
      </c>
      <c r="K113" s="134">
        <v>0.0</v>
      </c>
      <c r="L113" s="135">
        <v>45839.0</v>
      </c>
      <c r="M113" s="153"/>
      <c r="N113" s="135">
        <v>46204.0</v>
      </c>
      <c r="O113" s="153"/>
      <c r="P113" s="153"/>
      <c r="Q113" s="154"/>
      <c r="R113" s="153"/>
      <c r="S113" s="153"/>
      <c r="T113" s="136">
        <v>5.058E9</v>
      </c>
      <c r="U113" s="136">
        <v>4598181.82</v>
      </c>
      <c r="V113" s="137" t="s">
        <v>2799</v>
      </c>
      <c r="W113" s="134">
        <v>2.0</v>
      </c>
      <c r="X113" s="133" t="s">
        <v>1600</v>
      </c>
      <c r="Y113" s="133" t="s">
        <v>1601</v>
      </c>
      <c r="Z113" s="133" t="s">
        <v>32</v>
      </c>
      <c r="AA113" s="133">
        <v>2.0</v>
      </c>
      <c r="AB113" s="133" t="s">
        <v>1602</v>
      </c>
      <c r="AC113" s="133" t="s">
        <v>70</v>
      </c>
      <c r="AD113" s="133"/>
      <c r="AE113" s="133"/>
    </row>
    <row r="114">
      <c r="A114" s="155">
        <v>2083770.0</v>
      </c>
      <c r="B114" s="127" t="s">
        <v>3141</v>
      </c>
      <c r="C114" s="127" t="s">
        <v>49</v>
      </c>
      <c r="D114" s="127" t="s">
        <v>3144</v>
      </c>
      <c r="E114" s="127" t="s">
        <v>2589</v>
      </c>
      <c r="F114" s="127" t="s">
        <v>1581</v>
      </c>
      <c r="G114" s="151"/>
      <c r="H114" s="127" t="s">
        <v>2793</v>
      </c>
      <c r="I114" s="127" t="s">
        <v>644</v>
      </c>
      <c r="J114" s="127" t="s">
        <v>32</v>
      </c>
      <c r="K114" s="128">
        <v>0.0</v>
      </c>
      <c r="L114" s="150"/>
      <c r="M114" s="150"/>
      <c r="N114" s="156"/>
      <c r="O114" s="150"/>
      <c r="P114" s="150"/>
      <c r="Q114" s="151"/>
      <c r="R114" s="150"/>
      <c r="S114" s="150"/>
      <c r="T114" s="130">
        <v>1.9234E10</v>
      </c>
      <c r="U114" s="130">
        <v>1.748545455E7</v>
      </c>
      <c r="V114" s="131" t="s">
        <v>2783</v>
      </c>
      <c r="W114" s="128">
        <v>2.0</v>
      </c>
      <c r="X114" s="127" t="s">
        <v>1600</v>
      </c>
      <c r="Y114" s="127" t="s">
        <v>2755</v>
      </c>
      <c r="Z114" s="127" t="s">
        <v>32</v>
      </c>
      <c r="AA114" s="127">
        <v>2.0</v>
      </c>
      <c r="AB114" s="127" t="s">
        <v>1602</v>
      </c>
      <c r="AC114" s="127" t="s">
        <v>70</v>
      </c>
      <c r="AD114" s="127"/>
      <c r="AE114" s="127"/>
    </row>
    <row r="115">
      <c r="A115" s="132" t="s">
        <v>3153</v>
      </c>
      <c r="B115" s="149" t="s">
        <v>1467</v>
      </c>
      <c r="C115" s="133" t="s">
        <v>49</v>
      </c>
      <c r="D115" s="133" t="s">
        <v>3155</v>
      </c>
      <c r="E115" s="133" t="s">
        <v>2589</v>
      </c>
      <c r="F115" s="133" t="s">
        <v>1581</v>
      </c>
      <c r="G115" s="154"/>
      <c r="H115" s="133" t="s">
        <v>64</v>
      </c>
      <c r="I115" s="133" t="s">
        <v>1467</v>
      </c>
      <c r="J115" s="133" t="s">
        <v>39</v>
      </c>
      <c r="K115" s="134">
        <v>0.0</v>
      </c>
      <c r="L115" s="135">
        <v>45901.0</v>
      </c>
      <c r="M115" s="153"/>
      <c r="N115" s="135">
        <v>46631.0</v>
      </c>
      <c r="O115" s="154"/>
      <c r="P115" s="154"/>
      <c r="Q115" s="154"/>
      <c r="R115" s="153"/>
      <c r="S115" s="153"/>
      <c r="T115" s="136">
        <v>2.0E10</v>
      </c>
      <c r="U115" s="136">
        <v>1.818181818E7</v>
      </c>
      <c r="V115" s="137" t="s">
        <v>2783</v>
      </c>
      <c r="W115" s="134">
        <v>3.0</v>
      </c>
      <c r="X115" s="133" t="s">
        <v>147</v>
      </c>
      <c r="Y115" s="133" t="s">
        <v>1601</v>
      </c>
      <c r="Z115" s="133" t="s">
        <v>39</v>
      </c>
      <c r="AA115" s="133">
        <v>4.0</v>
      </c>
      <c r="AB115" s="133" t="s">
        <v>1565</v>
      </c>
      <c r="AC115" s="133" t="s">
        <v>70</v>
      </c>
      <c r="AD115" s="133"/>
      <c r="AE115" s="133"/>
    </row>
    <row r="116">
      <c r="A116" s="138" t="s">
        <v>3166</v>
      </c>
      <c r="B116" s="149" t="s">
        <v>1467</v>
      </c>
      <c r="C116" s="127" t="s">
        <v>49</v>
      </c>
      <c r="D116" s="127" t="s">
        <v>3169</v>
      </c>
      <c r="E116" s="127" t="s">
        <v>2589</v>
      </c>
      <c r="F116" s="127" t="s">
        <v>1581</v>
      </c>
      <c r="G116" s="151"/>
      <c r="H116" s="127" t="s">
        <v>64</v>
      </c>
      <c r="I116" s="127" t="s">
        <v>1467</v>
      </c>
      <c r="J116" s="127" t="s">
        <v>90</v>
      </c>
      <c r="K116" s="128">
        <v>0.0</v>
      </c>
      <c r="L116" s="129">
        <v>45901.0</v>
      </c>
      <c r="M116" s="150"/>
      <c r="N116" s="129">
        <v>46631.0</v>
      </c>
      <c r="O116" s="150"/>
      <c r="P116" s="150"/>
      <c r="Q116" s="151"/>
      <c r="R116" s="150"/>
      <c r="S116" s="150"/>
      <c r="T116" s="130">
        <v>4.0E10</v>
      </c>
      <c r="U116" s="130">
        <v>3.636363636E7</v>
      </c>
      <c r="V116" s="131" t="s">
        <v>2783</v>
      </c>
      <c r="W116" s="128">
        <v>3.0</v>
      </c>
      <c r="X116" s="127" t="s">
        <v>147</v>
      </c>
      <c r="Y116" s="127" t="s">
        <v>1601</v>
      </c>
      <c r="Z116" s="127" t="s">
        <v>90</v>
      </c>
      <c r="AA116" s="127">
        <v>11.0</v>
      </c>
      <c r="AB116" s="127" t="s">
        <v>1565</v>
      </c>
      <c r="AC116" s="127" t="s">
        <v>70</v>
      </c>
      <c r="AD116" s="127"/>
      <c r="AE116" s="127"/>
    </row>
    <row r="117">
      <c r="A117" s="132" t="s">
        <v>3177</v>
      </c>
      <c r="B117" s="149" t="s">
        <v>1467</v>
      </c>
      <c r="C117" s="133" t="s">
        <v>49</v>
      </c>
      <c r="D117" s="133" t="s">
        <v>3179</v>
      </c>
      <c r="E117" s="133" t="s">
        <v>2589</v>
      </c>
      <c r="F117" s="133" t="s">
        <v>1581</v>
      </c>
      <c r="G117" s="154"/>
      <c r="H117" s="133" t="s">
        <v>64</v>
      </c>
      <c r="I117" s="133" t="s">
        <v>386</v>
      </c>
      <c r="J117" s="133" t="s">
        <v>31</v>
      </c>
      <c r="K117" s="134">
        <v>0.0</v>
      </c>
      <c r="L117" s="135">
        <v>45931.0</v>
      </c>
      <c r="M117" s="153"/>
      <c r="N117" s="135">
        <v>46661.0</v>
      </c>
      <c r="O117" s="153"/>
      <c r="P117" s="153"/>
      <c r="Q117" s="154"/>
      <c r="R117" s="153"/>
      <c r="S117" s="153"/>
      <c r="T117" s="136">
        <v>3.5E10</v>
      </c>
      <c r="U117" s="136">
        <v>3.181818182E7</v>
      </c>
      <c r="V117" s="137" t="s">
        <v>294</v>
      </c>
      <c r="W117" s="134">
        <v>4.0</v>
      </c>
      <c r="X117" s="133" t="s">
        <v>92</v>
      </c>
      <c r="Y117" s="133" t="s">
        <v>2613</v>
      </c>
      <c r="Z117" s="133" t="s">
        <v>31</v>
      </c>
      <c r="AA117" s="133">
        <v>5.0</v>
      </c>
      <c r="AB117" s="133" t="s">
        <v>1565</v>
      </c>
      <c r="AC117" s="133" t="s">
        <v>70</v>
      </c>
      <c r="AD117" s="133"/>
      <c r="AE117" s="133"/>
    </row>
    <row r="118">
      <c r="A118" s="138" t="s">
        <v>3192</v>
      </c>
      <c r="B118" s="127" t="s">
        <v>3193</v>
      </c>
      <c r="C118" s="127" t="s">
        <v>49</v>
      </c>
      <c r="D118" s="127" t="s">
        <v>3194</v>
      </c>
      <c r="E118" s="127" t="s">
        <v>2589</v>
      </c>
      <c r="F118" s="127" t="s">
        <v>1581</v>
      </c>
      <c r="G118" s="151"/>
      <c r="H118" s="127" t="s">
        <v>64</v>
      </c>
      <c r="I118" s="127" t="s">
        <v>192</v>
      </c>
      <c r="J118" s="127" t="s">
        <v>2937</v>
      </c>
      <c r="K118" s="151"/>
      <c r="L118" s="129">
        <v>45901.0</v>
      </c>
      <c r="M118" s="150"/>
      <c r="N118" s="129">
        <v>46441.0</v>
      </c>
      <c r="O118" s="150"/>
      <c r="P118" s="150"/>
      <c r="Q118" s="151"/>
      <c r="R118" s="150"/>
      <c r="S118" s="150"/>
      <c r="T118" s="130">
        <v>2.339325E10</v>
      </c>
      <c r="U118" s="130">
        <v>2.126659091E7</v>
      </c>
      <c r="V118" s="131" t="s">
        <v>2783</v>
      </c>
      <c r="W118" s="128">
        <v>3.0</v>
      </c>
      <c r="X118" s="127" t="s">
        <v>1600</v>
      </c>
      <c r="Y118" s="127" t="s">
        <v>1601</v>
      </c>
      <c r="Z118" s="127" t="s">
        <v>94</v>
      </c>
      <c r="AA118" s="127">
        <v>8.0</v>
      </c>
      <c r="AB118" s="127" t="s">
        <v>1602</v>
      </c>
      <c r="AC118" s="127" t="s">
        <v>70</v>
      </c>
      <c r="AD118" s="127"/>
      <c r="AE118" s="127"/>
    </row>
    <row r="119">
      <c r="A119" s="132" t="s">
        <v>3202</v>
      </c>
      <c r="B119" s="133" t="s">
        <v>3203</v>
      </c>
      <c r="C119" s="133" t="s">
        <v>49</v>
      </c>
      <c r="D119" s="133" t="s">
        <v>3205</v>
      </c>
      <c r="E119" s="133" t="s">
        <v>2589</v>
      </c>
      <c r="F119" s="133" t="s">
        <v>1581</v>
      </c>
      <c r="G119" s="154"/>
      <c r="H119" s="133" t="s">
        <v>64</v>
      </c>
      <c r="I119" s="154"/>
      <c r="J119" s="133" t="s">
        <v>2937</v>
      </c>
      <c r="K119" s="134">
        <v>0.0</v>
      </c>
      <c r="L119" s="135">
        <v>45901.0</v>
      </c>
      <c r="M119" s="153"/>
      <c r="N119" s="135">
        <v>46441.0</v>
      </c>
      <c r="O119" s="153"/>
      <c r="P119" s="153"/>
      <c r="Q119" s="154"/>
      <c r="R119" s="153"/>
      <c r="S119" s="153"/>
      <c r="T119" s="136">
        <v>2.0232E10</v>
      </c>
      <c r="U119" s="136">
        <v>1.839272727E7</v>
      </c>
      <c r="V119" s="137" t="s">
        <v>2783</v>
      </c>
      <c r="W119" s="134">
        <v>3.0</v>
      </c>
      <c r="X119" s="133" t="s">
        <v>1600</v>
      </c>
      <c r="Y119" s="133" t="s">
        <v>1601</v>
      </c>
      <c r="Z119" s="133" t="s">
        <v>94</v>
      </c>
      <c r="AA119" s="133">
        <v>8.0</v>
      </c>
      <c r="AB119" s="133" t="s">
        <v>1602</v>
      </c>
      <c r="AC119" s="133" t="s">
        <v>70</v>
      </c>
      <c r="AD119" s="133"/>
      <c r="AE119" s="133"/>
    </row>
    <row r="120">
      <c r="A120" s="138">
        <v>7716.0</v>
      </c>
      <c r="B120" s="127" t="s">
        <v>3212</v>
      </c>
      <c r="C120" s="127" t="s">
        <v>49</v>
      </c>
      <c r="D120" s="127" t="s">
        <v>3213</v>
      </c>
      <c r="E120" s="127" t="s">
        <v>2589</v>
      </c>
      <c r="F120" s="127" t="s">
        <v>1581</v>
      </c>
      <c r="G120" s="151"/>
      <c r="H120" s="127" t="s">
        <v>2793</v>
      </c>
      <c r="I120" s="127" t="s">
        <v>62</v>
      </c>
      <c r="J120" s="127" t="s">
        <v>39</v>
      </c>
      <c r="K120" s="128">
        <v>0.0</v>
      </c>
      <c r="L120" s="129">
        <v>45839.0</v>
      </c>
      <c r="M120" s="150"/>
      <c r="N120" s="129">
        <v>46379.0</v>
      </c>
      <c r="O120" s="150"/>
      <c r="P120" s="150"/>
      <c r="Q120" s="151"/>
      <c r="R120" s="150"/>
      <c r="S120" s="150"/>
      <c r="T120" s="130">
        <v>2.8546E10</v>
      </c>
      <c r="U120" s="130">
        <v>2.595090909E7</v>
      </c>
      <c r="V120" s="131" t="s">
        <v>2799</v>
      </c>
      <c r="W120" s="128">
        <v>2.0</v>
      </c>
      <c r="X120" s="127" t="s">
        <v>147</v>
      </c>
      <c r="Y120" s="127" t="s">
        <v>1601</v>
      </c>
      <c r="Z120" s="127" t="s">
        <v>39</v>
      </c>
      <c r="AA120" s="127">
        <v>4.0</v>
      </c>
      <c r="AB120" s="127" t="s">
        <v>1565</v>
      </c>
      <c r="AC120" s="127" t="s">
        <v>70</v>
      </c>
      <c r="AD120" s="127"/>
      <c r="AE120" s="127"/>
    </row>
    <row r="121">
      <c r="A121" s="132" t="s">
        <v>3219</v>
      </c>
      <c r="B121" s="133" t="s">
        <v>3221</v>
      </c>
      <c r="C121" s="133" t="s">
        <v>49</v>
      </c>
      <c r="D121" s="133" t="s">
        <v>3223</v>
      </c>
      <c r="E121" s="133" t="s">
        <v>2589</v>
      </c>
      <c r="F121" s="133" t="s">
        <v>1581</v>
      </c>
      <c r="G121" s="154"/>
      <c r="H121" s="133" t="s">
        <v>57</v>
      </c>
      <c r="I121" s="133" t="s">
        <v>245</v>
      </c>
      <c r="J121" s="133" t="s">
        <v>1747</v>
      </c>
      <c r="K121" s="134">
        <v>0.0</v>
      </c>
      <c r="L121" s="135">
        <v>45901.0</v>
      </c>
      <c r="M121" s="153"/>
      <c r="N121" s="135">
        <v>46266.0</v>
      </c>
      <c r="O121" s="153"/>
      <c r="P121" s="153"/>
      <c r="Q121" s="154"/>
      <c r="R121" s="153"/>
      <c r="S121" s="153"/>
      <c r="T121" s="136">
        <v>1.0E10</v>
      </c>
      <c r="U121" s="136">
        <v>9090909.09</v>
      </c>
      <c r="V121" s="137" t="s">
        <v>2848</v>
      </c>
      <c r="W121" s="134">
        <v>3.0</v>
      </c>
      <c r="X121" s="133" t="s">
        <v>1600</v>
      </c>
      <c r="Y121" s="133" t="s">
        <v>1601</v>
      </c>
      <c r="Z121" s="133" t="s">
        <v>1747</v>
      </c>
      <c r="AA121" s="133">
        <v>6.0</v>
      </c>
      <c r="AB121" s="133" t="s">
        <v>1602</v>
      </c>
      <c r="AC121" s="133" t="s">
        <v>70</v>
      </c>
      <c r="AD121" s="133"/>
      <c r="AE121" s="133"/>
    </row>
    <row r="122">
      <c r="A122" s="138" t="s">
        <v>3229</v>
      </c>
      <c r="B122" s="149" t="s">
        <v>1467</v>
      </c>
      <c r="C122" s="127" t="s">
        <v>49</v>
      </c>
      <c r="D122" s="127" t="s">
        <v>844</v>
      </c>
      <c r="E122" s="127" t="s">
        <v>2589</v>
      </c>
      <c r="F122" s="127" t="s">
        <v>1581</v>
      </c>
      <c r="G122" s="151"/>
      <c r="H122" s="127" t="s">
        <v>64</v>
      </c>
      <c r="I122" s="127" t="s">
        <v>3231</v>
      </c>
      <c r="J122" s="127" t="s">
        <v>101</v>
      </c>
      <c r="K122" s="151"/>
      <c r="L122" s="129">
        <v>45901.0</v>
      </c>
      <c r="M122" s="150"/>
      <c r="N122" s="129">
        <v>46266.0</v>
      </c>
      <c r="O122" s="150"/>
      <c r="P122" s="150"/>
      <c r="Q122" s="151"/>
      <c r="R122" s="150"/>
      <c r="S122" s="150"/>
      <c r="T122" s="130">
        <v>1.0E10</v>
      </c>
      <c r="U122" s="130">
        <v>9090909.09</v>
      </c>
      <c r="V122" s="131" t="s">
        <v>2783</v>
      </c>
      <c r="W122" s="128">
        <v>3.0</v>
      </c>
      <c r="X122" s="127" t="s">
        <v>147</v>
      </c>
      <c r="Y122" s="127" t="s">
        <v>1601</v>
      </c>
      <c r="Z122" s="127" t="s">
        <v>101</v>
      </c>
      <c r="AA122" s="127">
        <v>10.0</v>
      </c>
      <c r="AB122" s="127" t="s">
        <v>1565</v>
      </c>
      <c r="AC122" s="127" t="s">
        <v>70</v>
      </c>
      <c r="AD122" s="127"/>
      <c r="AE122" s="127"/>
    </row>
    <row r="123">
      <c r="A123" s="132" t="s">
        <v>3234</v>
      </c>
      <c r="B123" s="133" t="s">
        <v>3235</v>
      </c>
      <c r="C123" s="133" t="s">
        <v>49</v>
      </c>
      <c r="D123" s="133" t="s">
        <v>3236</v>
      </c>
      <c r="E123" s="133" t="s">
        <v>2589</v>
      </c>
      <c r="F123" s="133" t="s">
        <v>1581</v>
      </c>
      <c r="G123" s="154"/>
      <c r="H123" s="133" t="s">
        <v>64</v>
      </c>
      <c r="I123" s="133" t="s">
        <v>657</v>
      </c>
      <c r="J123" s="133" t="s">
        <v>120</v>
      </c>
      <c r="K123" s="154"/>
      <c r="L123" s="135">
        <v>45901.0</v>
      </c>
      <c r="M123" s="157"/>
      <c r="N123" s="135">
        <v>46621.0</v>
      </c>
      <c r="O123" s="154"/>
      <c r="P123" s="154"/>
      <c r="Q123" s="154"/>
      <c r="R123" s="153"/>
      <c r="S123" s="153"/>
      <c r="T123" s="136">
        <v>2.5692E10</v>
      </c>
      <c r="U123" s="136">
        <v>2.335636364E7</v>
      </c>
      <c r="V123" s="137" t="s">
        <v>2783</v>
      </c>
      <c r="W123" s="134">
        <v>3.0</v>
      </c>
      <c r="X123" s="133" t="s">
        <v>1600</v>
      </c>
      <c r="Y123" s="133" t="s">
        <v>1601</v>
      </c>
      <c r="Z123" s="133" t="s">
        <v>120</v>
      </c>
      <c r="AA123" s="133">
        <v>26.0</v>
      </c>
      <c r="AB123" s="133" t="s">
        <v>1602</v>
      </c>
      <c r="AC123" s="133" t="s">
        <v>70</v>
      </c>
      <c r="AD123" s="133"/>
      <c r="AE123" s="133"/>
    </row>
    <row r="124">
      <c r="A124" s="138">
        <v>7681.0</v>
      </c>
      <c r="B124" s="127" t="s">
        <v>3241</v>
      </c>
      <c r="C124" s="127" t="s">
        <v>49</v>
      </c>
      <c r="D124" s="127" t="s">
        <v>3243</v>
      </c>
      <c r="E124" s="127" t="s">
        <v>2589</v>
      </c>
      <c r="F124" s="127" t="s">
        <v>1581</v>
      </c>
      <c r="G124" s="151"/>
      <c r="H124" s="127" t="s">
        <v>2793</v>
      </c>
      <c r="I124" s="127" t="s">
        <v>2889</v>
      </c>
      <c r="J124" s="127" t="s">
        <v>2937</v>
      </c>
      <c r="K124" s="128">
        <v>0.0</v>
      </c>
      <c r="L124" s="129">
        <v>45839.0</v>
      </c>
      <c r="M124" s="156"/>
      <c r="N124" s="129">
        <v>46379.0</v>
      </c>
      <c r="O124" s="151"/>
      <c r="P124" s="151"/>
      <c r="Q124" s="151"/>
      <c r="R124" s="150"/>
      <c r="S124" s="150"/>
      <c r="T124" s="130">
        <v>2.5605E10</v>
      </c>
      <c r="U124" s="130">
        <v>2.327727273E7</v>
      </c>
      <c r="V124" s="131" t="s">
        <v>2799</v>
      </c>
      <c r="W124" s="128">
        <v>2.0</v>
      </c>
      <c r="X124" s="127" t="s">
        <v>1600</v>
      </c>
      <c r="Y124" s="127" t="s">
        <v>1601</v>
      </c>
      <c r="Z124" s="127" t="s">
        <v>94</v>
      </c>
      <c r="AA124" s="127">
        <v>8.0</v>
      </c>
      <c r="AB124" s="127" t="s">
        <v>1602</v>
      </c>
      <c r="AC124" s="127" t="s">
        <v>70</v>
      </c>
      <c r="AD124" s="127"/>
      <c r="AE124" s="127"/>
    </row>
    <row r="125">
      <c r="A125" s="132" t="s">
        <v>89</v>
      </c>
      <c r="B125" s="149" t="s">
        <v>1467</v>
      </c>
      <c r="C125" s="133" t="s">
        <v>49</v>
      </c>
      <c r="D125" s="133" t="s">
        <v>3250</v>
      </c>
      <c r="E125" s="133" t="s">
        <v>2589</v>
      </c>
      <c r="F125" s="133" t="s">
        <v>1581</v>
      </c>
      <c r="G125" s="154"/>
      <c r="H125" s="133" t="s">
        <v>57</v>
      </c>
      <c r="I125" s="133" t="s">
        <v>3252</v>
      </c>
      <c r="J125" s="133" t="s">
        <v>3253</v>
      </c>
      <c r="K125" s="134">
        <v>0.0</v>
      </c>
      <c r="L125" s="135">
        <v>45962.0</v>
      </c>
      <c r="M125" s="157"/>
      <c r="N125" s="135">
        <v>46327.0</v>
      </c>
      <c r="O125" s="154"/>
      <c r="P125" s="154"/>
      <c r="Q125" s="154"/>
      <c r="R125" s="153"/>
      <c r="S125" s="153"/>
      <c r="T125" s="136">
        <v>3.0E10</v>
      </c>
      <c r="U125" s="136">
        <v>2.727272727E7</v>
      </c>
      <c r="V125" s="137" t="s">
        <v>50</v>
      </c>
      <c r="W125" s="134">
        <v>4.0</v>
      </c>
      <c r="X125" s="133" t="s">
        <v>92</v>
      </c>
      <c r="Y125" s="133" t="s">
        <v>2766</v>
      </c>
      <c r="Z125" s="133" t="s">
        <v>31</v>
      </c>
      <c r="AA125" s="133">
        <v>5.0</v>
      </c>
      <c r="AB125" s="133" t="s">
        <v>1565</v>
      </c>
      <c r="AC125" s="133" t="s">
        <v>70</v>
      </c>
      <c r="AD125" s="133"/>
      <c r="AE125" s="133"/>
    </row>
    <row r="126">
      <c r="A126" s="138" t="s">
        <v>817</v>
      </c>
      <c r="B126" s="149" t="s">
        <v>1467</v>
      </c>
      <c r="C126" s="127" t="s">
        <v>49</v>
      </c>
      <c r="D126" s="127" t="s">
        <v>3260</v>
      </c>
      <c r="E126" s="127" t="s">
        <v>2589</v>
      </c>
      <c r="F126" s="127" t="s">
        <v>1581</v>
      </c>
      <c r="G126" s="151"/>
      <c r="H126" s="127" t="s">
        <v>57</v>
      </c>
      <c r="I126" s="127" t="s">
        <v>208</v>
      </c>
      <c r="J126" s="127" t="s">
        <v>31</v>
      </c>
      <c r="K126" s="128">
        <v>0.0</v>
      </c>
      <c r="L126" s="129">
        <v>45962.0</v>
      </c>
      <c r="M126" s="150"/>
      <c r="N126" s="129">
        <v>46327.0</v>
      </c>
      <c r="O126" s="151"/>
      <c r="P126" s="151"/>
      <c r="Q126" s="151"/>
      <c r="R126" s="150"/>
      <c r="S126" s="150"/>
      <c r="T126" s="130">
        <v>2.0E10</v>
      </c>
      <c r="U126" s="130">
        <v>1.818181818E7</v>
      </c>
      <c r="V126" s="131" t="s">
        <v>50</v>
      </c>
      <c r="W126" s="128">
        <v>4.0</v>
      </c>
      <c r="X126" s="127" t="s">
        <v>92</v>
      </c>
      <c r="Y126" s="127" t="s">
        <v>2766</v>
      </c>
      <c r="Z126" s="127" t="s">
        <v>31</v>
      </c>
      <c r="AA126" s="127">
        <v>5.0</v>
      </c>
      <c r="AB126" s="127" t="s">
        <v>1565</v>
      </c>
      <c r="AC126" s="127" t="s">
        <v>70</v>
      </c>
      <c r="AD126" s="127"/>
      <c r="AE126" s="127"/>
    </row>
    <row r="127">
      <c r="A127" s="132" t="s">
        <v>121</v>
      </c>
      <c r="B127" s="149" t="s">
        <v>1467</v>
      </c>
      <c r="C127" s="133" t="s">
        <v>49</v>
      </c>
      <c r="D127" s="133" t="s">
        <v>3267</v>
      </c>
      <c r="E127" s="133" t="s">
        <v>2589</v>
      </c>
      <c r="F127" s="133" t="s">
        <v>1581</v>
      </c>
      <c r="G127" s="154"/>
      <c r="H127" s="133" t="s">
        <v>57</v>
      </c>
      <c r="I127" s="133" t="s">
        <v>105</v>
      </c>
      <c r="J127" s="133" t="s">
        <v>3253</v>
      </c>
      <c r="K127" s="134">
        <v>0.0</v>
      </c>
      <c r="L127" s="135">
        <v>45962.0</v>
      </c>
      <c r="M127" s="153"/>
      <c r="N127" s="135">
        <v>46327.0</v>
      </c>
      <c r="O127" s="153"/>
      <c r="P127" s="153"/>
      <c r="Q127" s="154"/>
      <c r="R127" s="153"/>
      <c r="S127" s="153"/>
      <c r="T127" s="136">
        <v>2.0E10</v>
      </c>
      <c r="U127" s="136">
        <v>1.818181818E7</v>
      </c>
      <c r="V127" s="137" t="s">
        <v>50</v>
      </c>
      <c r="W127" s="134">
        <v>4.0</v>
      </c>
      <c r="X127" s="133" t="s">
        <v>92</v>
      </c>
      <c r="Y127" s="133" t="s">
        <v>2766</v>
      </c>
      <c r="Z127" s="133" t="s">
        <v>31</v>
      </c>
      <c r="AA127" s="133">
        <v>5.0</v>
      </c>
      <c r="AB127" s="133" t="s">
        <v>1565</v>
      </c>
      <c r="AC127" s="133" t="s">
        <v>70</v>
      </c>
      <c r="AD127" s="133"/>
      <c r="AE127" s="133"/>
    </row>
    <row r="128">
      <c r="A128" s="138" t="s">
        <v>1936</v>
      </c>
      <c r="B128" s="149" t="s">
        <v>1467</v>
      </c>
      <c r="C128" s="127" t="s">
        <v>49</v>
      </c>
      <c r="D128" s="127" t="s">
        <v>3277</v>
      </c>
      <c r="E128" s="127" t="s">
        <v>2589</v>
      </c>
      <c r="F128" s="127" t="s">
        <v>1581</v>
      </c>
      <c r="G128" s="151"/>
      <c r="H128" s="127" t="s">
        <v>57</v>
      </c>
      <c r="I128" s="127" t="s">
        <v>471</v>
      </c>
      <c r="J128" s="127" t="s">
        <v>78</v>
      </c>
      <c r="K128" s="128">
        <v>0.0</v>
      </c>
      <c r="L128" s="129">
        <v>45962.0</v>
      </c>
      <c r="M128" s="156"/>
      <c r="N128" s="129">
        <v>46482.0</v>
      </c>
      <c r="O128" s="150"/>
      <c r="P128" s="150"/>
      <c r="Q128" s="151"/>
      <c r="R128" s="150"/>
      <c r="S128" s="150"/>
      <c r="T128" s="130">
        <v>6.0E10</v>
      </c>
      <c r="U128" s="130">
        <v>5.454545455E7</v>
      </c>
      <c r="V128" s="131" t="s">
        <v>50</v>
      </c>
      <c r="W128" s="128">
        <v>4.0</v>
      </c>
      <c r="X128" s="127" t="s">
        <v>147</v>
      </c>
      <c r="Y128" s="127" t="s">
        <v>2766</v>
      </c>
      <c r="Z128" s="127" t="s">
        <v>78</v>
      </c>
      <c r="AA128" s="127">
        <v>24.0</v>
      </c>
      <c r="AB128" s="127" t="s">
        <v>1565</v>
      </c>
      <c r="AC128" s="127" t="s">
        <v>70</v>
      </c>
      <c r="AD128" s="127"/>
      <c r="AE128" s="127"/>
    </row>
    <row r="129">
      <c r="A129" s="132" t="s">
        <v>3283</v>
      </c>
      <c r="B129" s="149" t="s">
        <v>1467</v>
      </c>
      <c r="C129" s="133" t="s">
        <v>49</v>
      </c>
      <c r="D129" s="133" t="s">
        <v>3284</v>
      </c>
      <c r="E129" s="133" t="s">
        <v>2589</v>
      </c>
      <c r="F129" s="133" t="s">
        <v>1581</v>
      </c>
      <c r="G129" s="154"/>
      <c r="H129" s="133" t="s">
        <v>64</v>
      </c>
      <c r="I129" s="133" t="s">
        <v>3287</v>
      </c>
      <c r="J129" s="133" t="s">
        <v>39</v>
      </c>
      <c r="K129" s="154"/>
      <c r="L129" s="135">
        <v>45901.0</v>
      </c>
      <c r="M129" s="157"/>
      <c r="N129" s="135">
        <v>46266.0</v>
      </c>
      <c r="O129" s="154"/>
      <c r="P129" s="154"/>
      <c r="Q129" s="154"/>
      <c r="R129" s="153"/>
      <c r="S129" s="153"/>
      <c r="T129" s="136">
        <v>1.4E10</v>
      </c>
      <c r="U129" s="136">
        <v>1.272727273E7</v>
      </c>
      <c r="V129" s="137" t="s">
        <v>2783</v>
      </c>
      <c r="W129" s="134">
        <v>3.0</v>
      </c>
      <c r="X129" s="133" t="s">
        <v>147</v>
      </c>
      <c r="Y129" s="133" t="s">
        <v>1601</v>
      </c>
      <c r="Z129" s="133" t="s">
        <v>39</v>
      </c>
      <c r="AA129" s="133">
        <v>4.0</v>
      </c>
      <c r="AB129" s="133" t="s">
        <v>1565</v>
      </c>
      <c r="AC129" s="133" t="s">
        <v>70</v>
      </c>
      <c r="AD129" s="133"/>
      <c r="AE129" s="133"/>
    </row>
    <row r="130">
      <c r="A130" s="138" t="s">
        <v>3292</v>
      </c>
      <c r="B130" s="149" t="s">
        <v>1467</v>
      </c>
      <c r="C130" s="127" t="s">
        <v>49</v>
      </c>
      <c r="D130" s="127" t="s">
        <v>3294</v>
      </c>
      <c r="E130" s="127" t="s">
        <v>2589</v>
      </c>
      <c r="F130" s="127" t="s">
        <v>1581</v>
      </c>
      <c r="G130" s="151"/>
      <c r="H130" s="127" t="s">
        <v>64</v>
      </c>
      <c r="I130" s="127" t="s">
        <v>1986</v>
      </c>
      <c r="J130" s="127" t="s">
        <v>58</v>
      </c>
      <c r="K130" s="151"/>
      <c r="L130" s="129">
        <v>45901.0</v>
      </c>
      <c r="M130" s="156"/>
      <c r="N130" s="129">
        <v>46266.0</v>
      </c>
      <c r="O130" s="151"/>
      <c r="P130" s="151"/>
      <c r="Q130" s="151"/>
      <c r="R130" s="150"/>
      <c r="S130" s="150"/>
      <c r="T130" s="130">
        <v>1.0E10</v>
      </c>
      <c r="U130" s="130">
        <v>9090909.09</v>
      </c>
      <c r="V130" s="131" t="s">
        <v>2783</v>
      </c>
      <c r="W130" s="128">
        <v>3.0</v>
      </c>
      <c r="X130" s="127" t="s">
        <v>1600</v>
      </c>
      <c r="Y130" s="127" t="s">
        <v>1601</v>
      </c>
      <c r="Z130" s="127" t="s">
        <v>58</v>
      </c>
      <c r="AA130" s="127">
        <v>1.0</v>
      </c>
      <c r="AB130" s="127" t="s">
        <v>1602</v>
      </c>
      <c r="AC130" s="127" t="s">
        <v>70</v>
      </c>
      <c r="AD130" s="127"/>
      <c r="AE130" s="127"/>
    </row>
    <row r="131">
      <c r="A131" s="132" t="s">
        <v>3301</v>
      </c>
      <c r="B131" s="149" t="s">
        <v>1467</v>
      </c>
      <c r="C131" s="133" t="s">
        <v>49</v>
      </c>
      <c r="D131" s="133" t="s">
        <v>3302</v>
      </c>
      <c r="E131" s="133" t="s">
        <v>2589</v>
      </c>
      <c r="F131" s="133" t="s">
        <v>1581</v>
      </c>
      <c r="G131" s="154"/>
      <c r="H131" s="133" t="s">
        <v>57</v>
      </c>
      <c r="I131" s="133" t="s">
        <v>3304</v>
      </c>
      <c r="K131" s="134">
        <v>0.0</v>
      </c>
      <c r="L131" s="135">
        <v>45901.0</v>
      </c>
      <c r="M131" s="157"/>
      <c r="N131" s="135">
        <v>46266.0</v>
      </c>
      <c r="O131" s="154"/>
      <c r="P131" s="154"/>
      <c r="Q131" s="154"/>
      <c r="R131" s="153"/>
      <c r="S131" s="153"/>
      <c r="T131" s="136">
        <v>1.2E10</v>
      </c>
      <c r="U131" s="136">
        <v>1.090909091E7</v>
      </c>
      <c r="V131" s="137" t="s">
        <v>2783</v>
      </c>
      <c r="W131" s="134">
        <v>3.0</v>
      </c>
      <c r="X131" s="154"/>
      <c r="Y131" s="133" t="s">
        <v>1601</v>
      </c>
      <c r="Z131" s="154"/>
      <c r="AA131" s="154"/>
      <c r="AB131" s="154"/>
      <c r="AC131" s="133" t="s">
        <v>70</v>
      </c>
      <c r="AD131" s="133"/>
      <c r="AE131" s="133"/>
    </row>
    <row r="132">
      <c r="A132" s="155">
        <v>2084045.0</v>
      </c>
      <c r="B132" s="127" t="s">
        <v>3310</v>
      </c>
      <c r="C132" s="127" t="s">
        <v>49</v>
      </c>
      <c r="D132" s="127" t="s">
        <v>3311</v>
      </c>
      <c r="E132" s="127" t="s">
        <v>2629</v>
      </c>
      <c r="F132" s="127" t="s">
        <v>1581</v>
      </c>
      <c r="G132" s="151"/>
      <c r="H132" s="127" t="s">
        <v>2793</v>
      </c>
      <c r="I132" s="127" t="s">
        <v>179</v>
      </c>
      <c r="J132" s="127" t="s">
        <v>32</v>
      </c>
      <c r="K132" s="128">
        <v>0.0</v>
      </c>
      <c r="L132" s="129">
        <v>45839.0</v>
      </c>
      <c r="M132" s="156"/>
      <c r="N132" s="129">
        <v>46019.0</v>
      </c>
      <c r="O132" s="150"/>
      <c r="P132" s="150"/>
      <c r="Q132" s="151"/>
      <c r="R132" s="150"/>
      <c r="S132" s="150"/>
      <c r="T132" s="130">
        <v>1.05926E9</v>
      </c>
      <c r="U132" s="130">
        <v>962963.64</v>
      </c>
      <c r="V132" s="131" t="s">
        <v>2799</v>
      </c>
      <c r="W132" s="128">
        <v>2.0</v>
      </c>
      <c r="X132" s="127" t="s">
        <v>1600</v>
      </c>
      <c r="Y132" s="127" t="s">
        <v>1601</v>
      </c>
      <c r="Z132" s="127" t="s">
        <v>32</v>
      </c>
      <c r="AA132" s="127">
        <v>2.0</v>
      </c>
      <c r="AB132" s="127" t="s">
        <v>1602</v>
      </c>
      <c r="AC132" s="127" t="s">
        <v>70</v>
      </c>
      <c r="AD132" s="127"/>
      <c r="AE132" s="127"/>
    </row>
    <row r="133">
      <c r="A133" s="132">
        <v>7679.0</v>
      </c>
      <c r="B133" s="133" t="s">
        <v>3315</v>
      </c>
      <c r="C133" s="133" t="s">
        <v>49</v>
      </c>
      <c r="D133" s="133" t="s">
        <v>3317</v>
      </c>
      <c r="E133" s="133" t="s">
        <v>2629</v>
      </c>
      <c r="F133" s="133" t="s">
        <v>1581</v>
      </c>
      <c r="G133" s="154"/>
      <c r="H133" s="133" t="s">
        <v>2793</v>
      </c>
      <c r="I133" s="133" t="s">
        <v>1986</v>
      </c>
      <c r="J133" s="133" t="s">
        <v>58</v>
      </c>
      <c r="K133" s="134">
        <v>0.0</v>
      </c>
      <c r="L133" s="135">
        <v>45839.0</v>
      </c>
      <c r="M133" s="157"/>
      <c r="N133" s="135">
        <v>46204.0</v>
      </c>
      <c r="O133" s="154"/>
      <c r="P133" s="154"/>
      <c r="Q133" s="154"/>
      <c r="R133" s="153"/>
      <c r="S133" s="153"/>
      <c r="T133" s="136">
        <v>9.7894E8</v>
      </c>
      <c r="U133" s="136">
        <v>889945.45</v>
      </c>
      <c r="V133" s="137" t="s">
        <v>2799</v>
      </c>
      <c r="W133" s="134">
        <v>2.0</v>
      </c>
      <c r="X133" s="133" t="s">
        <v>1600</v>
      </c>
      <c r="Y133" s="133" t="s">
        <v>1601</v>
      </c>
      <c r="Z133" s="133" t="s">
        <v>58</v>
      </c>
      <c r="AA133" s="133">
        <v>1.0</v>
      </c>
      <c r="AB133" s="133" t="s">
        <v>1602</v>
      </c>
      <c r="AC133" s="133" t="s">
        <v>70</v>
      </c>
      <c r="AD133" s="133"/>
      <c r="AE133" s="133"/>
    </row>
    <row r="134">
      <c r="A134" s="138" t="s">
        <v>3319</v>
      </c>
      <c r="B134" s="127" t="s">
        <v>3320</v>
      </c>
      <c r="C134" s="127" t="s">
        <v>49</v>
      </c>
      <c r="D134" s="127" t="s">
        <v>3321</v>
      </c>
      <c r="E134" s="127" t="s">
        <v>2589</v>
      </c>
      <c r="F134" s="127" t="s">
        <v>1581</v>
      </c>
      <c r="G134" s="151"/>
      <c r="H134" s="127" t="s">
        <v>64</v>
      </c>
      <c r="I134" s="127" t="s">
        <v>347</v>
      </c>
      <c r="J134" s="127" t="s">
        <v>150</v>
      </c>
      <c r="K134" s="128">
        <v>0.0</v>
      </c>
      <c r="L134" s="129">
        <v>45901.0</v>
      </c>
      <c r="M134" s="156"/>
      <c r="N134" s="129">
        <v>46266.0</v>
      </c>
      <c r="O134" s="150"/>
      <c r="P134" s="150"/>
      <c r="Q134" s="151"/>
      <c r="R134" s="150"/>
      <c r="S134" s="150"/>
      <c r="T134" s="130">
        <v>1.673716E10</v>
      </c>
      <c r="U134" s="130">
        <v>1.52156E7</v>
      </c>
      <c r="V134" s="131" t="s">
        <v>2783</v>
      </c>
      <c r="W134" s="128">
        <v>3.0</v>
      </c>
      <c r="X134" s="127" t="s">
        <v>1600</v>
      </c>
      <c r="Y134" s="127" t="s">
        <v>1601</v>
      </c>
      <c r="Z134" s="127" t="s">
        <v>150</v>
      </c>
      <c r="AA134" s="127">
        <v>20.0</v>
      </c>
      <c r="AB134" s="127" t="s">
        <v>1602</v>
      </c>
      <c r="AC134" s="127" t="s">
        <v>70</v>
      </c>
      <c r="AD134" s="127"/>
      <c r="AE134" s="127"/>
    </row>
    <row r="135">
      <c r="A135" s="152">
        <v>2083892.0</v>
      </c>
      <c r="B135" s="149" t="s">
        <v>1467</v>
      </c>
      <c r="C135" s="133" t="s">
        <v>49</v>
      </c>
      <c r="D135" s="133" t="s">
        <v>3324</v>
      </c>
      <c r="E135" s="133" t="s">
        <v>2791</v>
      </c>
      <c r="F135" s="133" t="s">
        <v>1581</v>
      </c>
      <c r="G135" s="154"/>
      <c r="H135" s="133" t="s">
        <v>64</v>
      </c>
      <c r="I135" s="133" t="s">
        <v>674</v>
      </c>
      <c r="J135" s="133" t="s">
        <v>1664</v>
      </c>
      <c r="K135" s="154"/>
      <c r="L135" s="135">
        <v>45931.0</v>
      </c>
      <c r="M135" s="157"/>
      <c r="N135" s="135">
        <v>46296.0</v>
      </c>
      <c r="O135" s="153"/>
      <c r="P135" s="153"/>
      <c r="Q135" s="154"/>
      <c r="R135" s="153"/>
      <c r="S135" s="153"/>
      <c r="T135" s="136">
        <v>2.0E9</v>
      </c>
      <c r="U135" s="136">
        <v>1818181.82</v>
      </c>
      <c r="V135" s="137" t="s">
        <v>294</v>
      </c>
      <c r="W135" s="134">
        <v>4.0</v>
      </c>
      <c r="X135" s="133" t="s">
        <v>1600</v>
      </c>
      <c r="Y135" s="133" t="s">
        <v>2613</v>
      </c>
      <c r="Z135" s="133" t="s">
        <v>1664</v>
      </c>
      <c r="AA135" s="133">
        <v>3.0</v>
      </c>
      <c r="AB135" s="133" t="s">
        <v>1602</v>
      </c>
      <c r="AC135" s="133" t="s">
        <v>70</v>
      </c>
      <c r="AD135" s="133"/>
      <c r="AE135" s="133"/>
    </row>
    <row r="136">
      <c r="A136" s="155">
        <v>2084015.0</v>
      </c>
      <c r="B136" s="149" t="s">
        <v>1467</v>
      </c>
      <c r="C136" s="127" t="s">
        <v>49</v>
      </c>
      <c r="D136" s="127" t="s">
        <v>3329</v>
      </c>
      <c r="E136" s="127" t="s">
        <v>2589</v>
      </c>
      <c r="F136" s="127" t="s">
        <v>1581</v>
      </c>
      <c r="G136" s="151"/>
      <c r="H136" s="127" t="s">
        <v>64</v>
      </c>
      <c r="I136" s="127" t="s">
        <v>2023</v>
      </c>
      <c r="J136" s="127" t="s">
        <v>1747</v>
      </c>
      <c r="K136" s="128">
        <v>0.0</v>
      </c>
      <c r="L136" s="129">
        <v>45901.0</v>
      </c>
      <c r="M136" s="156"/>
      <c r="N136" s="129">
        <v>46054.0</v>
      </c>
      <c r="O136" s="151"/>
      <c r="P136" s="151"/>
      <c r="Q136" s="151"/>
      <c r="R136" s="150"/>
      <c r="S136" s="150"/>
      <c r="T136" s="130">
        <v>1.0E10</v>
      </c>
      <c r="U136" s="130">
        <v>9090909.09</v>
      </c>
      <c r="V136" s="131" t="s">
        <v>2783</v>
      </c>
      <c r="W136" s="128">
        <v>3.0</v>
      </c>
      <c r="X136" s="127" t="s">
        <v>1600</v>
      </c>
      <c r="Y136" s="127" t="s">
        <v>1601</v>
      </c>
      <c r="Z136" s="127" t="s">
        <v>1747</v>
      </c>
      <c r="AA136" s="127">
        <v>6.0</v>
      </c>
      <c r="AB136" s="127" t="s">
        <v>1602</v>
      </c>
      <c r="AC136" s="127" t="s">
        <v>70</v>
      </c>
      <c r="AD136" s="127"/>
      <c r="AE136" s="127"/>
    </row>
    <row r="137">
      <c r="A137" s="132" t="s">
        <v>3333</v>
      </c>
      <c r="B137" s="133" t="s">
        <v>3334</v>
      </c>
      <c r="C137" s="133" t="s">
        <v>49</v>
      </c>
      <c r="D137" s="133" t="s">
        <v>3336</v>
      </c>
      <c r="E137" s="133" t="s">
        <v>2629</v>
      </c>
      <c r="F137" s="133" t="s">
        <v>1581</v>
      </c>
      <c r="G137" s="154"/>
      <c r="H137" s="133" t="s">
        <v>64</v>
      </c>
      <c r="I137" s="133" t="s">
        <v>443</v>
      </c>
      <c r="J137" s="133" t="s">
        <v>122</v>
      </c>
      <c r="K137" s="154"/>
      <c r="L137" s="135">
        <v>45901.0</v>
      </c>
      <c r="M137" s="157"/>
      <c r="N137" s="135">
        <v>46266.0</v>
      </c>
      <c r="O137" s="153"/>
      <c r="P137" s="153"/>
      <c r="Q137" s="154"/>
      <c r="R137" s="153"/>
      <c r="S137" s="153"/>
      <c r="T137" s="136">
        <v>5.56167E9</v>
      </c>
      <c r="U137" s="136">
        <v>5056063.64</v>
      </c>
      <c r="V137" s="137" t="s">
        <v>2783</v>
      </c>
      <c r="W137" s="134">
        <v>3.0</v>
      </c>
      <c r="X137" s="133" t="s">
        <v>122</v>
      </c>
      <c r="Y137" s="133" t="s">
        <v>1601</v>
      </c>
      <c r="Z137" s="133" t="s">
        <v>122</v>
      </c>
      <c r="AA137" s="133">
        <v>27.0</v>
      </c>
      <c r="AB137" s="133" t="s">
        <v>1602</v>
      </c>
      <c r="AC137" s="133" t="s">
        <v>70</v>
      </c>
      <c r="AD137" s="133"/>
      <c r="AE137" s="133"/>
    </row>
    <row r="138">
      <c r="A138" s="138" t="s">
        <v>3341</v>
      </c>
      <c r="B138" s="127" t="s">
        <v>3342</v>
      </c>
      <c r="C138" s="127" t="s">
        <v>49</v>
      </c>
      <c r="D138" s="127" t="s">
        <v>3343</v>
      </c>
      <c r="E138" s="127" t="s">
        <v>2629</v>
      </c>
      <c r="F138" s="127" t="s">
        <v>1581</v>
      </c>
      <c r="G138" s="151"/>
      <c r="H138" s="127" t="s">
        <v>64</v>
      </c>
      <c r="I138" s="127" t="s">
        <v>443</v>
      </c>
      <c r="J138" s="127" t="s">
        <v>122</v>
      </c>
      <c r="K138" s="151"/>
      <c r="L138" s="129">
        <v>45901.0</v>
      </c>
      <c r="M138" s="156"/>
      <c r="N138" s="129">
        <v>46266.0</v>
      </c>
      <c r="O138" s="151"/>
      <c r="P138" s="151"/>
      <c r="Q138" s="151"/>
      <c r="R138" s="150"/>
      <c r="S138" s="150"/>
      <c r="T138" s="130">
        <v>4.0E9</v>
      </c>
      <c r="U138" s="130">
        <v>3636363.64</v>
      </c>
      <c r="V138" s="131" t="s">
        <v>2783</v>
      </c>
      <c r="W138" s="128">
        <v>3.0</v>
      </c>
      <c r="X138" s="127" t="s">
        <v>122</v>
      </c>
      <c r="Y138" s="127" t="s">
        <v>1601</v>
      </c>
      <c r="Z138" s="127" t="s">
        <v>122</v>
      </c>
      <c r="AA138" s="127">
        <v>27.0</v>
      </c>
      <c r="AB138" s="127" t="s">
        <v>1602</v>
      </c>
      <c r="AC138" s="127" t="s">
        <v>70</v>
      </c>
      <c r="AD138" s="127"/>
      <c r="AE138" s="127"/>
    </row>
    <row r="139">
      <c r="A139" s="132" t="s">
        <v>3348</v>
      </c>
      <c r="B139" s="133" t="s">
        <v>3349</v>
      </c>
      <c r="C139" s="133" t="s">
        <v>49</v>
      </c>
      <c r="D139" s="133" t="s">
        <v>3350</v>
      </c>
      <c r="E139" s="133" t="s">
        <v>2629</v>
      </c>
      <c r="F139" s="133" t="s">
        <v>1581</v>
      </c>
      <c r="G139" s="154"/>
      <c r="H139" s="133" t="s">
        <v>64</v>
      </c>
      <c r="I139" s="133" t="s">
        <v>443</v>
      </c>
      <c r="J139" s="133" t="s">
        <v>122</v>
      </c>
      <c r="K139" s="154"/>
      <c r="L139" s="135">
        <v>45901.0</v>
      </c>
      <c r="M139" s="157"/>
      <c r="N139" s="135">
        <v>46266.0</v>
      </c>
      <c r="O139" s="153"/>
      <c r="P139" s="153"/>
      <c r="Q139" s="154"/>
      <c r="R139" s="153"/>
      <c r="S139" s="153"/>
      <c r="T139" s="136">
        <v>4.0E9</v>
      </c>
      <c r="U139" s="136">
        <v>3636363.64</v>
      </c>
      <c r="V139" s="137" t="s">
        <v>2783</v>
      </c>
      <c r="W139" s="134">
        <v>3.0</v>
      </c>
      <c r="X139" s="133" t="s">
        <v>122</v>
      </c>
      <c r="Y139" s="133" t="s">
        <v>1601</v>
      </c>
      <c r="Z139" s="133" t="s">
        <v>122</v>
      </c>
      <c r="AA139" s="133">
        <v>27.0</v>
      </c>
      <c r="AB139" s="133" t="s">
        <v>1602</v>
      </c>
      <c r="AC139" s="133" t="s">
        <v>70</v>
      </c>
      <c r="AD139" s="133"/>
      <c r="AE139" s="133"/>
    </row>
    <row r="140">
      <c r="A140" s="138" t="s">
        <v>3354</v>
      </c>
      <c r="B140" s="127" t="s">
        <v>3355</v>
      </c>
      <c r="C140" s="127" t="s">
        <v>49</v>
      </c>
      <c r="D140" s="127" t="s">
        <v>3357</v>
      </c>
      <c r="E140" s="127" t="s">
        <v>2629</v>
      </c>
      <c r="F140" s="127" t="s">
        <v>1581</v>
      </c>
      <c r="G140" s="151"/>
      <c r="H140" s="127" t="s">
        <v>64</v>
      </c>
      <c r="I140" s="127" t="s">
        <v>443</v>
      </c>
      <c r="J140" s="127" t="s">
        <v>122</v>
      </c>
      <c r="K140" s="151"/>
      <c r="L140" s="129">
        <v>45901.0</v>
      </c>
      <c r="M140" s="150"/>
      <c r="N140" s="129">
        <v>46266.0</v>
      </c>
      <c r="O140" s="151"/>
      <c r="P140" s="151"/>
      <c r="Q140" s="151"/>
      <c r="R140" s="150"/>
      <c r="S140" s="150"/>
      <c r="T140" s="130">
        <v>4.0E9</v>
      </c>
      <c r="U140" s="130">
        <v>3636363.64</v>
      </c>
      <c r="V140" s="131" t="s">
        <v>2783</v>
      </c>
      <c r="W140" s="128">
        <v>3.0</v>
      </c>
      <c r="X140" s="127" t="s">
        <v>122</v>
      </c>
      <c r="Y140" s="127" t="s">
        <v>1601</v>
      </c>
      <c r="Z140" s="127" t="s">
        <v>122</v>
      </c>
      <c r="AA140" s="127">
        <v>27.0</v>
      </c>
      <c r="AB140" s="127" t="s">
        <v>1602</v>
      </c>
      <c r="AC140" s="127" t="s">
        <v>70</v>
      </c>
      <c r="AD140" s="127"/>
      <c r="AE140" s="127"/>
    </row>
    <row r="141">
      <c r="A141" s="132">
        <v>7712.0</v>
      </c>
      <c r="B141" s="133" t="s">
        <v>3359</v>
      </c>
      <c r="C141" s="133" t="s">
        <v>49</v>
      </c>
      <c r="D141" s="133" t="s">
        <v>3360</v>
      </c>
      <c r="E141" s="133" t="s">
        <v>298</v>
      </c>
      <c r="F141" s="133" t="s">
        <v>1581</v>
      </c>
      <c r="G141" s="154"/>
      <c r="H141" s="133" t="s">
        <v>2793</v>
      </c>
      <c r="I141" s="133" t="s">
        <v>443</v>
      </c>
      <c r="J141" s="133" t="s">
        <v>122</v>
      </c>
      <c r="K141" s="134">
        <v>0.0</v>
      </c>
      <c r="L141" s="135">
        <v>45839.0</v>
      </c>
      <c r="M141" s="157"/>
      <c r="N141" s="135">
        <v>46139.0</v>
      </c>
      <c r="O141" s="154"/>
      <c r="P141" s="154"/>
      <c r="Q141" s="154"/>
      <c r="R141" s="153"/>
      <c r="S141" s="153"/>
      <c r="T141" s="136">
        <v>3.159E9</v>
      </c>
      <c r="U141" s="136">
        <v>2871818.18</v>
      </c>
      <c r="V141" s="137" t="s">
        <v>2799</v>
      </c>
      <c r="W141" s="134">
        <v>2.0</v>
      </c>
      <c r="X141" s="133" t="s">
        <v>122</v>
      </c>
      <c r="Y141" s="133" t="s">
        <v>1601</v>
      </c>
      <c r="Z141" s="133" t="s">
        <v>122</v>
      </c>
      <c r="AA141" s="133">
        <v>27.0</v>
      </c>
      <c r="AB141" s="133" t="s">
        <v>1602</v>
      </c>
      <c r="AC141" s="133" t="s">
        <v>70</v>
      </c>
      <c r="AD141" s="133"/>
      <c r="AE141" s="133"/>
    </row>
    <row r="142">
      <c r="A142" s="138">
        <v>7711.0</v>
      </c>
      <c r="B142" s="127" t="s">
        <v>3361</v>
      </c>
      <c r="C142" s="127" t="s">
        <v>49</v>
      </c>
      <c r="D142" s="127" t="s">
        <v>3362</v>
      </c>
      <c r="E142" s="127" t="s">
        <v>298</v>
      </c>
      <c r="F142" s="127" t="s">
        <v>1581</v>
      </c>
      <c r="G142" s="151"/>
      <c r="H142" s="127" t="s">
        <v>2793</v>
      </c>
      <c r="I142" s="127" t="s">
        <v>443</v>
      </c>
      <c r="J142" s="127" t="s">
        <v>122</v>
      </c>
      <c r="K142" s="128">
        <v>0.0</v>
      </c>
      <c r="L142" s="129">
        <v>45839.0</v>
      </c>
      <c r="M142" s="156"/>
      <c r="N142" s="129">
        <v>46139.0</v>
      </c>
      <c r="O142" s="150"/>
      <c r="P142" s="150"/>
      <c r="Q142" s="151"/>
      <c r="R142" s="150"/>
      <c r="S142" s="150"/>
      <c r="T142" s="130">
        <v>2.901E9</v>
      </c>
      <c r="U142" s="130">
        <v>2637272.73</v>
      </c>
      <c r="V142" s="131" t="s">
        <v>2799</v>
      </c>
      <c r="W142" s="128">
        <v>2.0</v>
      </c>
      <c r="X142" s="127" t="s">
        <v>122</v>
      </c>
      <c r="Y142" s="127" t="s">
        <v>1601</v>
      </c>
      <c r="Z142" s="127" t="s">
        <v>122</v>
      </c>
      <c r="AA142" s="127">
        <v>27.0</v>
      </c>
      <c r="AB142" s="127" t="s">
        <v>1602</v>
      </c>
      <c r="AC142" s="127" t="s">
        <v>70</v>
      </c>
      <c r="AD142" s="127"/>
      <c r="AE142" s="127"/>
    </row>
    <row r="143">
      <c r="A143" s="132">
        <v>7704.0</v>
      </c>
      <c r="B143" s="133" t="s">
        <v>3363</v>
      </c>
      <c r="C143" s="133" t="s">
        <v>49</v>
      </c>
      <c r="D143" s="133" t="s">
        <v>3364</v>
      </c>
      <c r="E143" s="133" t="s">
        <v>298</v>
      </c>
      <c r="F143" s="133" t="s">
        <v>1581</v>
      </c>
      <c r="G143" s="154"/>
      <c r="H143" s="133" t="s">
        <v>2793</v>
      </c>
      <c r="I143" s="133" t="s">
        <v>443</v>
      </c>
      <c r="J143" s="133" t="s">
        <v>122</v>
      </c>
      <c r="K143" s="134">
        <v>0.0</v>
      </c>
      <c r="L143" s="135">
        <v>45839.0</v>
      </c>
      <c r="M143" s="157"/>
      <c r="N143" s="135">
        <v>46139.0</v>
      </c>
      <c r="O143" s="153"/>
      <c r="P143" s="153"/>
      <c r="Q143" s="154"/>
      <c r="R143" s="153"/>
      <c r="S143" s="153"/>
      <c r="T143" s="136">
        <v>2.76E9</v>
      </c>
      <c r="U143" s="136">
        <v>2509090.91</v>
      </c>
      <c r="V143" s="137" t="s">
        <v>2799</v>
      </c>
      <c r="W143" s="134">
        <v>2.0</v>
      </c>
      <c r="X143" s="133" t="s">
        <v>122</v>
      </c>
      <c r="Y143" s="133" t="s">
        <v>1601</v>
      </c>
      <c r="Z143" s="133" t="s">
        <v>122</v>
      </c>
      <c r="AA143" s="133">
        <v>27.0</v>
      </c>
      <c r="AB143" s="133" t="s">
        <v>1602</v>
      </c>
      <c r="AC143" s="133" t="s">
        <v>70</v>
      </c>
      <c r="AD143" s="133"/>
      <c r="AE143" s="133"/>
    </row>
    <row r="144">
      <c r="A144" s="138">
        <v>7709.0</v>
      </c>
      <c r="B144" s="127" t="s">
        <v>3365</v>
      </c>
      <c r="C144" s="127" t="s">
        <v>49</v>
      </c>
      <c r="D144" s="127" t="s">
        <v>3366</v>
      </c>
      <c r="E144" s="127" t="s">
        <v>298</v>
      </c>
      <c r="F144" s="127" t="s">
        <v>1581</v>
      </c>
      <c r="G144" s="151"/>
      <c r="H144" s="127" t="s">
        <v>2793</v>
      </c>
      <c r="I144" s="127" t="s">
        <v>443</v>
      </c>
      <c r="J144" s="127" t="s">
        <v>122</v>
      </c>
      <c r="K144" s="128">
        <v>0.0</v>
      </c>
      <c r="L144" s="129">
        <v>45839.0</v>
      </c>
      <c r="M144" s="156"/>
      <c r="N144" s="129">
        <v>46139.0</v>
      </c>
      <c r="O144" s="151"/>
      <c r="P144" s="151"/>
      <c r="Q144" s="151"/>
      <c r="R144" s="150"/>
      <c r="S144" s="150"/>
      <c r="T144" s="130">
        <v>2.793E9</v>
      </c>
      <c r="U144" s="130">
        <v>2539090.91</v>
      </c>
      <c r="V144" s="131" t="s">
        <v>2799</v>
      </c>
      <c r="W144" s="128">
        <v>2.0</v>
      </c>
      <c r="X144" s="127" t="s">
        <v>122</v>
      </c>
      <c r="Y144" s="127" t="s">
        <v>1601</v>
      </c>
      <c r="Z144" s="127" t="s">
        <v>122</v>
      </c>
      <c r="AA144" s="127">
        <v>27.0</v>
      </c>
      <c r="AB144" s="127" t="s">
        <v>1602</v>
      </c>
      <c r="AC144" s="127" t="s">
        <v>70</v>
      </c>
      <c r="AD144" s="127"/>
      <c r="AE144" s="127"/>
    </row>
    <row r="145">
      <c r="A145" s="132">
        <v>7708.0</v>
      </c>
      <c r="B145" s="133" t="s">
        <v>3367</v>
      </c>
      <c r="C145" s="133" t="s">
        <v>49</v>
      </c>
      <c r="D145" s="133" t="s">
        <v>3368</v>
      </c>
      <c r="E145" s="133" t="s">
        <v>298</v>
      </c>
      <c r="F145" s="133" t="s">
        <v>1581</v>
      </c>
      <c r="G145" s="154"/>
      <c r="H145" s="133" t="s">
        <v>2793</v>
      </c>
      <c r="I145" s="133" t="s">
        <v>443</v>
      </c>
      <c r="J145" s="133" t="s">
        <v>122</v>
      </c>
      <c r="K145" s="134">
        <v>0.0</v>
      </c>
      <c r="L145" s="135">
        <v>45839.0</v>
      </c>
      <c r="M145" s="153"/>
      <c r="N145" s="135">
        <v>46139.0</v>
      </c>
      <c r="O145" s="154"/>
      <c r="P145" s="154"/>
      <c r="Q145" s="154"/>
      <c r="R145" s="153"/>
      <c r="S145" s="153"/>
      <c r="T145" s="136">
        <v>3.131E9</v>
      </c>
      <c r="U145" s="136">
        <v>2846363.64</v>
      </c>
      <c r="V145" s="137" t="s">
        <v>2799</v>
      </c>
      <c r="W145" s="134">
        <v>2.0</v>
      </c>
      <c r="X145" s="133" t="s">
        <v>122</v>
      </c>
      <c r="Y145" s="133" t="s">
        <v>1601</v>
      </c>
      <c r="Z145" s="133" t="s">
        <v>122</v>
      </c>
      <c r="AA145" s="133">
        <v>27.0</v>
      </c>
      <c r="AB145" s="133" t="s">
        <v>1602</v>
      </c>
      <c r="AC145" s="133" t="s">
        <v>70</v>
      </c>
      <c r="AD145" s="133"/>
      <c r="AE145" s="133"/>
    </row>
    <row r="146">
      <c r="A146" s="138">
        <v>7705.0</v>
      </c>
      <c r="B146" s="127" t="s">
        <v>3372</v>
      </c>
      <c r="C146" s="127" t="s">
        <v>49</v>
      </c>
      <c r="D146" s="127" t="s">
        <v>3373</v>
      </c>
      <c r="E146" s="127" t="s">
        <v>298</v>
      </c>
      <c r="F146" s="127" t="s">
        <v>1581</v>
      </c>
      <c r="G146" s="151"/>
      <c r="H146" s="127" t="s">
        <v>2793</v>
      </c>
      <c r="I146" s="127" t="s">
        <v>443</v>
      </c>
      <c r="J146" s="127" t="s">
        <v>122</v>
      </c>
      <c r="K146" s="128">
        <v>0.0</v>
      </c>
      <c r="L146" s="129">
        <v>45839.0</v>
      </c>
      <c r="M146" s="156"/>
      <c r="N146" s="129">
        <v>46139.0</v>
      </c>
      <c r="O146" s="150"/>
      <c r="P146" s="150"/>
      <c r="Q146" s="151"/>
      <c r="R146" s="150"/>
      <c r="S146" s="150"/>
      <c r="T146" s="130">
        <v>2.56E9</v>
      </c>
      <c r="U146" s="130">
        <v>2327272.73</v>
      </c>
      <c r="V146" s="131" t="s">
        <v>2799</v>
      </c>
      <c r="W146" s="128">
        <v>2.0</v>
      </c>
      <c r="X146" s="127" t="s">
        <v>122</v>
      </c>
      <c r="Y146" s="127" t="s">
        <v>1601</v>
      </c>
      <c r="Z146" s="127" t="s">
        <v>122</v>
      </c>
      <c r="AA146" s="127">
        <v>27.0</v>
      </c>
      <c r="AB146" s="127" t="s">
        <v>1602</v>
      </c>
      <c r="AC146" s="127" t="s">
        <v>70</v>
      </c>
      <c r="AD146" s="127"/>
      <c r="AE146" s="127"/>
    </row>
    <row r="147">
      <c r="A147" s="132">
        <v>7673.0</v>
      </c>
      <c r="B147" s="133" t="s">
        <v>3377</v>
      </c>
      <c r="C147" s="133" t="s">
        <v>49</v>
      </c>
      <c r="D147" s="133" t="s">
        <v>3378</v>
      </c>
      <c r="E147" s="133" t="s">
        <v>2589</v>
      </c>
      <c r="F147" s="133" t="s">
        <v>1581</v>
      </c>
      <c r="G147" s="154"/>
      <c r="H147" s="133" t="s">
        <v>2793</v>
      </c>
      <c r="I147" s="133" t="s">
        <v>311</v>
      </c>
      <c r="J147" s="133" t="s">
        <v>1664</v>
      </c>
      <c r="K147" s="134">
        <v>0.0</v>
      </c>
      <c r="L147" s="135">
        <v>45839.0</v>
      </c>
      <c r="M147" s="157"/>
      <c r="N147" s="135">
        <v>46019.0</v>
      </c>
      <c r="O147" s="153"/>
      <c r="P147" s="153"/>
      <c r="Q147" s="154"/>
      <c r="R147" s="153"/>
      <c r="S147" s="153"/>
      <c r="T147" s="136">
        <v>7.06E9</v>
      </c>
      <c r="U147" s="136">
        <v>6418181.82</v>
      </c>
      <c r="V147" s="137" t="s">
        <v>2799</v>
      </c>
      <c r="W147" s="134">
        <v>2.0</v>
      </c>
      <c r="X147" s="133" t="s">
        <v>1600</v>
      </c>
      <c r="Y147" s="133" t="s">
        <v>1601</v>
      </c>
      <c r="Z147" s="133" t="s">
        <v>1664</v>
      </c>
      <c r="AA147" s="133">
        <v>3.0</v>
      </c>
      <c r="AB147" s="133" t="s">
        <v>1602</v>
      </c>
      <c r="AC147" s="133" t="s">
        <v>70</v>
      </c>
      <c r="AD147" s="133"/>
      <c r="AE147" s="133"/>
    </row>
    <row r="148">
      <c r="A148" s="138" t="s">
        <v>3382</v>
      </c>
      <c r="B148" s="149" t="s">
        <v>1467</v>
      </c>
      <c r="C148" s="127" t="s">
        <v>49</v>
      </c>
      <c r="D148" s="127" t="s">
        <v>3383</v>
      </c>
      <c r="E148" s="127" t="s">
        <v>298</v>
      </c>
      <c r="F148" s="127" t="s">
        <v>1581</v>
      </c>
      <c r="G148" s="151"/>
      <c r="H148" s="127" t="s">
        <v>64</v>
      </c>
      <c r="I148" s="127" t="s">
        <v>443</v>
      </c>
      <c r="J148" s="127" t="s">
        <v>122</v>
      </c>
      <c r="K148" s="128">
        <v>0.0</v>
      </c>
      <c r="L148" s="129">
        <v>45901.0</v>
      </c>
      <c r="M148" s="156"/>
      <c r="N148" s="129">
        <v>46138.0</v>
      </c>
      <c r="O148" s="151"/>
      <c r="P148" s="151"/>
      <c r="Q148" s="151"/>
      <c r="R148" s="150"/>
      <c r="S148" s="150"/>
      <c r="T148" s="130">
        <v>1.0E10</v>
      </c>
      <c r="U148" s="130">
        <v>9090909.09</v>
      </c>
      <c r="V148" s="131" t="s">
        <v>2783</v>
      </c>
      <c r="W148" s="128">
        <v>3.0</v>
      </c>
      <c r="X148" s="127" t="s">
        <v>122</v>
      </c>
      <c r="Y148" s="127" t="s">
        <v>1601</v>
      </c>
      <c r="Z148" s="127" t="s">
        <v>122</v>
      </c>
      <c r="AA148" s="127">
        <v>27.0</v>
      </c>
      <c r="AB148" s="127" t="s">
        <v>1602</v>
      </c>
      <c r="AC148" s="127" t="s">
        <v>70</v>
      </c>
      <c r="AD148" s="127"/>
      <c r="AE148" s="127"/>
    </row>
    <row r="149">
      <c r="A149" s="132" t="s">
        <v>3388</v>
      </c>
      <c r="B149" s="133" t="s">
        <v>3389</v>
      </c>
      <c r="C149" s="133" t="s">
        <v>49</v>
      </c>
      <c r="D149" s="133" t="s">
        <v>3390</v>
      </c>
      <c r="E149" s="133" t="s">
        <v>2791</v>
      </c>
      <c r="F149" s="133" t="s">
        <v>1581</v>
      </c>
      <c r="G149" s="154"/>
      <c r="H149" s="133" t="s">
        <v>2793</v>
      </c>
      <c r="I149" s="133" t="s">
        <v>569</v>
      </c>
      <c r="J149" s="133" t="s">
        <v>1674</v>
      </c>
      <c r="K149" s="134">
        <v>0.0</v>
      </c>
      <c r="L149" s="135">
        <v>45839.0</v>
      </c>
      <c r="M149" s="157"/>
      <c r="N149" s="135">
        <v>46204.0</v>
      </c>
      <c r="O149" s="154"/>
      <c r="P149" s="154"/>
      <c r="Q149" s="154"/>
      <c r="R149" s="153"/>
      <c r="S149" s="153"/>
      <c r="T149" s="136">
        <v>1.68152E9</v>
      </c>
      <c r="U149" s="136">
        <v>1528654.55</v>
      </c>
      <c r="V149" s="137" t="s">
        <v>2799</v>
      </c>
      <c r="W149" s="134">
        <v>2.0</v>
      </c>
      <c r="X149" s="133" t="s">
        <v>1600</v>
      </c>
      <c r="Y149" s="133" t="s">
        <v>1601</v>
      </c>
      <c r="Z149" s="133" t="s">
        <v>1674</v>
      </c>
      <c r="AA149" s="133">
        <v>26.0</v>
      </c>
      <c r="AB149" s="133" t="s">
        <v>1602</v>
      </c>
      <c r="AC149" s="133" t="s">
        <v>70</v>
      </c>
      <c r="AD149" s="133"/>
      <c r="AE149" s="133"/>
    </row>
    <row r="150">
      <c r="A150" s="138">
        <v>7703.0</v>
      </c>
      <c r="B150" s="127" t="s">
        <v>3395</v>
      </c>
      <c r="C150" s="127" t="s">
        <v>49</v>
      </c>
      <c r="D150" s="127" t="s">
        <v>3396</v>
      </c>
      <c r="E150" s="127" t="s">
        <v>2589</v>
      </c>
      <c r="F150" s="127" t="s">
        <v>1581</v>
      </c>
      <c r="G150" s="151"/>
      <c r="H150" s="127" t="s">
        <v>2793</v>
      </c>
      <c r="I150" s="127" t="s">
        <v>2023</v>
      </c>
      <c r="J150" s="127" t="s">
        <v>1747</v>
      </c>
      <c r="K150" s="128">
        <v>0.0</v>
      </c>
      <c r="L150" s="129">
        <v>45839.0</v>
      </c>
      <c r="M150" s="150"/>
      <c r="N150" s="129">
        <v>46204.0</v>
      </c>
      <c r="O150" s="151"/>
      <c r="P150" s="151"/>
      <c r="Q150" s="151"/>
      <c r="R150" s="150"/>
      <c r="S150" s="150"/>
      <c r="T150" s="130">
        <v>2.1052E10</v>
      </c>
      <c r="U150" s="130">
        <v>1.913818182E7</v>
      </c>
      <c r="V150" s="131" t="s">
        <v>2799</v>
      </c>
      <c r="W150" s="128">
        <v>2.0</v>
      </c>
      <c r="X150" s="127" t="s">
        <v>1600</v>
      </c>
      <c r="Y150" s="127" t="s">
        <v>1601</v>
      </c>
      <c r="Z150" s="127" t="s">
        <v>1747</v>
      </c>
      <c r="AA150" s="127">
        <v>6.0</v>
      </c>
      <c r="AB150" s="127" t="s">
        <v>1602</v>
      </c>
      <c r="AC150" s="127" t="s">
        <v>70</v>
      </c>
      <c r="AD150" s="127"/>
      <c r="AE150" s="127"/>
    </row>
    <row r="151">
      <c r="A151" s="152">
        <v>2083923.0</v>
      </c>
      <c r="B151" s="133" t="s">
        <v>3400</v>
      </c>
      <c r="C151" s="133" t="s">
        <v>49</v>
      </c>
      <c r="D151" s="133" t="s">
        <v>3401</v>
      </c>
      <c r="E151" s="133" t="s">
        <v>2589</v>
      </c>
      <c r="F151" s="133" t="s">
        <v>1581</v>
      </c>
      <c r="G151" s="154"/>
      <c r="H151" s="133" t="s">
        <v>76</v>
      </c>
      <c r="I151" s="133" t="s">
        <v>2023</v>
      </c>
      <c r="J151" s="133" t="s">
        <v>1747</v>
      </c>
      <c r="K151" s="134">
        <v>0.0</v>
      </c>
      <c r="L151" s="135">
        <v>45839.0</v>
      </c>
      <c r="M151" s="153"/>
      <c r="N151" s="135">
        <v>46204.0</v>
      </c>
      <c r="O151" s="154"/>
      <c r="P151" s="154"/>
      <c r="Q151" s="154"/>
      <c r="R151" s="153"/>
      <c r="S151" s="153"/>
      <c r="T151" s="136">
        <v>1.407875E10</v>
      </c>
      <c r="U151" s="136">
        <v>1.279886364E7</v>
      </c>
      <c r="V151" s="137" t="s">
        <v>2799</v>
      </c>
      <c r="W151" s="134">
        <v>2.0</v>
      </c>
      <c r="X151" s="133" t="s">
        <v>1600</v>
      </c>
      <c r="Y151" s="133" t="s">
        <v>1601</v>
      </c>
      <c r="Z151" s="133" t="s">
        <v>1747</v>
      </c>
      <c r="AA151" s="133">
        <v>6.0</v>
      </c>
      <c r="AB151" s="133" t="s">
        <v>1602</v>
      </c>
      <c r="AC151" s="133" t="s">
        <v>70</v>
      </c>
      <c r="AD151" s="133"/>
      <c r="AE151" s="133"/>
    </row>
    <row r="152">
      <c r="A152" s="138" t="s">
        <v>3404</v>
      </c>
      <c r="B152" s="149" t="s">
        <v>1467</v>
      </c>
      <c r="C152" s="127" t="s">
        <v>49</v>
      </c>
      <c r="D152" s="127" t="s">
        <v>3406</v>
      </c>
      <c r="E152" s="127" t="s">
        <v>2589</v>
      </c>
      <c r="F152" s="127" t="s">
        <v>1581</v>
      </c>
      <c r="G152" s="150"/>
      <c r="H152" s="127" t="s">
        <v>64</v>
      </c>
      <c r="I152" s="127" t="s">
        <v>407</v>
      </c>
      <c r="J152" s="127" t="s">
        <v>408</v>
      </c>
      <c r="K152" s="151"/>
      <c r="L152" s="129">
        <v>45901.0</v>
      </c>
      <c r="M152" s="150"/>
      <c r="N152" s="129">
        <v>46266.0</v>
      </c>
      <c r="O152" s="151"/>
      <c r="P152" s="150"/>
      <c r="Q152" s="151"/>
      <c r="R152" s="151"/>
      <c r="S152" s="151"/>
      <c r="T152" s="130">
        <v>4.0E9</v>
      </c>
      <c r="U152" s="130">
        <v>3636363.64</v>
      </c>
      <c r="V152" s="131" t="s">
        <v>2783</v>
      </c>
      <c r="W152" s="128">
        <v>3.0</v>
      </c>
      <c r="X152" s="127" t="s">
        <v>1600</v>
      </c>
      <c r="Y152" s="127" t="s">
        <v>1601</v>
      </c>
      <c r="Z152" s="127" t="s">
        <v>408</v>
      </c>
      <c r="AA152" s="127">
        <v>15.0</v>
      </c>
      <c r="AB152" s="127" t="s">
        <v>1565</v>
      </c>
      <c r="AC152" s="127" t="s">
        <v>70</v>
      </c>
      <c r="AD152" s="127"/>
      <c r="AE152" s="127"/>
    </row>
    <row r="153">
      <c r="A153" s="132">
        <v>7717.0</v>
      </c>
      <c r="B153" s="133" t="s">
        <v>3410</v>
      </c>
      <c r="C153" s="133" t="s">
        <v>49</v>
      </c>
      <c r="D153" s="133" t="s">
        <v>3411</v>
      </c>
      <c r="E153" s="133" t="s">
        <v>2791</v>
      </c>
      <c r="F153" s="133" t="s">
        <v>1581</v>
      </c>
      <c r="G153" s="153"/>
      <c r="H153" s="133" t="s">
        <v>2793</v>
      </c>
      <c r="I153" s="133" t="s">
        <v>1695</v>
      </c>
      <c r="J153" s="133" t="s">
        <v>161</v>
      </c>
      <c r="K153" s="134">
        <v>0.0</v>
      </c>
      <c r="L153" s="135">
        <v>45839.0</v>
      </c>
      <c r="M153" s="153"/>
      <c r="N153" s="135">
        <v>46019.0</v>
      </c>
      <c r="O153" s="154"/>
      <c r="P153" s="153"/>
      <c r="Q153" s="154"/>
      <c r="R153" s="154"/>
      <c r="S153" s="154"/>
      <c r="T153" s="136">
        <v>1.67443E9</v>
      </c>
      <c r="U153" s="136">
        <v>1522209.09</v>
      </c>
      <c r="V153" s="137" t="s">
        <v>2799</v>
      </c>
      <c r="W153" s="134">
        <v>2.0</v>
      </c>
      <c r="X153" s="133" t="s">
        <v>1600</v>
      </c>
      <c r="Y153" s="133" t="s">
        <v>1601</v>
      </c>
      <c r="Z153" s="133" t="s">
        <v>161</v>
      </c>
      <c r="AA153" s="133">
        <v>23.0</v>
      </c>
      <c r="AB153" s="133" t="s">
        <v>1602</v>
      </c>
      <c r="AC153" s="133" t="s">
        <v>70</v>
      </c>
      <c r="AD153" s="133"/>
      <c r="AE153" s="133"/>
    </row>
    <row r="154">
      <c r="A154" s="138" t="s">
        <v>3415</v>
      </c>
      <c r="B154" s="127" t="s">
        <v>3417</v>
      </c>
      <c r="C154" s="127" t="s">
        <v>49</v>
      </c>
      <c r="D154" s="127" t="s">
        <v>3418</v>
      </c>
      <c r="E154" s="127" t="s">
        <v>2589</v>
      </c>
      <c r="F154" s="127" t="s">
        <v>1581</v>
      </c>
      <c r="G154" s="151"/>
      <c r="H154" s="127" t="s">
        <v>64</v>
      </c>
      <c r="I154" s="127" t="s">
        <v>581</v>
      </c>
      <c r="J154" s="127" t="s">
        <v>1839</v>
      </c>
      <c r="K154" s="128">
        <v>0.0</v>
      </c>
      <c r="L154" s="129">
        <v>45901.0</v>
      </c>
      <c r="M154" s="150"/>
      <c r="N154" s="129">
        <v>46266.0</v>
      </c>
      <c r="O154" s="151"/>
      <c r="P154" s="151"/>
      <c r="Q154" s="151"/>
      <c r="R154" s="151"/>
      <c r="S154" s="151"/>
      <c r="T154" s="130">
        <v>1.0384E10</v>
      </c>
      <c r="U154" s="130">
        <v>9440000.0</v>
      </c>
      <c r="V154" s="131" t="s">
        <v>2783</v>
      </c>
      <c r="W154" s="128">
        <v>3.0</v>
      </c>
      <c r="X154" s="127" t="s">
        <v>1600</v>
      </c>
      <c r="Y154" s="127" t="s">
        <v>1601</v>
      </c>
      <c r="Z154" s="127" t="s">
        <v>1839</v>
      </c>
      <c r="AA154" s="127">
        <v>17.0</v>
      </c>
      <c r="AB154" s="127" t="s">
        <v>1602</v>
      </c>
      <c r="AC154" s="127" t="s">
        <v>70</v>
      </c>
      <c r="AD154" s="127"/>
      <c r="AE154" s="127"/>
    </row>
    <row r="155">
      <c r="A155" s="132">
        <v>6364.0</v>
      </c>
      <c r="B155" s="133" t="s">
        <v>863</v>
      </c>
      <c r="C155" s="133" t="s">
        <v>49</v>
      </c>
      <c r="D155" s="133" t="s">
        <v>3421</v>
      </c>
      <c r="E155" s="133" t="s">
        <v>2589</v>
      </c>
      <c r="F155" s="133" t="s">
        <v>1581</v>
      </c>
      <c r="G155" s="153"/>
      <c r="H155" s="133" t="s">
        <v>2793</v>
      </c>
      <c r="I155" s="133" t="s">
        <v>157</v>
      </c>
      <c r="J155" s="133" t="s">
        <v>61</v>
      </c>
      <c r="K155" s="134">
        <v>0.0</v>
      </c>
      <c r="L155" s="135">
        <v>45839.0</v>
      </c>
      <c r="M155" s="153"/>
      <c r="N155" s="135">
        <v>46019.0</v>
      </c>
      <c r="O155" s="154"/>
      <c r="P155" s="153"/>
      <c r="Q155" s="154"/>
      <c r="R155" s="154"/>
      <c r="S155" s="154"/>
      <c r="T155" s="136">
        <v>6.9E8</v>
      </c>
      <c r="U155" s="136">
        <v>627272.73</v>
      </c>
      <c r="V155" s="137" t="s">
        <v>2799</v>
      </c>
      <c r="W155" s="134">
        <v>2.0</v>
      </c>
      <c r="X155" s="133" t="s">
        <v>147</v>
      </c>
      <c r="Y155" s="133" t="s">
        <v>1601</v>
      </c>
      <c r="Z155" s="133" t="s">
        <v>140</v>
      </c>
      <c r="AA155" s="133">
        <v>7.0</v>
      </c>
      <c r="AB155" s="133" t="s">
        <v>1565</v>
      </c>
      <c r="AC155" s="133" t="s">
        <v>70</v>
      </c>
      <c r="AD155" s="133"/>
      <c r="AE155" s="133"/>
    </row>
    <row r="156">
      <c r="A156" s="126">
        <v>7759.0</v>
      </c>
      <c r="B156" s="127" t="s">
        <v>3422</v>
      </c>
      <c r="C156" s="127" t="s">
        <v>49</v>
      </c>
      <c r="D156" s="127" t="s">
        <v>3423</v>
      </c>
      <c r="E156" s="127" t="s">
        <v>2589</v>
      </c>
      <c r="F156" s="127" t="s">
        <v>1581</v>
      </c>
      <c r="G156" s="150"/>
      <c r="H156" s="127" t="s">
        <v>64</v>
      </c>
      <c r="I156" s="127" t="s">
        <v>1646</v>
      </c>
      <c r="J156" s="127" t="s">
        <v>1646</v>
      </c>
      <c r="K156" s="128">
        <v>0.0173</v>
      </c>
      <c r="L156" s="129">
        <v>45778.0</v>
      </c>
      <c r="M156" s="150"/>
      <c r="N156" s="129">
        <v>46318.0</v>
      </c>
      <c r="O156" s="151"/>
      <c r="P156" s="150"/>
      <c r="Q156" s="151"/>
      <c r="R156" s="151"/>
      <c r="S156" s="151"/>
      <c r="T156" s="130">
        <v>2.493769E10</v>
      </c>
      <c r="U156" s="130">
        <v>2.267062727E7</v>
      </c>
      <c r="V156" s="131" t="s">
        <v>2848</v>
      </c>
      <c r="W156" s="128">
        <v>3.0</v>
      </c>
      <c r="X156" s="127" t="s">
        <v>1600</v>
      </c>
      <c r="Y156" s="127" t="s">
        <v>1601</v>
      </c>
      <c r="Z156" s="127" t="s">
        <v>1646</v>
      </c>
      <c r="AA156" s="127">
        <v>14.0</v>
      </c>
      <c r="AB156" s="127" t="s">
        <v>1602</v>
      </c>
      <c r="AC156" s="127" t="s">
        <v>70</v>
      </c>
      <c r="AD156" s="127"/>
      <c r="AE156" s="127"/>
    </row>
    <row r="157">
      <c r="A157" s="132" t="s">
        <v>3424</v>
      </c>
      <c r="B157" s="133" t="s">
        <v>3425</v>
      </c>
      <c r="C157" s="133" t="s">
        <v>49</v>
      </c>
      <c r="D157" s="133" t="s">
        <v>3426</v>
      </c>
      <c r="E157" s="133" t="s">
        <v>2589</v>
      </c>
      <c r="F157" s="133" t="s">
        <v>1581</v>
      </c>
      <c r="G157" s="154"/>
      <c r="H157" s="133" t="s">
        <v>64</v>
      </c>
      <c r="I157" s="133" t="s">
        <v>1646</v>
      </c>
      <c r="J157" s="133" t="s">
        <v>1646</v>
      </c>
      <c r="K157" s="154"/>
      <c r="L157" s="135">
        <v>45809.0</v>
      </c>
      <c r="M157" s="153"/>
      <c r="N157" s="135">
        <v>46539.0</v>
      </c>
      <c r="O157" s="154"/>
      <c r="P157" s="154"/>
      <c r="Q157" s="154"/>
      <c r="R157" s="154"/>
      <c r="S157" s="154"/>
      <c r="T157" s="136">
        <v>6.365E10</v>
      </c>
      <c r="U157" s="136">
        <v>5.786363636E7</v>
      </c>
      <c r="V157" s="137" t="s">
        <v>2848</v>
      </c>
      <c r="W157" s="134">
        <v>3.0</v>
      </c>
      <c r="X157" s="133" t="s">
        <v>1600</v>
      </c>
      <c r="Y157" s="133" t="s">
        <v>1601</v>
      </c>
      <c r="Z157" s="133" t="s">
        <v>1646</v>
      </c>
      <c r="AA157" s="133">
        <v>14.0</v>
      </c>
      <c r="AB157" s="133" t="s">
        <v>1602</v>
      </c>
      <c r="AC157" s="133" t="s">
        <v>70</v>
      </c>
      <c r="AD157" s="133"/>
      <c r="AE157" s="133"/>
    </row>
    <row r="158">
      <c r="A158" s="155">
        <v>2073939.0</v>
      </c>
      <c r="B158" s="127" t="s">
        <v>3427</v>
      </c>
      <c r="C158" s="127" t="s">
        <v>49</v>
      </c>
      <c r="D158" s="127" t="s">
        <v>3428</v>
      </c>
      <c r="E158" s="127" t="s">
        <v>2589</v>
      </c>
      <c r="F158" s="127" t="s">
        <v>1581</v>
      </c>
      <c r="G158" s="151"/>
      <c r="H158" s="127" t="s">
        <v>64</v>
      </c>
      <c r="I158" s="127" t="s">
        <v>1646</v>
      </c>
      <c r="J158" s="127" t="s">
        <v>1646</v>
      </c>
      <c r="K158" s="151"/>
      <c r="L158" s="129">
        <v>45809.0</v>
      </c>
      <c r="M158" s="150"/>
      <c r="N158" s="129">
        <v>46349.0</v>
      </c>
      <c r="O158" s="151"/>
      <c r="P158" s="151"/>
      <c r="Q158" s="151"/>
      <c r="R158" s="151"/>
      <c r="S158" s="151"/>
      <c r="T158" s="130">
        <v>3.016046E10</v>
      </c>
      <c r="U158" s="130">
        <v>2.74186E7</v>
      </c>
      <c r="V158" s="131" t="s">
        <v>2848</v>
      </c>
      <c r="W158" s="128">
        <v>3.0</v>
      </c>
      <c r="X158" s="127" t="s">
        <v>1600</v>
      </c>
      <c r="Y158" s="127" t="s">
        <v>1601</v>
      </c>
      <c r="Z158" s="127" t="s">
        <v>1646</v>
      </c>
      <c r="AA158" s="127">
        <v>14.0</v>
      </c>
      <c r="AB158" s="127" t="s">
        <v>1602</v>
      </c>
      <c r="AC158" s="127" t="s">
        <v>70</v>
      </c>
      <c r="AD158" s="127"/>
      <c r="AE158" s="127"/>
    </row>
    <row r="159">
      <c r="A159" s="132" t="s">
        <v>3432</v>
      </c>
      <c r="B159" s="133" t="s">
        <v>3434</v>
      </c>
      <c r="C159" s="133" t="s">
        <v>49</v>
      </c>
      <c r="D159" s="133" t="s">
        <v>3435</v>
      </c>
      <c r="E159" s="133" t="s">
        <v>2589</v>
      </c>
      <c r="F159" s="133" t="s">
        <v>1581</v>
      </c>
      <c r="G159" s="154"/>
      <c r="H159" s="133" t="s">
        <v>2793</v>
      </c>
      <c r="I159" s="133" t="s">
        <v>1646</v>
      </c>
      <c r="J159" s="133" t="s">
        <v>1646</v>
      </c>
      <c r="K159" s="134">
        <v>0.0</v>
      </c>
      <c r="L159" s="135">
        <v>45778.0</v>
      </c>
      <c r="M159" s="153"/>
      <c r="N159" s="135">
        <v>46318.0</v>
      </c>
      <c r="O159" s="154"/>
      <c r="P159" s="154"/>
      <c r="Q159" s="154"/>
      <c r="R159" s="154"/>
      <c r="S159" s="154"/>
      <c r="T159" s="136">
        <v>2.3694E10</v>
      </c>
      <c r="U159" s="136">
        <v>2.154E7</v>
      </c>
      <c r="V159" s="137" t="s">
        <v>2848</v>
      </c>
      <c r="W159" s="134">
        <v>2.0</v>
      </c>
      <c r="X159" s="133" t="s">
        <v>1600</v>
      </c>
      <c r="Y159" s="133" t="s">
        <v>1601</v>
      </c>
      <c r="Z159" s="133" t="s">
        <v>1646</v>
      </c>
      <c r="AA159" s="133">
        <v>14.0</v>
      </c>
      <c r="AB159" s="133" t="s">
        <v>1602</v>
      </c>
      <c r="AC159" s="133" t="s">
        <v>70</v>
      </c>
      <c r="AD159" s="133"/>
      <c r="AE159" s="133"/>
    </row>
    <row r="160">
      <c r="A160" s="155">
        <v>2073908.0</v>
      </c>
      <c r="B160" s="127" t="s">
        <v>3440</v>
      </c>
      <c r="C160" s="127" t="s">
        <v>49</v>
      </c>
      <c r="D160" s="127" t="s">
        <v>3441</v>
      </c>
      <c r="E160" s="127" t="s">
        <v>2589</v>
      </c>
      <c r="F160" s="127" t="s">
        <v>1581</v>
      </c>
      <c r="G160" s="151"/>
      <c r="H160" s="127" t="s">
        <v>64</v>
      </c>
      <c r="I160" s="127" t="s">
        <v>1646</v>
      </c>
      <c r="J160" s="127" t="s">
        <v>1646</v>
      </c>
      <c r="K160" s="151"/>
      <c r="L160" s="129">
        <v>45901.0</v>
      </c>
      <c r="M160" s="150"/>
      <c r="N160" s="129">
        <v>46631.0</v>
      </c>
      <c r="O160" s="151"/>
      <c r="P160" s="151"/>
      <c r="Q160" s="151"/>
      <c r="R160" s="151"/>
      <c r="S160" s="151"/>
      <c r="T160" s="130">
        <v>4.66503E10</v>
      </c>
      <c r="U160" s="130">
        <v>4.240936364E7</v>
      </c>
      <c r="V160" s="131" t="s">
        <v>294</v>
      </c>
      <c r="W160" s="128">
        <v>4.0</v>
      </c>
      <c r="X160" s="127" t="s">
        <v>1600</v>
      </c>
      <c r="Y160" s="127" t="s">
        <v>2613</v>
      </c>
      <c r="Z160" s="127" t="s">
        <v>1646</v>
      </c>
      <c r="AA160" s="127">
        <v>14.0</v>
      </c>
      <c r="AB160" s="127" t="s">
        <v>1602</v>
      </c>
      <c r="AC160" s="127" t="s">
        <v>70</v>
      </c>
      <c r="AD160" s="127"/>
      <c r="AE160" s="127"/>
    </row>
    <row r="161">
      <c r="A161" s="152">
        <v>2073880.0</v>
      </c>
      <c r="B161" s="149" t="s">
        <v>1467</v>
      </c>
      <c r="C161" s="133" t="s">
        <v>49</v>
      </c>
      <c r="D161" s="133" t="s">
        <v>3453</v>
      </c>
      <c r="E161" s="133" t="s">
        <v>2589</v>
      </c>
      <c r="F161" s="133" t="s">
        <v>1581</v>
      </c>
      <c r="G161" s="154"/>
      <c r="H161" s="133" t="s">
        <v>64</v>
      </c>
      <c r="I161" s="133" t="s">
        <v>1646</v>
      </c>
      <c r="J161" s="133" t="s">
        <v>1646</v>
      </c>
      <c r="K161" s="154"/>
      <c r="L161" s="135">
        <v>45901.0</v>
      </c>
      <c r="M161" s="153"/>
      <c r="N161" s="135">
        <v>46631.0</v>
      </c>
      <c r="O161" s="154"/>
      <c r="P161" s="154"/>
      <c r="Q161" s="154"/>
      <c r="R161" s="154"/>
      <c r="S161" s="154"/>
      <c r="T161" s="136">
        <v>9.5E10</v>
      </c>
      <c r="U161" s="136">
        <v>8.636363636E7</v>
      </c>
      <c r="V161" s="137" t="s">
        <v>294</v>
      </c>
      <c r="W161" s="134">
        <v>4.0</v>
      </c>
      <c r="X161" s="133" t="s">
        <v>1600</v>
      </c>
      <c r="Y161" s="133" t="s">
        <v>2613</v>
      </c>
      <c r="Z161" s="133" t="s">
        <v>1646</v>
      </c>
      <c r="AA161" s="133">
        <v>14.0</v>
      </c>
      <c r="AB161" s="133" t="s">
        <v>1602</v>
      </c>
      <c r="AC161" s="133" t="s">
        <v>70</v>
      </c>
      <c r="AD161" s="133"/>
      <c r="AE161" s="133"/>
    </row>
    <row r="162">
      <c r="A162" s="138" t="s">
        <v>3461</v>
      </c>
      <c r="B162" s="127" t="s">
        <v>3463</v>
      </c>
      <c r="C162" s="127" t="s">
        <v>49</v>
      </c>
      <c r="D162" s="127" t="s">
        <v>3466</v>
      </c>
      <c r="E162" s="127" t="s">
        <v>2589</v>
      </c>
      <c r="F162" s="127" t="s">
        <v>1581</v>
      </c>
      <c r="G162" s="150"/>
      <c r="H162" s="127" t="s">
        <v>64</v>
      </c>
      <c r="I162" s="127" t="s">
        <v>1646</v>
      </c>
      <c r="J162" s="127" t="s">
        <v>1646</v>
      </c>
      <c r="K162" s="150"/>
      <c r="L162" s="129">
        <v>45901.0</v>
      </c>
      <c r="M162" s="150"/>
      <c r="N162" s="129">
        <v>46631.0</v>
      </c>
      <c r="O162" s="151"/>
      <c r="P162" s="151"/>
      <c r="Q162" s="151"/>
      <c r="R162" s="151"/>
      <c r="S162" s="151"/>
      <c r="T162" s="130">
        <v>6.207037E10</v>
      </c>
      <c r="U162" s="130">
        <v>5.642760909E7</v>
      </c>
      <c r="V162" s="131" t="s">
        <v>2848</v>
      </c>
      <c r="W162" s="128">
        <v>3.0</v>
      </c>
      <c r="X162" s="127" t="s">
        <v>1600</v>
      </c>
      <c r="Y162" s="127" t="s">
        <v>1601</v>
      </c>
      <c r="Z162" s="127" t="s">
        <v>1646</v>
      </c>
      <c r="AA162" s="127">
        <v>14.0</v>
      </c>
      <c r="AB162" s="127" t="s">
        <v>1602</v>
      </c>
      <c r="AC162" s="127" t="s">
        <v>70</v>
      </c>
      <c r="AD162" s="127"/>
      <c r="AE162" s="127"/>
    </row>
    <row r="163">
      <c r="A163" s="152">
        <v>2073849.0</v>
      </c>
      <c r="B163" s="133" t="s">
        <v>3476</v>
      </c>
      <c r="C163" s="133" t="s">
        <v>49</v>
      </c>
      <c r="D163" s="133" t="s">
        <v>3478</v>
      </c>
      <c r="E163" s="133" t="s">
        <v>2589</v>
      </c>
      <c r="F163" s="133" t="s">
        <v>1581</v>
      </c>
      <c r="G163" s="154"/>
      <c r="H163" s="133" t="s">
        <v>64</v>
      </c>
      <c r="I163" s="133" t="s">
        <v>1646</v>
      </c>
      <c r="J163" s="133" t="s">
        <v>1646</v>
      </c>
      <c r="K163" s="154"/>
      <c r="L163" s="135">
        <v>45901.0</v>
      </c>
      <c r="M163" s="153"/>
      <c r="N163" s="135">
        <v>46631.0</v>
      </c>
      <c r="O163" s="154"/>
      <c r="P163" s="154"/>
      <c r="Q163" s="154"/>
      <c r="R163" s="154"/>
      <c r="S163" s="154"/>
      <c r="T163" s="136">
        <v>7.112953E10</v>
      </c>
      <c r="U163" s="136">
        <v>6.466320909E7</v>
      </c>
      <c r="V163" s="137" t="s">
        <v>2848</v>
      </c>
      <c r="W163" s="134">
        <v>3.0</v>
      </c>
      <c r="X163" s="133" t="s">
        <v>1600</v>
      </c>
      <c r="Y163" s="133" t="s">
        <v>1601</v>
      </c>
      <c r="Z163" s="133" t="s">
        <v>1646</v>
      </c>
      <c r="AA163" s="133">
        <v>14.0</v>
      </c>
      <c r="AB163" s="133" t="s">
        <v>1602</v>
      </c>
      <c r="AC163" s="133" t="s">
        <v>70</v>
      </c>
      <c r="AD163" s="133"/>
      <c r="AE163" s="133"/>
    </row>
    <row r="164">
      <c r="A164" s="138">
        <v>7707.0</v>
      </c>
      <c r="B164" s="127" t="s">
        <v>3484</v>
      </c>
      <c r="C164" s="127" t="s">
        <v>49</v>
      </c>
      <c r="D164" s="127" t="s">
        <v>3485</v>
      </c>
      <c r="E164" s="127" t="s">
        <v>298</v>
      </c>
      <c r="F164" s="127" t="s">
        <v>1581</v>
      </c>
      <c r="G164" s="150"/>
      <c r="H164" s="127" t="s">
        <v>2793</v>
      </c>
      <c r="I164" s="127" t="s">
        <v>443</v>
      </c>
      <c r="J164" s="127" t="s">
        <v>122</v>
      </c>
      <c r="K164" s="128">
        <v>0.0</v>
      </c>
      <c r="L164" s="129">
        <v>45839.0</v>
      </c>
      <c r="M164" s="150"/>
      <c r="N164" s="129">
        <v>46139.0</v>
      </c>
      <c r="O164" s="151"/>
      <c r="P164" s="151"/>
      <c r="Q164" s="151"/>
      <c r="R164" s="151"/>
      <c r="S164" s="151"/>
      <c r="T164" s="130">
        <v>4.80571E9</v>
      </c>
      <c r="U164" s="130">
        <v>4368827.27</v>
      </c>
      <c r="V164" s="131" t="s">
        <v>2799</v>
      </c>
      <c r="W164" s="128">
        <v>2.0</v>
      </c>
      <c r="X164" s="127" t="s">
        <v>122</v>
      </c>
      <c r="Y164" s="127" t="s">
        <v>1601</v>
      </c>
      <c r="Z164" s="127" t="s">
        <v>122</v>
      </c>
      <c r="AA164" s="127">
        <v>27.0</v>
      </c>
      <c r="AB164" s="127" t="s">
        <v>1602</v>
      </c>
      <c r="AC164" s="127" t="s">
        <v>70</v>
      </c>
      <c r="AD164" s="127"/>
      <c r="AE164" s="127"/>
    </row>
    <row r="165">
      <c r="A165" s="132">
        <v>7706.0</v>
      </c>
      <c r="B165" s="133" t="s">
        <v>3491</v>
      </c>
      <c r="C165" s="133" t="s">
        <v>49</v>
      </c>
      <c r="D165" s="133" t="s">
        <v>3493</v>
      </c>
      <c r="E165" s="133" t="s">
        <v>298</v>
      </c>
      <c r="F165" s="133" t="s">
        <v>1581</v>
      </c>
      <c r="G165" s="153"/>
      <c r="H165" s="133" t="s">
        <v>2793</v>
      </c>
      <c r="I165" s="133" t="s">
        <v>443</v>
      </c>
      <c r="J165" s="133" t="s">
        <v>122</v>
      </c>
      <c r="K165" s="134">
        <v>0.0</v>
      </c>
      <c r="L165" s="135">
        <v>45839.0</v>
      </c>
      <c r="M165" s="153"/>
      <c r="N165" s="135">
        <v>46139.0</v>
      </c>
      <c r="O165" s="154"/>
      <c r="P165" s="154"/>
      <c r="Q165" s="154"/>
      <c r="R165" s="154"/>
      <c r="S165" s="154"/>
      <c r="T165" s="136">
        <v>6.22666E9</v>
      </c>
      <c r="U165" s="136">
        <v>5660600.0</v>
      </c>
      <c r="V165" s="137" t="s">
        <v>2799</v>
      </c>
      <c r="W165" s="134">
        <v>2.0</v>
      </c>
      <c r="X165" s="133" t="s">
        <v>122</v>
      </c>
      <c r="Y165" s="133" t="s">
        <v>1601</v>
      </c>
      <c r="Z165" s="133" t="s">
        <v>122</v>
      </c>
      <c r="AA165" s="133">
        <v>27.0</v>
      </c>
      <c r="AB165" s="133" t="s">
        <v>1602</v>
      </c>
      <c r="AC165" s="133" t="s">
        <v>70</v>
      </c>
      <c r="AD165" s="133"/>
      <c r="AE165" s="133"/>
    </row>
    <row r="166">
      <c r="A166" s="138">
        <v>7680.0</v>
      </c>
      <c r="B166" s="127" t="s">
        <v>3499</v>
      </c>
      <c r="C166" s="127" t="s">
        <v>49</v>
      </c>
      <c r="D166" s="127" t="s">
        <v>3500</v>
      </c>
      <c r="E166" s="127" t="s">
        <v>298</v>
      </c>
      <c r="F166" s="127" t="s">
        <v>1581</v>
      </c>
      <c r="G166" s="150"/>
      <c r="H166" s="127" t="s">
        <v>2793</v>
      </c>
      <c r="I166" s="127" t="s">
        <v>443</v>
      </c>
      <c r="J166" s="127" t="s">
        <v>122</v>
      </c>
      <c r="K166" s="128">
        <v>0.0</v>
      </c>
      <c r="L166" s="129">
        <v>45839.0</v>
      </c>
      <c r="M166" s="150"/>
      <c r="N166" s="129">
        <v>46139.0</v>
      </c>
      <c r="O166" s="151"/>
      <c r="P166" s="151"/>
      <c r="Q166" s="151"/>
      <c r="R166" s="151"/>
      <c r="S166" s="151"/>
      <c r="T166" s="130">
        <v>5.122E9</v>
      </c>
      <c r="U166" s="130">
        <v>4656363.64</v>
      </c>
      <c r="V166" s="131" t="s">
        <v>2799</v>
      </c>
      <c r="W166" s="128">
        <v>2.0</v>
      </c>
      <c r="X166" s="127" t="s">
        <v>122</v>
      </c>
      <c r="Y166" s="127" t="s">
        <v>1601</v>
      </c>
      <c r="Z166" s="127" t="s">
        <v>122</v>
      </c>
      <c r="AA166" s="127">
        <v>27.0</v>
      </c>
      <c r="AB166" s="127" t="s">
        <v>1602</v>
      </c>
      <c r="AC166" s="127" t="s">
        <v>70</v>
      </c>
      <c r="AD166" s="127"/>
      <c r="AE166" s="127"/>
    </row>
    <row r="167">
      <c r="A167" s="132" t="s">
        <v>3506</v>
      </c>
      <c r="B167" s="149" t="s">
        <v>1467</v>
      </c>
      <c r="C167" s="133" t="s">
        <v>49</v>
      </c>
      <c r="D167" s="133" t="s">
        <v>3507</v>
      </c>
      <c r="E167" s="133" t="s">
        <v>2589</v>
      </c>
      <c r="F167" s="133" t="s">
        <v>1581</v>
      </c>
      <c r="G167" s="153"/>
      <c r="H167" s="133" t="s">
        <v>64</v>
      </c>
      <c r="I167" s="133" t="s">
        <v>486</v>
      </c>
      <c r="J167" s="133" t="s">
        <v>31</v>
      </c>
      <c r="K167" s="134">
        <v>0.0</v>
      </c>
      <c r="L167" s="135">
        <v>45901.0</v>
      </c>
      <c r="M167" s="153"/>
      <c r="N167" s="135">
        <v>46266.0</v>
      </c>
      <c r="O167" s="154"/>
      <c r="P167" s="154"/>
      <c r="Q167" s="154"/>
      <c r="R167" s="154"/>
      <c r="S167" s="154"/>
      <c r="T167" s="136">
        <v>2.5E10</v>
      </c>
      <c r="U167" s="136">
        <v>2.272727273E7</v>
      </c>
      <c r="V167" s="137" t="s">
        <v>294</v>
      </c>
      <c r="W167" s="134">
        <v>4.0</v>
      </c>
      <c r="X167" s="133" t="s">
        <v>92</v>
      </c>
      <c r="Y167" s="133" t="s">
        <v>2613</v>
      </c>
      <c r="Z167" s="133" t="s">
        <v>31</v>
      </c>
      <c r="AA167" s="133">
        <v>5.0</v>
      </c>
      <c r="AB167" s="133" t="s">
        <v>1565</v>
      </c>
      <c r="AC167" s="133" t="s">
        <v>70</v>
      </c>
      <c r="AD167" s="133"/>
      <c r="AE167" s="133"/>
    </row>
    <row r="168">
      <c r="A168" s="138" t="s">
        <v>3509</v>
      </c>
      <c r="B168" s="149" t="s">
        <v>1467</v>
      </c>
      <c r="C168" s="127" t="s">
        <v>49</v>
      </c>
      <c r="D168" s="127" t="s">
        <v>3510</v>
      </c>
      <c r="E168" s="127" t="s">
        <v>2589</v>
      </c>
      <c r="F168" s="127" t="s">
        <v>1581</v>
      </c>
      <c r="G168" s="150"/>
      <c r="H168" s="127" t="s">
        <v>64</v>
      </c>
      <c r="I168" s="127" t="s">
        <v>685</v>
      </c>
      <c r="J168" s="127" t="s">
        <v>32</v>
      </c>
      <c r="K168" s="150"/>
      <c r="L168" s="129">
        <v>45901.0</v>
      </c>
      <c r="M168" s="150"/>
      <c r="N168" s="129">
        <v>46266.0</v>
      </c>
      <c r="O168" s="151"/>
      <c r="P168" s="151"/>
      <c r="Q168" s="151"/>
      <c r="R168" s="151"/>
      <c r="S168" s="151"/>
      <c r="T168" s="130">
        <v>2.0E9</v>
      </c>
      <c r="U168" s="130">
        <v>1818181.82</v>
      </c>
      <c r="V168" s="131" t="s">
        <v>2783</v>
      </c>
      <c r="W168" s="128">
        <v>3.0</v>
      </c>
      <c r="X168" s="127" t="s">
        <v>1600</v>
      </c>
      <c r="Y168" s="127" t="s">
        <v>1601</v>
      </c>
      <c r="Z168" s="127" t="s">
        <v>32</v>
      </c>
      <c r="AA168" s="127">
        <v>2.0</v>
      </c>
      <c r="AB168" s="127" t="s">
        <v>1602</v>
      </c>
      <c r="AC168" s="127" t="s">
        <v>70</v>
      </c>
      <c r="AD168" s="127"/>
      <c r="AE168" s="127"/>
    </row>
    <row r="169">
      <c r="A169" s="132" t="s">
        <v>3517</v>
      </c>
      <c r="B169" s="149" t="s">
        <v>1467</v>
      </c>
      <c r="C169" s="133" t="s">
        <v>49</v>
      </c>
      <c r="D169" s="133" t="s">
        <v>3518</v>
      </c>
      <c r="E169" s="133" t="s">
        <v>2589</v>
      </c>
      <c r="F169" s="133" t="s">
        <v>1581</v>
      </c>
      <c r="G169" s="153"/>
      <c r="H169" s="133" t="s">
        <v>64</v>
      </c>
      <c r="I169" s="133" t="s">
        <v>225</v>
      </c>
      <c r="J169" s="133" t="s">
        <v>72</v>
      </c>
      <c r="K169" s="134">
        <v>0.0</v>
      </c>
      <c r="L169" s="135">
        <v>45901.0</v>
      </c>
      <c r="M169" s="153"/>
      <c r="N169" s="135">
        <v>46266.0</v>
      </c>
      <c r="O169" s="154"/>
      <c r="P169" s="154"/>
      <c r="Q169" s="154"/>
      <c r="R169" s="154"/>
      <c r="S169" s="154"/>
      <c r="T169" s="136">
        <v>2.5E10</v>
      </c>
      <c r="U169" s="136">
        <v>2.272727273E7</v>
      </c>
      <c r="V169" s="137" t="s">
        <v>2783</v>
      </c>
      <c r="W169" s="134">
        <v>3.0</v>
      </c>
      <c r="X169" s="133" t="s">
        <v>147</v>
      </c>
      <c r="Y169" s="133" t="s">
        <v>1601</v>
      </c>
      <c r="Z169" s="133" t="s">
        <v>72</v>
      </c>
      <c r="AA169" s="133">
        <v>22.0</v>
      </c>
      <c r="AB169" s="133" t="s">
        <v>1565</v>
      </c>
      <c r="AC169" s="133" t="s">
        <v>70</v>
      </c>
      <c r="AD169" s="133"/>
      <c r="AE169" s="133"/>
    </row>
    <row r="170">
      <c r="A170" s="138" t="s">
        <v>3519</v>
      </c>
      <c r="B170" s="127" t="s">
        <v>3520</v>
      </c>
      <c r="C170" s="127" t="s">
        <v>49</v>
      </c>
      <c r="D170" s="127" t="s">
        <v>3521</v>
      </c>
      <c r="E170" s="127" t="s">
        <v>2589</v>
      </c>
      <c r="F170" s="127" t="s">
        <v>1581</v>
      </c>
      <c r="G170" s="150"/>
      <c r="H170" s="127" t="s">
        <v>57</v>
      </c>
      <c r="I170" s="127" t="s">
        <v>443</v>
      </c>
      <c r="J170" s="127" t="s">
        <v>1664</v>
      </c>
      <c r="K170" s="128">
        <v>0.0</v>
      </c>
      <c r="L170" s="129">
        <v>45901.0</v>
      </c>
      <c r="M170" s="150"/>
      <c r="N170" s="129">
        <v>46401.0</v>
      </c>
      <c r="O170" s="151"/>
      <c r="P170" s="151"/>
      <c r="Q170" s="151"/>
      <c r="R170" s="151"/>
      <c r="S170" s="151"/>
      <c r="T170" s="130">
        <v>1.2E10</v>
      </c>
      <c r="U170" s="130">
        <v>1.090909091E7</v>
      </c>
      <c r="V170" s="131" t="s">
        <v>2783</v>
      </c>
      <c r="W170" s="128">
        <v>3.0</v>
      </c>
      <c r="X170" s="127" t="s">
        <v>1600</v>
      </c>
      <c r="Y170" s="127" t="s">
        <v>1601</v>
      </c>
      <c r="Z170" s="127" t="s">
        <v>1664</v>
      </c>
      <c r="AA170" s="127">
        <v>3.0</v>
      </c>
      <c r="AB170" s="127" t="s">
        <v>1565</v>
      </c>
      <c r="AC170" s="127" t="s">
        <v>70</v>
      </c>
      <c r="AD170" s="127"/>
      <c r="AE170" s="127"/>
    </row>
    <row r="171">
      <c r="A171" s="132" t="s">
        <v>3522</v>
      </c>
      <c r="B171" s="133" t="s">
        <v>3523</v>
      </c>
      <c r="C171" s="133" t="s">
        <v>49</v>
      </c>
      <c r="D171" s="133" t="s">
        <v>3525</v>
      </c>
      <c r="E171" s="133" t="s">
        <v>298</v>
      </c>
      <c r="F171" s="133" t="s">
        <v>1581</v>
      </c>
      <c r="G171" s="153"/>
      <c r="H171" s="133" t="s">
        <v>57</v>
      </c>
      <c r="I171" s="133" t="s">
        <v>443</v>
      </c>
      <c r="J171" s="133" t="s">
        <v>3527</v>
      </c>
      <c r="K171" s="134">
        <v>0.0</v>
      </c>
      <c r="L171" s="135">
        <v>45992.0</v>
      </c>
      <c r="M171" s="153"/>
      <c r="N171" s="135">
        <v>46492.0</v>
      </c>
      <c r="O171" s="154"/>
      <c r="P171" s="154"/>
      <c r="Q171" s="154"/>
      <c r="R171" s="154"/>
      <c r="S171" s="154"/>
      <c r="T171" s="136">
        <v>1.55E10</v>
      </c>
      <c r="U171" s="136">
        <v>1.409090909E7</v>
      </c>
      <c r="V171" s="137" t="s">
        <v>2783</v>
      </c>
      <c r="W171" s="134">
        <v>3.0</v>
      </c>
      <c r="X171" s="133" t="s">
        <v>147</v>
      </c>
      <c r="Y171" s="133" t="s">
        <v>1601</v>
      </c>
      <c r="Z171" s="133" t="s">
        <v>215</v>
      </c>
      <c r="AA171" s="133">
        <v>16.0</v>
      </c>
      <c r="AB171" s="133" t="s">
        <v>1565</v>
      </c>
      <c r="AC171" s="133" t="s">
        <v>70</v>
      </c>
      <c r="AD171" s="133"/>
      <c r="AE171" s="133"/>
    </row>
    <row r="172">
      <c r="A172" s="138" t="s">
        <v>3529</v>
      </c>
      <c r="B172" s="149" t="s">
        <v>1467</v>
      </c>
      <c r="C172" s="127" t="s">
        <v>49</v>
      </c>
      <c r="D172" s="127" t="s">
        <v>3530</v>
      </c>
      <c r="E172" s="127" t="s">
        <v>2589</v>
      </c>
      <c r="F172" s="127" t="s">
        <v>1581</v>
      </c>
      <c r="G172" s="150"/>
      <c r="H172" s="127" t="s">
        <v>57</v>
      </c>
      <c r="I172" s="127" t="s">
        <v>443</v>
      </c>
      <c r="J172" s="127" t="s">
        <v>78</v>
      </c>
      <c r="K172" s="128">
        <v>0.0</v>
      </c>
      <c r="L172" s="129">
        <v>45912.0</v>
      </c>
      <c r="M172" s="150"/>
      <c r="N172" s="129">
        <v>46412.0</v>
      </c>
      <c r="O172" s="151"/>
      <c r="P172" s="151"/>
      <c r="Q172" s="151"/>
      <c r="R172" s="151"/>
      <c r="S172" s="151"/>
      <c r="T172" s="130">
        <v>2.0E10</v>
      </c>
      <c r="U172" s="130">
        <v>1.818181818E7</v>
      </c>
      <c r="V172" s="131" t="s">
        <v>50</v>
      </c>
      <c r="W172" s="128">
        <v>4.0</v>
      </c>
      <c r="X172" s="127" t="s">
        <v>147</v>
      </c>
      <c r="Y172" s="127" t="s">
        <v>2766</v>
      </c>
      <c r="Z172" s="127" t="s">
        <v>78</v>
      </c>
      <c r="AA172" s="127">
        <v>24.0</v>
      </c>
      <c r="AB172" s="127" t="s">
        <v>1565</v>
      </c>
      <c r="AC172" s="127" t="s">
        <v>70</v>
      </c>
      <c r="AD172" s="127"/>
      <c r="AE172" s="127"/>
    </row>
    <row r="173">
      <c r="A173" s="132" t="s">
        <v>3531</v>
      </c>
      <c r="B173" s="149" t="s">
        <v>859</v>
      </c>
      <c r="C173" s="133" t="s">
        <v>49</v>
      </c>
      <c r="D173" s="133" t="s">
        <v>3532</v>
      </c>
      <c r="E173" s="133" t="s">
        <v>2629</v>
      </c>
      <c r="F173" s="133" t="s">
        <v>1581</v>
      </c>
      <c r="G173" s="153"/>
      <c r="H173" s="133" t="s">
        <v>57</v>
      </c>
      <c r="I173" s="133" t="s">
        <v>2023</v>
      </c>
      <c r="J173" s="133" t="s">
        <v>1747</v>
      </c>
      <c r="K173" s="134">
        <v>0.0</v>
      </c>
      <c r="L173" s="135">
        <v>45839.0</v>
      </c>
      <c r="M173" s="153"/>
      <c r="N173" s="135">
        <v>46020.0</v>
      </c>
      <c r="O173" s="153"/>
      <c r="P173" s="154"/>
      <c r="Q173" s="154"/>
      <c r="R173" s="154"/>
      <c r="S173" s="154"/>
      <c r="T173" s="136">
        <v>1.4E9</v>
      </c>
      <c r="U173" s="136">
        <v>1272727.27</v>
      </c>
      <c r="V173" s="137" t="s">
        <v>3536</v>
      </c>
      <c r="W173" s="134">
        <v>3.0</v>
      </c>
      <c r="X173" s="133" t="s">
        <v>1600</v>
      </c>
      <c r="Y173" s="133" t="s">
        <v>1601</v>
      </c>
      <c r="Z173" s="133" t="s">
        <v>1747</v>
      </c>
      <c r="AA173" s="133">
        <v>6.0</v>
      </c>
      <c r="AB173" s="133" t="s">
        <v>1602</v>
      </c>
      <c r="AC173" s="133" t="s">
        <v>70</v>
      </c>
      <c r="AD173" s="133"/>
      <c r="AE173" s="133"/>
    </row>
    <row r="174">
      <c r="A174" s="138" t="s">
        <v>909</v>
      </c>
      <c r="B174" s="149" t="s">
        <v>1467</v>
      </c>
      <c r="C174" s="127" t="s">
        <v>49</v>
      </c>
      <c r="D174" s="127" t="s">
        <v>3537</v>
      </c>
      <c r="E174" s="127" t="s">
        <v>298</v>
      </c>
      <c r="F174" s="127" t="s">
        <v>1581</v>
      </c>
      <c r="G174" s="150"/>
      <c r="H174" s="127" t="s">
        <v>57</v>
      </c>
      <c r="I174" s="127" t="s">
        <v>443</v>
      </c>
      <c r="J174" s="127" t="s">
        <v>122</v>
      </c>
      <c r="K174" s="151"/>
      <c r="L174" s="129">
        <v>45901.0</v>
      </c>
      <c r="M174" s="150"/>
      <c r="N174" s="129">
        <v>46266.0</v>
      </c>
      <c r="O174" s="150"/>
      <c r="P174" s="151"/>
      <c r="Q174" s="151"/>
      <c r="R174" s="151"/>
      <c r="S174" s="151"/>
      <c r="T174" s="130">
        <v>4.8E9</v>
      </c>
      <c r="U174" s="130">
        <v>4363636.36</v>
      </c>
      <c r="V174" s="131" t="s">
        <v>2783</v>
      </c>
      <c r="W174" s="128">
        <v>3.0</v>
      </c>
      <c r="X174" s="127" t="s">
        <v>122</v>
      </c>
      <c r="Y174" s="127" t="s">
        <v>1601</v>
      </c>
      <c r="Z174" s="127" t="s">
        <v>122</v>
      </c>
      <c r="AA174" s="127">
        <v>27.0</v>
      </c>
      <c r="AB174" s="127" t="s">
        <v>1602</v>
      </c>
      <c r="AC174" s="127" t="s">
        <v>70</v>
      </c>
      <c r="AD174" s="127"/>
      <c r="AE174" s="127"/>
    </row>
    <row r="175">
      <c r="A175" s="132" t="s">
        <v>910</v>
      </c>
      <c r="B175" s="149" t="s">
        <v>1467</v>
      </c>
      <c r="C175" s="133" t="s">
        <v>49</v>
      </c>
      <c r="D175" s="133" t="s">
        <v>3538</v>
      </c>
      <c r="E175" s="133" t="s">
        <v>298</v>
      </c>
      <c r="F175" s="133" t="s">
        <v>1581</v>
      </c>
      <c r="G175" s="153"/>
      <c r="H175" s="133" t="s">
        <v>57</v>
      </c>
      <c r="I175" s="133" t="s">
        <v>443</v>
      </c>
      <c r="J175" s="133" t="s">
        <v>122</v>
      </c>
      <c r="K175" s="154"/>
      <c r="L175" s="135">
        <v>45901.0</v>
      </c>
      <c r="M175" s="153"/>
      <c r="N175" s="135">
        <v>46266.0</v>
      </c>
      <c r="O175" s="153"/>
      <c r="P175" s="154"/>
      <c r="Q175" s="154"/>
      <c r="R175" s="154"/>
      <c r="S175" s="154"/>
      <c r="T175" s="136">
        <v>4.8E9</v>
      </c>
      <c r="U175" s="136">
        <v>4363636.36</v>
      </c>
      <c r="V175" s="137" t="s">
        <v>2783</v>
      </c>
      <c r="W175" s="134">
        <v>3.0</v>
      </c>
      <c r="X175" s="133" t="s">
        <v>122</v>
      </c>
      <c r="Y175" s="133" t="s">
        <v>1601</v>
      </c>
      <c r="Z175" s="133" t="s">
        <v>122</v>
      </c>
      <c r="AA175" s="133">
        <v>27.0</v>
      </c>
      <c r="AB175" s="133" t="s">
        <v>1602</v>
      </c>
      <c r="AC175" s="133" t="s">
        <v>70</v>
      </c>
      <c r="AD175" s="133"/>
      <c r="AE175" s="133"/>
    </row>
    <row r="176">
      <c r="A176" s="138" t="s">
        <v>911</v>
      </c>
      <c r="B176" s="149" t="s">
        <v>1467</v>
      </c>
      <c r="C176" s="127" t="s">
        <v>49</v>
      </c>
      <c r="D176" s="127" t="s">
        <v>3541</v>
      </c>
      <c r="E176" s="127" t="s">
        <v>298</v>
      </c>
      <c r="F176" s="127" t="s">
        <v>1581</v>
      </c>
      <c r="G176" s="150"/>
      <c r="H176" s="127" t="s">
        <v>57</v>
      </c>
      <c r="I176" s="127" t="s">
        <v>443</v>
      </c>
      <c r="J176" s="127" t="s">
        <v>122</v>
      </c>
      <c r="K176" s="151"/>
      <c r="L176" s="129">
        <v>45901.0</v>
      </c>
      <c r="M176" s="150"/>
      <c r="N176" s="129">
        <v>46266.0</v>
      </c>
      <c r="O176" s="150"/>
      <c r="P176" s="151"/>
      <c r="Q176" s="151"/>
      <c r="R176" s="151"/>
      <c r="S176" s="151"/>
      <c r="T176" s="130">
        <v>4.8E9</v>
      </c>
      <c r="U176" s="130">
        <v>4363636.36</v>
      </c>
      <c r="V176" s="131" t="s">
        <v>2783</v>
      </c>
      <c r="W176" s="128">
        <v>3.0</v>
      </c>
      <c r="X176" s="127" t="s">
        <v>122</v>
      </c>
      <c r="Y176" s="127" t="s">
        <v>1601</v>
      </c>
      <c r="Z176" s="127" t="s">
        <v>122</v>
      </c>
      <c r="AA176" s="127">
        <v>27.0</v>
      </c>
      <c r="AB176" s="127" t="s">
        <v>1602</v>
      </c>
      <c r="AC176" s="127" t="s">
        <v>70</v>
      </c>
      <c r="AD176" s="127"/>
      <c r="AE176" s="127"/>
    </row>
    <row r="177">
      <c r="A177" s="132" t="s">
        <v>913</v>
      </c>
      <c r="B177" s="149" t="s">
        <v>1467</v>
      </c>
      <c r="C177" s="133" t="s">
        <v>49</v>
      </c>
      <c r="D177" s="133" t="s">
        <v>3542</v>
      </c>
      <c r="E177" s="133" t="s">
        <v>298</v>
      </c>
      <c r="F177" s="133" t="s">
        <v>1581</v>
      </c>
      <c r="G177" s="153"/>
      <c r="H177" s="133" t="s">
        <v>57</v>
      </c>
      <c r="I177" s="133" t="s">
        <v>443</v>
      </c>
      <c r="J177" s="133" t="s">
        <v>122</v>
      </c>
      <c r="K177" s="154"/>
      <c r="L177" s="135">
        <v>45901.0</v>
      </c>
      <c r="M177" s="153"/>
      <c r="N177" s="135">
        <v>46266.0</v>
      </c>
      <c r="O177" s="153"/>
      <c r="P177" s="154"/>
      <c r="Q177" s="154"/>
      <c r="R177" s="154"/>
      <c r="S177" s="154"/>
      <c r="T177" s="136">
        <v>8.5E9</v>
      </c>
      <c r="U177" s="136">
        <v>7727272.73</v>
      </c>
      <c r="V177" s="137" t="s">
        <v>2783</v>
      </c>
      <c r="W177" s="134">
        <v>3.0</v>
      </c>
      <c r="X177" s="133" t="s">
        <v>122</v>
      </c>
      <c r="Y177" s="133" t="s">
        <v>1601</v>
      </c>
      <c r="Z177" s="133" t="s">
        <v>122</v>
      </c>
      <c r="AA177" s="133">
        <v>27.0</v>
      </c>
      <c r="AB177" s="133" t="s">
        <v>1602</v>
      </c>
      <c r="AC177" s="133" t="s">
        <v>70</v>
      </c>
      <c r="AD177" s="133"/>
      <c r="AE177" s="133"/>
    </row>
    <row r="178">
      <c r="A178" s="138" t="s">
        <v>3546</v>
      </c>
      <c r="B178" s="149" t="s">
        <v>1467</v>
      </c>
      <c r="C178" s="127" t="s">
        <v>49</v>
      </c>
      <c r="D178" s="127" t="s">
        <v>3548</v>
      </c>
      <c r="E178" s="127" t="s">
        <v>298</v>
      </c>
      <c r="F178" s="127" t="s">
        <v>1581</v>
      </c>
      <c r="G178" s="151"/>
      <c r="H178" s="127" t="s">
        <v>57</v>
      </c>
      <c r="I178" s="127" t="s">
        <v>443</v>
      </c>
      <c r="J178" s="127" t="s">
        <v>122</v>
      </c>
      <c r="K178" s="151"/>
      <c r="L178" s="129">
        <v>45901.0</v>
      </c>
      <c r="M178" s="150"/>
      <c r="N178" s="129">
        <v>46266.0</v>
      </c>
      <c r="O178" s="150"/>
      <c r="P178" s="151"/>
      <c r="Q178" s="151"/>
      <c r="R178" s="151"/>
      <c r="S178" s="151"/>
      <c r="T178" s="130">
        <v>8.5E9</v>
      </c>
      <c r="U178" s="130">
        <v>7727272.73</v>
      </c>
      <c r="V178" s="131" t="s">
        <v>2783</v>
      </c>
      <c r="W178" s="128">
        <v>3.0</v>
      </c>
      <c r="X178" s="127" t="s">
        <v>122</v>
      </c>
      <c r="Y178" s="127" t="s">
        <v>1601</v>
      </c>
      <c r="Z178" s="127" t="s">
        <v>122</v>
      </c>
      <c r="AA178" s="127">
        <v>27.0</v>
      </c>
      <c r="AB178" s="127" t="s">
        <v>1602</v>
      </c>
      <c r="AC178" s="127" t="s">
        <v>70</v>
      </c>
      <c r="AD178" s="127"/>
      <c r="AE178" s="127"/>
    </row>
    <row r="179">
      <c r="A179" s="132" t="s">
        <v>3550</v>
      </c>
      <c r="B179" s="149" t="s">
        <v>1467</v>
      </c>
      <c r="C179" s="133" t="s">
        <v>49</v>
      </c>
      <c r="D179" s="133" t="s">
        <v>3551</v>
      </c>
      <c r="E179" s="133" t="s">
        <v>298</v>
      </c>
      <c r="F179" s="133" t="s">
        <v>1581</v>
      </c>
      <c r="G179" s="153"/>
      <c r="H179" s="133" t="s">
        <v>57</v>
      </c>
      <c r="I179" s="133" t="s">
        <v>443</v>
      </c>
      <c r="J179" s="133" t="s">
        <v>122</v>
      </c>
      <c r="K179" s="154"/>
      <c r="L179" s="135">
        <v>45901.0</v>
      </c>
      <c r="M179" s="153"/>
      <c r="N179" s="135">
        <v>46266.0</v>
      </c>
      <c r="O179" s="153"/>
      <c r="P179" s="154"/>
      <c r="Q179" s="154"/>
      <c r="R179" s="154"/>
      <c r="S179" s="154"/>
      <c r="T179" s="136">
        <v>8.5E9</v>
      </c>
      <c r="U179" s="136">
        <v>7727272.73</v>
      </c>
      <c r="V179" s="137" t="s">
        <v>2783</v>
      </c>
      <c r="W179" s="134">
        <v>3.0</v>
      </c>
      <c r="X179" s="133" t="s">
        <v>122</v>
      </c>
      <c r="Y179" s="133" t="s">
        <v>1601</v>
      </c>
      <c r="Z179" s="133" t="s">
        <v>122</v>
      </c>
      <c r="AA179" s="133">
        <v>27.0</v>
      </c>
      <c r="AB179" s="133" t="s">
        <v>1602</v>
      </c>
      <c r="AC179" s="133" t="s">
        <v>70</v>
      </c>
      <c r="AD179" s="133"/>
      <c r="AE179" s="133"/>
    </row>
    <row r="180">
      <c r="A180" s="138" t="s">
        <v>3552</v>
      </c>
      <c r="B180" s="149" t="s">
        <v>1467</v>
      </c>
      <c r="C180" s="127" t="s">
        <v>49</v>
      </c>
      <c r="D180" s="127" t="s">
        <v>3553</v>
      </c>
      <c r="E180" s="127" t="s">
        <v>2589</v>
      </c>
      <c r="F180" s="127" t="s">
        <v>1581</v>
      </c>
      <c r="G180" s="150"/>
      <c r="H180" s="127" t="s">
        <v>57</v>
      </c>
      <c r="I180" s="127" t="s">
        <v>466</v>
      </c>
      <c r="J180" s="127" t="s">
        <v>99</v>
      </c>
      <c r="K180" s="151"/>
      <c r="L180" s="129">
        <v>45901.0</v>
      </c>
      <c r="M180" s="150"/>
      <c r="N180" s="129">
        <v>46266.0</v>
      </c>
      <c r="O180" s="150"/>
      <c r="P180" s="151"/>
      <c r="Q180" s="151"/>
      <c r="R180" s="151"/>
      <c r="S180" s="151"/>
      <c r="T180" s="130">
        <v>3.5E9</v>
      </c>
      <c r="U180" s="130">
        <v>3181818.18</v>
      </c>
      <c r="V180" s="131" t="s">
        <v>2783</v>
      </c>
      <c r="W180" s="128">
        <v>3.0</v>
      </c>
      <c r="X180" s="127" t="s">
        <v>1600</v>
      </c>
      <c r="Y180" s="127" t="s">
        <v>1601</v>
      </c>
      <c r="Z180" s="127" t="s">
        <v>1683</v>
      </c>
      <c r="AA180" s="127">
        <v>9.0</v>
      </c>
      <c r="AB180" s="127" t="s">
        <v>1602</v>
      </c>
      <c r="AC180" s="127" t="s">
        <v>70</v>
      </c>
      <c r="AD180" s="127"/>
      <c r="AE180" s="127"/>
    </row>
    <row r="181">
      <c r="A181" s="132" t="s">
        <v>3558</v>
      </c>
      <c r="B181" s="149" t="s">
        <v>1467</v>
      </c>
      <c r="C181" s="133" t="s">
        <v>49</v>
      </c>
      <c r="D181" s="133" t="s">
        <v>3559</v>
      </c>
      <c r="E181" s="133" t="s">
        <v>2589</v>
      </c>
      <c r="F181" s="133" t="s">
        <v>1581</v>
      </c>
      <c r="G181" s="153"/>
      <c r="H181" s="133" t="s">
        <v>57</v>
      </c>
      <c r="I181" s="154"/>
      <c r="J181" s="133" t="s">
        <v>58</v>
      </c>
      <c r="K181" s="154"/>
      <c r="L181" s="135">
        <v>45901.0</v>
      </c>
      <c r="M181" s="153"/>
      <c r="N181" s="135">
        <v>46266.0</v>
      </c>
      <c r="O181" s="153"/>
      <c r="P181" s="154"/>
      <c r="Q181" s="154"/>
      <c r="R181" s="154"/>
      <c r="S181" s="154"/>
      <c r="T181" s="136">
        <v>3.2E9</v>
      </c>
      <c r="U181" s="136">
        <v>2909090.91</v>
      </c>
      <c r="V181" s="137" t="s">
        <v>2783</v>
      </c>
      <c r="W181" s="134">
        <v>3.0</v>
      </c>
      <c r="X181" s="133" t="s">
        <v>1600</v>
      </c>
      <c r="Y181" s="133" t="s">
        <v>1601</v>
      </c>
      <c r="Z181" s="133" t="s">
        <v>58</v>
      </c>
      <c r="AA181" s="133">
        <v>1.0</v>
      </c>
      <c r="AB181" s="133" t="s">
        <v>1602</v>
      </c>
      <c r="AC181" s="133" t="s">
        <v>70</v>
      </c>
      <c r="AD181" s="133"/>
      <c r="AE181" s="133"/>
    </row>
    <row r="182">
      <c r="A182" s="138" t="s">
        <v>3560</v>
      </c>
      <c r="B182" s="149" t="s">
        <v>1467</v>
      </c>
      <c r="C182" s="127" t="s">
        <v>49</v>
      </c>
      <c r="D182" s="127" t="s">
        <v>3561</v>
      </c>
      <c r="E182" s="127" t="s">
        <v>2589</v>
      </c>
      <c r="F182" s="127" t="s">
        <v>1581</v>
      </c>
      <c r="G182" s="150"/>
      <c r="H182" s="127" t="s">
        <v>57</v>
      </c>
      <c r="I182" s="151"/>
      <c r="J182" s="151"/>
      <c r="K182" s="128">
        <v>0.0</v>
      </c>
      <c r="L182" s="129">
        <v>45992.0</v>
      </c>
      <c r="M182" s="150"/>
      <c r="N182" s="129">
        <v>46357.0</v>
      </c>
      <c r="O182" s="150"/>
      <c r="P182" s="151"/>
      <c r="Q182" s="151"/>
      <c r="R182" s="151"/>
      <c r="S182" s="151"/>
      <c r="T182" s="130">
        <v>1.5E10</v>
      </c>
      <c r="U182" s="130">
        <v>1.363636364E7</v>
      </c>
      <c r="V182" s="131" t="s">
        <v>50</v>
      </c>
      <c r="W182" s="128">
        <v>4.0</v>
      </c>
      <c r="X182" s="151"/>
      <c r="Y182" s="127" t="s">
        <v>2766</v>
      </c>
      <c r="Z182" s="151"/>
      <c r="AA182" s="151"/>
      <c r="AB182" s="151"/>
      <c r="AC182" s="127" t="s">
        <v>70</v>
      </c>
      <c r="AD182" s="127"/>
      <c r="AE182" s="127"/>
    </row>
    <row r="183">
      <c r="A183" s="132" t="s">
        <v>3562</v>
      </c>
      <c r="B183" s="149" t="s">
        <v>1467</v>
      </c>
      <c r="C183" s="133" t="s">
        <v>49</v>
      </c>
      <c r="D183" s="133" t="s">
        <v>3563</v>
      </c>
      <c r="E183" s="133" t="s">
        <v>2589</v>
      </c>
      <c r="F183" s="133" t="s">
        <v>1581</v>
      </c>
      <c r="G183" s="153"/>
      <c r="H183" s="133" t="s">
        <v>57</v>
      </c>
      <c r="I183" s="154"/>
      <c r="J183" s="154"/>
      <c r="K183" s="134">
        <v>0.0</v>
      </c>
      <c r="L183" s="135">
        <v>45992.0</v>
      </c>
      <c r="M183" s="153"/>
      <c r="N183" s="135">
        <v>46357.0</v>
      </c>
      <c r="O183" s="153"/>
      <c r="P183" s="154"/>
      <c r="Q183" s="154"/>
      <c r="R183" s="154"/>
      <c r="S183" s="154"/>
      <c r="T183" s="136">
        <v>9.0E9</v>
      </c>
      <c r="U183" s="136">
        <v>8181818.18</v>
      </c>
      <c r="V183" s="137" t="s">
        <v>50</v>
      </c>
      <c r="W183" s="134">
        <v>4.0</v>
      </c>
      <c r="X183" s="154"/>
      <c r="Y183" s="133" t="s">
        <v>2766</v>
      </c>
      <c r="Z183" s="154"/>
      <c r="AA183" s="154"/>
      <c r="AB183" s="154"/>
      <c r="AC183" s="133" t="s">
        <v>70</v>
      </c>
      <c r="AD183" s="133"/>
      <c r="AE183" s="133"/>
    </row>
    <row r="184">
      <c r="A184" s="138" t="s">
        <v>3567</v>
      </c>
      <c r="B184" s="127" t="s">
        <v>3568</v>
      </c>
      <c r="C184" s="127" t="s">
        <v>49</v>
      </c>
      <c r="D184" s="127" t="s">
        <v>3569</v>
      </c>
      <c r="E184" s="127" t="s">
        <v>2589</v>
      </c>
      <c r="F184" s="127" t="s">
        <v>1581</v>
      </c>
      <c r="G184" s="150"/>
      <c r="H184" s="127" t="s">
        <v>57</v>
      </c>
      <c r="I184" s="151"/>
      <c r="J184" s="151"/>
      <c r="K184" s="128">
        <v>0.0</v>
      </c>
      <c r="L184" s="129">
        <v>45931.0</v>
      </c>
      <c r="M184" s="150"/>
      <c r="N184" s="129">
        <v>46171.0</v>
      </c>
      <c r="O184" s="150"/>
      <c r="P184" s="151"/>
      <c r="Q184" s="151"/>
      <c r="R184" s="151"/>
      <c r="S184" s="151"/>
      <c r="T184" s="130">
        <v>2.0E9</v>
      </c>
      <c r="U184" s="130">
        <v>1818181.82</v>
      </c>
      <c r="V184" s="131" t="s">
        <v>50</v>
      </c>
      <c r="W184" s="128">
        <v>4.0</v>
      </c>
      <c r="X184" s="151"/>
      <c r="Y184" s="127" t="s">
        <v>2766</v>
      </c>
      <c r="Z184" s="151"/>
      <c r="AA184" s="151"/>
      <c r="AB184" s="151"/>
      <c r="AC184" s="127" t="s">
        <v>70</v>
      </c>
      <c r="AD184" s="127"/>
      <c r="AE184" s="127"/>
    </row>
    <row r="185">
      <c r="A185" s="132">
        <v>6477.0</v>
      </c>
      <c r="B185" s="133" t="s">
        <v>3572</v>
      </c>
      <c r="C185" s="133" t="s">
        <v>75</v>
      </c>
      <c r="D185" s="133" t="s">
        <v>3573</v>
      </c>
      <c r="E185" s="133" t="s">
        <v>3574</v>
      </c>
      <c r="F185" s="133" t="s">
        <v>3575</v>
      </c>
      <c r="H185" s="133" t="s">
        <v>76</v>
      </c>
      <c r="I185" s="133" t="s">
        <v>443</v>
      </c>
      <c r="J185" s="133" t="s">
        <v>61</v>
      </c>
      <c r="K185" s="134">
        <v>0.0</v>
      </c>
      <c r="L185" s="135">
        <v>45837.0</v>
      </c>
      <c r="M185" s="153"/>
      <c r="N185" s="135">
        <v>46240.0</v>
      </c>
      <c r="O185" s="153"/>
      <c r="P185" s="154"/>
      <c r="Q185" s="154"/>
      <c r="R185" s="154"/>
      <c r="S185" s="154"/>
      <c r="T185" s="136">
        <v>1.1253813E9</v>
      </c>
      <c r="U185" s="136">
        <v>1023073.91</v>
      </c>
      <c r="V185" s="137" t="s">
        <v>2799</v>
      </c>
      <c r="W185" s="134">
        <v>2.0</v>
      </c>
      <c r="X185" s="133" t="s">
        <v>147</v>
      </c>
      <c r="Y185" s="133" t="s">
        <v>1601</v>
      </c>
      <c r="Z185" s="133" t="s">
        <v>140</v>
      </c>
      <c r="AA185" s="133">
        <v>7.0</v>
      </c>
      <c r="AB185" s="133" t="s">
        <v>1565</v>
      </c>
      <c r="AC185" s="133" t="s">
        <v>70</v>
      </c>
      <c r="AD185" s="133"/>
      <c r="AE185" s="133"/>
    </row>
    <row r="186">
      <c r="A186" s="138">
        <v>6480.0</v>
      </c>
      <c r="B186" s="127" t="s">
        <v>3577</v>
      </c>
      <c r="C186" s="127" t="s">
        <v>75</v>
      </c>
      <c r="D186" s="127" t="s">
        <v>3578</v>
      </c>
      <c r="E186" s="127" t="s">
        <v>3574</v>
      </c>
      <c r="F186" s="127" t="s">
        <v>3575</v>
      </c>
      <c r="H186" s="127" t="s">
        <v>64</v>
      </c>
      <c r="I186" s="127" t="s">
        <v>3579</v>
      </c>
      <c r="J186" s="127" t="s">
        <v>3580</v>
      </c>
      <c r="K186" s="128">
        <v>0.0</v>
      </c>
      <c r="L186" s="129">
        <v>45931.0</v>
      </c>
      <c r="M186" s="156"/>
      <c r="N186" s="129">
        <v>46589.0</v>
      </c>
      <c r="O186" s="151"/>
      <c r="P186" s="151"/>
      <c r="Q186" s="151"/>
      <c r="R186" s="151"/>
      <c r="S186" s="151"/>
      <c r="T186" s="130">
        <v>8.1376761E10</v>
      </c>
      <c r="U186" s="130">
        <v>7.397887364E7</v>
      </c>
      <c r="V186" s="131" t="s">
        <v>2848</v>
      </c>
      <c r="W186" s="128">
        <v>3.0</v>
      </c>
      <c r="X186" s="127" t="s">
        <v>1600</v>
      </c>
      <c r="Y186" s="127" t="s">
        <v>1601</v>
      </c>
      <c r="Z186" s="127" t="s">
        <v>1702</v>
      </c>
      <c r="AA186" s="127">
        <v>21.0</v>
      </c>
      <c r="AB186" s="127" t="s">
        <v>1602</v>
      </c>
      <c r="AC186" s="127" t="s">
        <v>70</v>
      </c>
      <c r="AD186" s="127"/>
      <c r="AE186" s="127"/>
    </row>
    <row r="187">
      <c r="A187" s="132">
        <v>6481.0</v>
      </c>
      <c r="B187" s="133" t="s">
        <v>3581</v>
      </c>
      <c r="C187" s="133" t="s">
        <v>75</v>
      </c>
      <c r="D187" s="133" t="s">
        <v>3582</v>
      </c>
      <c r="E187" s="133" t="s">
        <v>3583</v>
      </c>
      <c r="F187" s="133" t="s">
        <v>3575</v>
      </c>
      <c r="H187" s="133" t="s">
        <v>57</v>
      </c>
      <c r="I187" s="133" t="s">
        <v>1986</v>
      </c>
      <c r="J187" s="133" t="s">
        <v>58</v>
      </c>
      <c r="K187" s="134">
        <v>0.0</v>
      </c>
      <c r="L187" s="135">
        <v>46054.0</v>
      </c>
      <c r="M187" s="157"/>
      <c r="N187" s="135">
        <v>46152.0</v>
      </c>
      <c r="O187" s="154"/>
      <c r="P187" s="154"/>
      <c r="Q187" s="154"/>
      <c r="R187" s="154"/>
      <c r="S187" s="154"/>
      <c r="T187" s="136">
        <v>1.5E10</v>
      </c>
      <c r="U187" s="136">
        <v>1.363636364E7</v>
      </c>
      <c r="V187" s="137" t="s">
        <v>3584</v>
      </c>
      <c r="W187" s="134">
        <v>4.0</v>
      </c>
      <c r="X187" s="133" t="s">
        <v>1600</v>
      </c>
      <c r="Y187" s="133" t="s">
        <v>1601</v>
      </c>
      <c r="Z187" s="133" t="s">
        <v>58</v>
      </c>
      <c r="AA187" s="133">
        <v>1.0</v>
      </c>
      <c r="AB187" s="133" t="s">
        <v>1602</v>
      </c>
      <c r="AC187" s="133" t="s">
        <v>70</v>
      </c>
      <c r="AD187" s="133"/>
      <c r="AE187" s="133"/>
    </row>
    <row r="188">
      <c r="A188" s="138">
        <v>6482.0</v>
      </c>
      <c r="B188" s="127" t="s">
        <v>3586</v>
      </c>
      <c r="C188" s="127" t="s">
        <v>75</v>
      </c>
      <c r="D188" s="127" t="s">
        <v>3588</v>
      </c>
      <c r="E188" s="127" t="s">
        <v>3583</v>
      </c>
      <c r="F188" s="127" t="s">
        <v>3575</v>
      </c>
      <c r="H188" s="127" t="s">
        <v>57</v>
      </c>
      <c r="I188" s="127" t="s">
        <v>547</v>
      </c>
      <c r="J188" s="127" t="s">
        <v>32</v>
      </c>
      <c r="K188" s="128">
        <v>0.0</v>
      </c>
      <c r="L188" s="129">
        <v>46054.0</v>
      </c>
      <c r="M188" s="156"/>
      <c r="N188" s="129">
        <v>46172.0</v>
      </c>
      <c r="O188" s="151"/>
      <c r="P188" s="151"/>
      <c r="Q188" s="151"/>
      <c r="R188" s="151"/>
      <c r="S188" s="151"/>
      <c r="T188" s="130">
        <v>8.7E10</v>
      </c>
      <c r="U188" s="130">
        <v>7.909090909E7</v>
      </c>
      <c r="V188" s="131" t="s">
        <v>3584</v>
      </c>
      <c r="W188" s="128">
        <v>4.0</v>
      </c>
      <c r="X188" s="127" t="s">
        <v>1600</v>
      </c>
      <c r="Y188" s="127" t="s">
        <v>1601</v>
      </c>
      <c r="Z188" s="127" t="s">
        <v>32</v>
      </c>
      <c r="AA188" s="127">
        <v>2.0</v>
      </c>
      <c r="AB188" s="127" t="s">
        <v>1602</v>
      </c>
      <c r="AC188" s="127" t="s">
        <v>70</v>
      </c>
      <c r="AD188" s="127"/>
      <c r="AE188" s="127"/>
    </row>
    <row r="189">
      <c r="A189" s="132">
        <v>6753.0</v>
      </c>
      <c r="B189" s="149" t="s">
        <v>1467</v>
      </c>
      <c r="C189" s="133" t="s">
        <v>75</v>
      </c>
      <c r="D189" s="133" t="s">
        <v>3589</v>
      </c>
      <c r="E189" s="133" t="s">
        <v>3583</v>
      </c>
      <c r="F189" s="133" t="s">
        <v>3575</v>
      </c>
      <c r="H189" s="133" t="s">
        <v>57</v>
      </c>
      <c r="I189" s="133" t="s">
        <v>443</v>
      </c>
      <c r="J189" s="133" t="s">
        <v>150</v>
      </c>
      <c r="K189" s="134">
        <v>0.0</v>
      </c>
      <c r="L189" s="135">
        <v>45901.0</v>
      </c>
      <c r="M189" s="157"/>
      <c r="N189" s="135">
        <v>46569.0</v>
      </c>
      <c r="O189" s="154"/>
      <c r="P189" s="154"/>
      <c r="Q189" s="154"/>
      <c r="R189" s="154"/>
      <c r="S189" s="154"/>
      <c r="T189" s="136">
        <v>4.26264079E10</v>
      </c>
      <c r="U189" s="136">
        <v>3.875127991E7</v>
      </c>
      <c r="V189" s="137" t="s">
        <v>2848</v>
      </c>
      <c r="W189" s="134">
        <v>3.0</v>
      </c>
      <c r="X189" s="133" t="s">
        <v>1600</v>
      </c>
      <c r="Y189" s="133" t="s">
        <v>1601</v>
      </c>
      <c r="Z189" s="133" t="s">
        <v>150</v>
      </c>
      <c r="AA189" s="133">
        <v>20.0</v>
      </c>
      <c r="AB189" s="133" t="s">
        <v>1602</v>
      </c>
      <c r="AC189" s="133" t="s">
        <v>70</v>
      </c>
      <c r="AD189" s="133"/>
      <c r="AE189" s="133"/>
    </row>
    <row r="190">
      <c r="A190" s="138">
        <v>6754.0</v>
      </c>
      <c r="B190" s="149" t="s">
        <v>1467</v>
      </c>
      <c r="C190" s="127" t="s">
        <v>75</v>
      </c>
      <c r="D190" s="127" t="s">
        <v>3590</v>
      </c>
      <c r="E190" s="127" t="s">
        <v>3583</v>
      </c>
      <c r="F190" s="127" t="s">
        <v>3575</v>
      </c>
      <c r="H190" s="127" t="s">
        <v>57</v>
      </c>
      <c r="I190" s="127" t="s">
        <v>443</v>
      </c>
      <c r="J190" s="127" t="s">
        <v>150</v>
      </c>
      <c r="K190" s="128">
        <v>0.0</v>
      </c>
      <c r="L190" s="129">
        <v>45870.0</v>
      </c>
      <c r="M190" s="156"/>
      <c r="N190" s="129">
        <v>46569.0</v>
      </c>
      <c r="O190" s="151"/>
      <c r="P190" s="151"/>
      <c r="Q190" s="151"/>
      <c r="R190" s="151"/>
      <c r="S190" s="151"/>
      <c r="T190" s="130">
        <v>4.29905712E10</v>
      </c>
      <c r="U190" s="130">
        <v>3.908233745E7</v>
      </c>
      <c r="V190" s="131" t="s">
        <v>2848</v>
      </c>
      <c r="W190" s="128">
        <v>3.0</v>
      </c>
      <c r="X190" s="127" t="s">
        <v>1600</v>
      </c>
      <c r="Y190" s="127" t="s">
        <v>1601</v>
      </c>
      <c r="Z190" s="127" t="s">
        <v>150</v>
      </c>
      <c r="AA190" s="127">
        <v>20.0</v>
      </c>
      <c r="AB190" s="127" t="s">
        <v>1602</v>
      </c>
      <c r="AC190" s="127" t="s">
        <v>70</v>
      </c>
      <c r="AD190" s="127"/>
      <c r="AE190" s="127"/>
    </row>
    <row r="191">
      <c r="A191" s="132">
        <v>6755.0</v>
      </c>
      <c r="B191" s="133" t="s">
        <v>3592</v>
      </c>
      <c r="C191" s="133" t="s">
        <v>75</v>
      </c>
      <c r="D191" s="133" t="s">
        <v>3593</v>
      </c>
      <c r="E191" s="133" t="s">
        <v>3594</v>
      </c>
      <c r="F191" s="133" t="s">
        <v>3575</v>
      </c>
      <c r="H191" s="133" t="s">
        <v>57</v>
      </c>
      <c r="I191" s="133" t="s">
        <v>3596</v>
      </c>
      <c r="J191" s="133" t="s">
        <v>3598</v>
      </c>
      <c r="K191" s="134">
        <v>0.0</v>
      </c>
      <c r="L191" s="135">
        <v>46028.0</v>
      </c>
      <c r="M191" s="157"/>
      <c r="N191" s="135">
        <v>47072.0</v>
      </c>
      <c r="O191" s="154"/>
      <c r="P191" s="154"/>
      <c r="Q191" s="154"/>
      <c r="R191" s="154"/>
      <c r="S191" s="154"/>
      <c r="T191" s="136">
        <v>6.771E10</v>
      </c>
      <c r="U191" s="136">
        <v>6.155454545E7</v>
      </c>
      <c r="V191" s="137" t="s">
        <v>3584</v>
      </c>
      <c r="W191" s="134">
        <v>4.0</v>
      </c>
      <c r="X191" s="133" t="s">
        <v>1600</v>
      </c>
      <c r="Y191" s="133" t="s">
        <v>1601</v>
      </c>
      <c r="Z191" s="133" t="s">
        <v>32</v>
      </c>
      <c r="AA191" s="133">
        <v>2.0</v>
      </c>
      <c r="AB191" s="133" t="s">
        <v>1602</v>
      </c>
      <c r="AC191" s="133" t="s">
        <v>70</v>
      </c>
      <c r="AD191" s="133"/>
      <c r="AE191" s="133"/>
    </row>
    <row r="192">
      <c r="A192" s="138">
        <v>7379.0</v>
      </c>
      <c r="B192" s="149" t="s">
        <v>1467</v>
      </c>
      <c r="C192" s="127" t="s">
        <v>75</v>
      </c>
      <c r="D192" s="127" t="s">
        <v>3599</v>
      </c>
      <c r="E192" s="127" t="s">
        <v>3574</v>
      </c>
      <c r="F192" s="127" t="s">
        <v>3575</v>
      </c>
      <c r="H192" s="127" t="s">
        <v>57</v>
      </c>
      <c r="I192" s="127" t="s">
        <v>67</v>
      </c>
      <c r="J192" s="127" t="s">
        <v>1664</v>
      </c>
      <c r="K192" s="128">
        <v>0.0</v>
      </c>
      <c r="L192" s="129">
        <v>45940.0</v>
      </c>
      <c r="M192" s="156"/>
      <c r="N192" s="129">
        <v>46141.0</v>
      </c>
      <c r="O192" s="151"/>
      <c r="P192" s="151"/>
      <c r="Q192" s="151"/>
      <c r="R192" s="151"/>
      <c r="S192" s="151"/>
      <c r="T192" s="130">
        <v>4.77E8</v>
      </c>
      <c r="U192" s="130">
        <v>433636.36</v>
      </c>
      <c r="V192" s="131" t="s">
        <v>2598</v>
      </c>
      <c r="W192" s="128">
        <v>3.0</v>
      </c>
      <c r="X192" s="127" t="s">
        <v>1600</v>
      </c>
      <c r="Y192" s="127" t="s">
        <v>1601</v>
      </c>
      <c r="Z192" s="127" t="s">
        <v>1664</v>
      </c>
      <c r="AA192" s="127">
        <v>3.0</v>
      </c>
      <c r="AB192" s="127" t="s">
        <v>1602</v>
      </c>
      <c r="AC192" s="127" t="s">
        <v>70</v>
      </c>
      <c r="AD192" s="127"/>
      <c r="AE192" s="127"/>
    </row>
    <row r="193">
      <c r="A193" s="132">
        <v>7381.0</v>
      </c>
      <c r="B193" s="133" t="s">
        <v>3602</v>
      </c>
      <c r="C193" s="133" t="s">
        <v>75</v>
      </c>
      <c r="D193" s="133" t="s">
        <v>3603</v>
      </c>
      <c r="E193" s="133" t="s">
        <v>3574</v>
      </c>
      <c r="F193" s="133" t="s">
        <v>3575</v>
      </c>
      <c r="H193" s="133" t="s">
        <v>109</v>
      </c>
      <c r="I193" s="133" t="s">
        <v>409</v>
      </c>
      <c r="J193" s="133" t="s">
        <v>1664</v>
      </c>
      <c r="K193" s="134">
        <v>0.0</v>
      </c>
      <c r="L193" s="135">
        <v>45778.0</v>
      </c>
      <c r="M193" s="157"/>
      <c r="N193" s="135">
        <v>45931.0</v>
      </c>
      <c r="O193" s="154"/>
      <c r="P193" s="154"/>
      <c r="Q193" s="154"/>
      <c r="R193" s="154"/>
      <c r="S193" s="154"/>
      <c r="T193" s="136">
        <v>4.4E8</v>
      </c>
      <c r="U193" s="136">
        <v>400000.0</v>
      </c>
      <c r="V193" s="137" t="s">
        <v>2598</v>
      </c>
      <c r="W193" s="134">
        <v>2.0</v>
      </c>
      <c r="X193" s="133" t="s">
        <v>1600</v>
      </c>
      <c r="Y193" s="133" t="s">
        <v>1601</v>
      </c>
      <c r="Z193" s="133" t="s">
        <v>1664</v>
      </c>
      <c r="AA193" s="133">
        <v>3.0</v>
      </c>
      <c r="AB193" s="133" t="s">
        <v>1602</v>
      </c>
      <c r="AC193" s="133" t="s">
        <v>70</v>
      </c>
      <c r="AD193" s="133"/>
      <c r="AE193" s="133"/>
    </row>
    <row r="194">
      <c r="A194" s="138">
        <v>7746.0</v>
      </c>
      <c r="B194" s="127" t="s">
        <v>3604</v>
      </c>
      <c r="C194" s="127" t="s">
        <v>75</v>
      </c>
      <c r="D194" s="127" t="s">
        <v>3605</v>
      </c>
      <c r="E194" s="127" t="s">
        <v>3574</v>
      </c>
      <c r="F194" s="127" t="s">
        <v>3575</v>
      </c>
      <c r="H194" s="127" t="s">
        <v>76</v>
      </c>
      <c r="I194" s="127" t="s">
        <v>167</v>
      </c>
      <c r="J194" s="127" t="s">
        <v>61</v>
      </c>
      <c r="K194" s="128">
        <v>0.0</v>
      </c>
      <c r="L194" s="129">
        <v>45915.0</v>
      </c>
      <c r="M194" s="156"/>
      <c r="N194" s="129">
        <v>46294.0</v>
      </c>
      <c r="O194" s="151"/>
      <c r="P194" s="151"/>
      <c r="Q194" s="151"/>
      <c r="R194" s="151"/>
      <c r="S194" s="151"/>
      <c r="T194" s="130">
        <v>9.27858E9</v>
      </c>
      <c r="U194" s="130">
        <v>8435072.73</v>
      </c>
      <c r="V194" s="131" t="s">
        <v>2783</v>
      </c>
      <c r="W194" s="128">
        <v>2.0</v>
      </c>
      <c r="X194" s="127" t="s">
        <v>147</v>
      </c>
      <c r="Y194" s="127" t="s">
        <v>1601</v>
      </c>
      <c r="Z194" s="127" t="s">
        <v>140</v>
      </c>
      <c r="AA194" s="127">
        <v>7.0</v>
      </c>
      <c r="AB194" s="127" t="s">
        <v>1565</v>
      </c>
      <c r="AC194" s="127" t="s">
        <v>70</v>
      </c>
      <c r="AD194" s="127"/>
      <c r="AE194" s="127"/>
    </row>
    <row r="195">
      <c r="A195" s="132">
        <v>7753.0</v>
      </c>
      <c r="B195" s="149" t="s">
        <v>1467</v>
      </c>
      <c r="C195" s="133" t="s">
        <v>75</v>
      </c>
      <c r="D195" s="133" t="s">
        <v>3608</v>
      </c>
      <c r="E195" s="133" t="s">
        <v>3574</v>
      </c>
      <c r="F195" s="133" t="s">
        <v>3575</v>
      </c>
      <c r="H195" s="133" t="s">
        <v>57</v>
      </c>
      <c r="I195" s="133" t="s">
        <v>255</v>
      </c>
      <c r="J195" s="133" t="s">
        <v>52</v>
      </c>
      <c r="K195" s="134">
        <v>0.0</v>
      </c>
      <c r="L195" s="135">
        <v>45931.0</v>
      </c>
      <c r="M195" s="157"/>
      <c r="N195" s="135">
        <v>46027.0</v>
      </c>
      <c r="O195" s="154"/>
      <c r="P195" s="154"/>
      <c r="Q195" s="154"/>
      <c r="R195" s="154"/>
      <c r="S195" s="154"/>
      <c r="T195" s="136">
        <v>3.18015E8</v>
      </c>
      <c r="U195" s="136">
        <v>289104.55</v>
      </c>
      <c r="V195" s="137" t="s">
        <v>2783</v>
      </c>
      <c r="W195" s="134">
        <v>3.0</v>
      </c>
      <c r="X195" s="133" t="s">
        <v>147</v>
      </c>
      <c r="Y195" s="133" t="s">
        <v>1601</v>
      </c>
      <c r="Z195" s="133" t="s">
        <v>52</v>
      </c>
      <c r="AA195" s="133">
        <v>18.0</v>
      </c>
      <c r="AB195" s="133" t="s">
        <v>1565</v>
      </c>
      <c r="AC195" s="133" t="s">
        <v>70</v>
      </c>
      <c r="AD195" s="133"/>
      <c r="AE195" s="133"/>
    </row>
    <row r="196">
      <c r="A196" s="138">
        <v>7758.0</v>
      </c>
      <c r="B196" s="149" t="s">
        <v>1467</v>
      </c>
      <c r="C196" s="127" t="s">
        <v>75</v>
      </c>
      <c r="D196" s="127" t="s">
        <v>3609</v>
      </c>
      <c r="E196" s="127" t="s">
        <v>3574</v>
      </c>
      <c r="F196" s="127" t="s">
        <v>3575</v>
      </c>
      <c r="H196" s="127" t="s">
        <v>57</v>
      </c>
      <c r="I196" s="127" t="s">
        <v>118</v>
      </c>
      <c r="J196" s="127" t="s">
        <v>39</v>
      </c>
      <c r="K196" s="128">
        <v>0.0</v>
      </c>
      <c r="L196" s="129">
        <v>45935.0</v>
      </c>
      <c r="M196" s="156"/>
      <c r="N196" s="129">
        <v>46032.0</v>
      </c>
      <c r="O196" s="151"/>
      <c r="P196" s="151"/>
      <c r="Q196" s="151"/>
      <c r="R196" s="151"/>
      <c r="S196" s="151"/>
      <c r="T196" s="130">
        <v>5.3E8</v>
      </c>
      <c r="U196" s="130">
        <v>481818.18</v>
      </c>
      <c r="V196" s="131" t="s">
        <v>2783</v>
      </c>
      <c r="W196" s="128">
        <v>3.0</v>
      </c>
      <c r="X196" s="127" t="s">
        <v>147</v>
      </c>
      <c r="Y196" s="127" t="s">
        <v>1601</v>
      </c>
      <c r="Z196" s="127" t="s">
        <v>39</v>
      </c>
      <c r="AA196" s="127">
        <v>4.0</v>
      </c>
      <c r="AB196" s="127" t="s">
        <v>1565</v>
      </c>
      <c r="AC196" s="127" t="s">
        <v>70</v>
      </c>
      <c r="AD196" s="127"/>
      <c r="AE196" s="127"/>
    </row>
    <row r="197">
      <c r="A197" s="132">
        <v>7764.0</v>
      </c>
      <c r="B197" s="149" t="s">
        <v>1467</v>
      </c>
      <c r="C197" s="133" t="s">
        <v>75</v>
      </c>
      <c r="D197" s="133" t="s">
        <v>3613</v>
      </c>
      <c r="E197" s="133" t="s">
        <v>3574</v>
      </c>
      <c r="F197" s="133" t="s">
        <v>3575</v>
      </c>
      <c r="H197" s="133" t="s">
        <v>57</v>
      </c>
      <c r="I197" s="133" t="s">
        <v>129</v>
      </c>
      <c r="J197" s="133" t="s">
        <v>39</v>
      </c>
      <c r="K197" s="134">
        <v>0.0</v>
      </c>
      <c r="L197" s="135">
        <v>45932.0</v>
      </c>
      <c r="M197" s="157"/>
      <c r="N197" s="135">
        <v>46022.0</v>
      </c>
      <c r="O197" s="154"/>
      <c r="P197" s="154"/>
      <c r="Q197" s="154"/>
      <c r="R197" s="154"/>
      <c r="S197" s="154"/>
      <c r="T197" s="136">
        <v>2.7E8</v>
      </c>
      <c r="U197" s="136">
        <v>245454.55</v>
      </c>
      <c r="V197" s="137" t="s">
        <v>2783</v>
      </c>
      <c r="W197" s="134">
        <v>3.0</v>
      </c>
      <c r="X197" s="133" t="s">
        <v>147</v>
      </c>
      <c r="Y197" s="133" t="s">
        <v>1601</v>
      </c>
      <c r="Z197" s="133" t="s">
        <v>39</v>
      </c>
      <c r="AA197" s="133">
        <v>4.0</v>
      </c>
      <c r="AB197" s="133" t="s">
        <v>1565</v>
      </c>
      <c r="AC197" s="133" t="s">
        <v>70</v>
      </c>
      <c r="AD197" s="133"/>
      <c r="AE197" s="133"/>
    </row>
    <row r="198">
      <c r="A198" s="138">
        <v>7763.0</v>
      </c>
      <c r="B198" s="149" t="s">
        <v>1467</v>
      </c>
      <c r="C198" s="127" t="s">
        <v>75</v>
      </c>
      <c r="D198" s="127" t="s">
        <v>3614</v>
      </c>
      <c r="E198" s="127" t="s">
        <v>3574</v>
      </c>
      <c r="F198" s="127" t="s">
        <v>3575</v>
      </c>
      <c r="H198" s="127" t="s">
        <v>57</v>
      </c>
      <c r="I198" s="127" t="s">
        <v>659</v>
      </c>
      <c r="J198" s="127" t="s">
        <v>1664</v>
      </c>
      <c r="K198" s="128">
        <v>0.0</v>
      </c>
      <c r="L198" s="129">
        <v>45901.0</v>
      </c>
      <c r="M198" s="156"/>
      <c r="N198" s="129">
        <v>46021.0</v>
      </c>
      <c r="O198" s="151"/>
      <c r="P198" s="151"/>
      <c r="Q198" s="151"/>
      <c r="R198" s="151"/>
      <c r="S198" s="151"/>
      <c r="T198" s="130">
        <v>3.2E8</v>
      </c>
      <c r="U198" s="130">
        <v>290909.09</v>
      </c>
      <c r="V198" s="131" t="s">
        <v>2783</v>
      </c>
      <c r="W198" s="128">
        <v>3.0</v>
      </c>
      <c r="X198" s="127" t="s">
        <v>1600</v>
      </c>
      <c r="Y198" s="127" t="s">
        <v>1601</v>
      </c>
      <c r="Z198" s="127" t="s">
        <v>1664</v>
      </c>
      <c r="AA198" s="127">
        <v>3.0</v>
      </c>
      <c r="AB198" s="127" t="s">
        <v>1602</v>
      </c>
      <c r="AC198" s="127" t="s">
        <v>70</v>
      </c>
      <c r="AD198" s="127"/>
      <c r="AE198" s="127"/>
    </row>
    <row r="199">
      <c r="A199" s="132">
        <v>7755.0</v>
      </c>
      <c r="B199" s="133" t="s">
        <v>3615</v>
      </c>
      <c r="C199" s="133" t="s">
        <v>75</v>
      </c>
      <c r="D199" s="133" t="s">
        <v>3617</v>
      </c>
      <c r="E199" s="133" t="s">
        <v>3574</v>
      </c>
      <c r="F199" s="133" t="s">
        <v>3575</v>
      </c>
      <c r="H199" s="133" t="s">
        <v>64</v>
      </c>
      <c r="I199" s="133" t="s">
        <v>668</v>
      </c>
      <c r="J199" s="133" t="s">
        <v>1664</v>
      </c>
      <c r="K199" s="134">
        <v>0.0</v>
      </c>
      <c r="L199" s="135">
        <v>45930.0</v>
      </c>
      <c r="M199" s="157"/>
      <c r="N199" s="135">
        <v>46051.0</v>
      </c>
      <c r="O199" s="154"/>
      <c r="P199" s="154"/>
      <c r="Q199" s="154"/>
      <c r="R199" s="154"/>
      <c r="S199" s="154"/>
      <c r="T199" s="136">
        <v>6.5102E8</v>
      </c>
      <c r="U199" s="136">
        <v>591836.36</v>
      </c>
      <c r="V199" s="137" t="s">
        <v>2783</v>
      </c>
      <c r="W199" s="134">
        <v>3.0</v>
      </c>
      <c r="X199" s="133" t="s">
        <v>1600</v>
      </c>
      <c r="Y199" s="133" t="s">
        <v>1601</v>
      </c>
      <c r="Z199" s="133" t="s">
        <v>1664</v>
      </c>
      <c r="AA199" s="133">
        <v>3.0</v>
      </c>
      <c r="AB199" s="133" t="s">
        <v>1602</v>
      </c>
      <c r="AC199" s="133" t="s">
        <v>70</v>
      </c>
      <c r="AD199" s="133"/>
      <c r="AE199" s="133"/>
    </row>
    <row r="200">
      <c r="A200" s="138">
        <v>7762.0</v>
      </c>
      <c r="B200" s="149" t="s">
        <v>1467</v>
      </c>
      <c r="C200" s="127" t="s">
        <v>75</v>
      </c>
      <c r="D200" s="127" t="s">
        <v>3623</v>
      </c>
      <c r="E200" s="127" t="s">
        <v>3574</v>
      </c>
      <c r="F200" s="127" t="s">
        <v>3575</v>
      </c>
      <c r="H200" s="127" t="s">
        <v>57</v>
      </c>
      <c r="I200" s="127" t="s">
        <v>456</v>
      </c>
      <c r="J200" s="127" t="s">
        <v>120</v>
      </c>
      <c r="K200" s="128">
        <v>0.0</v>
      </c>
      <c r="L200" s="129">
        <v>45930.0</v>
      </c>
      <c r="M200" s="156"/>
      <c r="N200" s="129">
        <v>46054.0</v>
      </c>
      <c r="O200" s="151"/>
      <c r="P200" s="151"/>
      <c r="Q200" s="151"/>
      <c r="R200" s="151"/>
      <c r="S200" s="151"/>
      <c r="T200" s="130">
        <v>3.7E8</v>
      </c>
      <c r="U200" s="130">
        <v>336363.64</v>
      </c>
      <c r="V200" s="131" t="s">
        <v>2783</v>
      </c>
      <c r="W200" s="128">
        <v>3.0</v>
      </c>
      <c r="X200" s="127" t="s">
        <v>1600</v>
      </c>
      <c r="Y200" s="127" t="s">
        <v>1601</v>
      </c>
      <c r="Z200" s="127" t="s">
        <v>120</v>
      </c>
      <c r="AA200" s="127">
        <v>26.0</v>
      </c>
      <c r="AB200" s="127" t="s">
        <v>1602</v>
      </c>
      <c r="AC200" s="127" t="s">
        <v>70</v>
      </c>
      <c r="AD200" s="127"/>
      <c r="AE200" s="127"/>
    </row>
    <row r="201">
      <c r="A201" s="132">
        <v>7666.0</v>
      </c>
      <c r="B201" s="133" t="s">
        <v>874</v>
      </c>
      <c r="C201" s="133" t="s">
        <v>75</v>
      </c>
      <c r="D201" s="133" t="s">
        <v>871</v>
      </c>
      <c r="E201" s="133" t="s">
        <v>3574</v>
      </c>
      <c r="F201" s="133" t="s">
        <v>3575</v>
      </c>
      <c r="H201" s="133" t="s">
        <v>76</v>
      </c>
      <c r="I201" s="133" t="s">
        <v>39</v>
      </c>
      <c r="J201" s="133" t="s">
        <v>39</v>
      </c>
      <c r="K201" s="134">
        <v>0.0</v>
      </c>
      <c r="L201" s="135">
        <v>45823.0</v>
      </c>
      <c r="M201" s="157"/>
      <c r="N201" s="135">
        <v>46528.0</v>
      </c>
      <c r="O201" s="154"/>
      <c r="P201" s="154"/>
      <c r="Q201" s="154"/>
      <c r="R201" s="154"/>
      <c r="S201" s="154"/>
      <c r="T201" s="136">
        <v>2.1834608E9</v>
      </c>
      <c r="U201" s="136">
        <v>1984964.36</v>
      </c>
      <c r="V201" s="137" t="s">
        <v>2799</v>
      </c>
      <c r="W201" s="134">
        <v>2.0</v>
      </c>
      <c r="X201" s="133" t="s">
        <v>147</v>
      </c>
      <c r="Y201" s="133" t="s">
        <v>1601</v>
      </c>
      <c r="Z201" s="133" t="s">
        <v>39</v>
      </c>
      <c r="AA201" s="133">
        <v>4.0</v>
      </c>
      <c r="AB201" s="133" t="s">
        <v>1565</v>
      </c>
      <c r="AC201" s="133" t="s">
        <v>70</v>
      </c>
      <c r="AD201" s="133"/>
      <c r="AE201" s="133"/>
    </row>
    <row r="202">
      <c r="A202" s="155">
        <v>2095976.0</v>
      </c>
      <c r="B202" s="149" t="s">
        <v>1467</v>
      </c>
      <c r="C202" s="127" t="s">
        <v>75</v>
      </c>
      <c r="D202" s="127" t="s">
        <v>3624</v>
      </c>
      <c r="E202" s="127" t="s">
        <v>3574</v>
      </c>
      <c r="F202" s="127" t="s">
        <v>3575</v>
      </c>
      <c r="H202" s="127" t="s">
        <v>57</v>
      </c>
      <c r="I202" s="127" t="s">
        <v>595</v>
      </c>
      <c r="J202" s="127" t="s">
        <v>1702</v>
      </c>
      <c r="K202" s="128">
        <v>0.0</v>
      </c>
      <c r="L202" s="129">
        <v>45962.0</v>
      </c>
      <c r="M202" s="156"/>
      <c r="N202" s="129">
        <v>46500.0</v>
      </c>
      <c r="O202" s="151"/>
      <c r="P202" s="151"/>
      <c r="Q202" s="151"/>
      <c r="R202" s="151"/>
      <c r="S202" s="151"/>
      <c r="T202" s="130">
        <v>8.315E9</v>
      </c>
      <c r="U202" s="130">
        <v>7559090.91</v>
      </c>
      <c r="V202" s="131" t="s">
        <v>50</v>
      </c>
      <c r="W202" s="128">
        <v>4.0</v>
      </c>
      <c r="X202" s="127" t="s">
        <v>1600</v>
      </c>
      <c r="Y202" s="127" t="s">
        <v>2755</v>
      </c>
      <c r="Z202" s="127" t="s">
        <v>1702</v>
      </c>
      <c r="AA202" s="127">
        <v>21.0</v>
      </c>
      <c r="AB202" s="127" t="s">
        <v>1602</v>
      </c>
      <c r="AC202" s="127" t="s">
        <v>70</v>
      </c>
      <c r="AD202" s="127"/>
      <c r="AE202" s="127"/>
    </row>
    <row r="203">
      <c r="A203" s="132">
        <v>7750.0</v>
      </c>
      <c r="B203" s="133" t="s">
        <v>3628</v>
      </c>
      <c r="C203" s="133" t="s">
        <v>75</v>
      </c>
      <c r="D203" s="133" t="s">
        <v>3629</v>
      </c>
      <c r="E203" s="133" t="s">
        <v>3574</v>
      </c>
      <c r="F203" s="133" t="s">
        <v>3575</v>
      </c>
      <c r="H203" s="133" t="s">
        <v>64</v>
      </c>
      <c r="I203" s="133" t="s">
        <v>356</v>
      </c>
      <c r="J203" s="133" t="s">
        <v>96</v>
      </c>
      <c r="K203" s="134">
        <v>0.0</v>
      </c>
      <c r="L203" s="135">
        <v>45901.0</v>
      </c>
      <c r="M203" s="157"/>
      <c r="N203" s="135">
        <v>46260.0</v>
      </c>
      <c r="O203" s="154"/>
      <c r="P203" s="154"/>
      <c r="Q203" s="154"/>
      <c r="R203" s="154"/>
      <c r="S203" s="154"/>
      <c r="T203" s="136">
        <v>2.924E9</v>
      </c>
      <c r="U203" s="136">
        <v>2658181.82</v>
      </c>
      <c r="V203" s="137" t="s">
        <v>2783</v>
      </c>
      <c r="W203" s="134">
        <v>3.0</v>
      </c>
      <c r="X203" s="133" t="s">
        <v>147</v>
      </c>
      <c r="Y203" s="133" t="s">
        <v>1601</v>
      </c>
      <c r="Z203" s="133" t="s">
        <v>96</v>
      </c>
      <c r="AA203" s="133">
        <v>25.0</v>
      </c>
      <c r="AB203" s="133" t="s">
        <v>1565</v>
      </c>
      <c r="AC203" s="133" t="s">
        <v>70</v>
      </c>
      <c r="AD203" s="133"/>
      <c r="AE203" s="133"/>
    </row>
    <row r="204">
      <c r="A204" s="155">
        <v>2096037.0</v>
      </c>
      <c r="B204" s="127" t="s">
        <v>879</v>
      </c>
      <c r="C204" s="127" t="s">
        <v>75</v>
      </c>
      <c r="D204" s="127" t="s">
        <v>3631</v>
      </c>
      <c r="E204" s="127" t="s">
        <v>3574</v>
      </c>
      <c r="F204" s="127" t="s">
        <v>3575</v>
      </c>
      <c r="H204" s="127" t="s">
        <v>76</v>
      </c>
      <c r="I204" s="127" t="s">
        <v>134</v>
      </c>
      <c r="J204" s="127" t="s">
        <v>39</v>
      </c>
      <c r="K204" s="128">
        <v>0.0</v>
      </c>
      <c r="L204" s="129">
        <v>45823.0</v>
      </c>
      <c r="M204" s="156"/>
      <c r="N204" s="129">
        <v>45929.0</v>
      </c>
      <c r="O204" s="151"/>
      <c r="P204" s="151"/>
      <c r="Q204" s="151"/>
      <c r="R204" s="151"/>
      <c r="S204" s="151"/>
      <c r="T204" s="130">
        <v>7.540982E8</v>
      </c>
      <c r="U204" s="130">
        <v>685543.82</v>
      </c>
      <c r="V204" s="131" t="s">
        <v>2799</v>
      </c>
      <c r="W204" s="128">
        <v>2.0</v>
      </c>
      <c r="X204" s="127" t="s">
        <v>147</v>
      </c>
      <c r="Y204" s="127" t="s">
        <v>1601</v>
      </c>
      <c r="Z204" s="127" t="s">
        <v>39</v>
      </c>
      <c r="AA204" s="127">
        <v>4.0</v>
      </c>
      <c r="AB204" s="127" t="s">
        <v>1565</v>
      </c>
      <c r="AC204" s="127" t="s">
        <v>70</v>
      </c>
      <c r="AD204" s="127"/>
      <c r="AE204" s="127"/>
    </row>
    <row r="205">
      <c r="A205" s="132">
        <v>7754.0</v>
      </c>
      <c r="B205" s="149" t="s">
        <v>1467</v>
      </c>
      <c r="C205" s="133" t="s">
        <v>75</v>
      </c>
      <c r="D205" s="133" t="s">
        <v>3632</v>
      </c>
      <c r="E205" s="133" t="s">
        <v>3574</v>
      </c>
      <c r="F205" s="133" t="s">
        <v>3575</v>
      </c>
      <c r="H205" s="133" t="s">
        <v>57</v>
      </c>
      <c r="I205" s="133" t="s">
        <v>230</v>
      </c>
      <c r="J205" s="133" t="s">
        <v>215</v>
      </c>
      <c r="K205" s="134">
        <v>0.0</v>
      </c>
      <c r="L205" s="135">
        <v>45905.0</v>
      </c>
      <c r="M205" s="157"/>
      <c r="N205" s="135">
        <v>46270.0</v>
      </c>
      <c r="O205" s="154"/>
      <c r="P205" s="154"/>
      <c r="Q205" s="154"/>
      <c r="R205" s="154"/>
      <c r="S205" s="154"/>
      <c r="T205" s="136">
        <v>1.25E9</v>
      </c>
      <c r="U205" s="136">
        <v>1136363.64</v>
      </c>
      <c r="V205" s="137" t="s">
        <v>2783</v>
      </c>
      <c r="W205" s="134">
        <v>3.0</v>
      </c>
      <c r="X205" s="133" t="s">
        <v>147</v>
      </c>
      <c r="Y205" s="133" t="s">
        <v>1601</v>
      </c>
      <c r="Z205" s="133" t="s">
        <v>215</v>
      </c>
      <c r="AA205" s="133">
        <v>16.0</v>
      </c>
      <c r="AB205" s="133" t="s">
        <v>1565</v>
      </c>
      <c r="AC205" s="133" t="s">
        <v>70</v>
      </c>
      <c r="AD205" s="133"/>
      <c r="AE205" s="133"/>
    </row>
    <row r="206">
      <c r="A206" s="155">
        <v>2082250.0</v>
      </c>
      <c r="B206" s="149" t="s">
        <v>1467</v>
      </c>
      <c r="C206" s="127" t="s">
        <v>75</v>
      </c>
      <c r="D206" s="127" t="s">
        <v>3637</v>
      </c>
      <c r="E206" s="127" t="s">
        <v>3638</v>
      </c>
      <c r="F206" s="127" t="s">
        <v>3575</v>
      </c>
      <c r="H206" s="127" t="s">
        <v>57</v>
      </c>
      <c r="I206" s="127" t="s">
        <v>118</v>
      </c>
      <c r="J206" s="127" t="s">
        <v>39</v>
      </c>
      <c r="K206" s="128">
        <v>0.0</v>
      </c>
      <c r="L206" s="129">
        <v>45962.0</v>
      </c>
      <c r="M206" s="156"/>
      <c r="N206" s="129">
        <v>46327.0</v>
      </c>
      <c r="O206" s="151"/>
      <c r="P206" s="150"/>
      <c r="Q206" s="151"/>
      <c r="R206" s="150"/>
      <c r="S206" s="150"/>
      <c r="T206" s="130">
        <v>6.0632E9</v>
      </c>
      <c r="U206" s="130">
        <v>5512000.0</v>
      </c>
      <c r="V206" s="131" t="s">
        <v>50</v>
      </c>
      <c r="W206" s="128">
        <v>4.0</v>
      </c>
      <c r="X206" s="127" t="s">
        <v>147</v>
      </c>
      <c r="Y206" s="127" t="s">
        <v>2755</v>
      </c>
      <c r="Z206" s="127" t="s">
        <v>39</v>
      </c>
      <c r="AA206" s="127">
        <v>4.0</v>
      </c>
      <c r="AB206" s="127" t="s">
        <v>1565</v>
      </c>
      <c r="AC206" s="127" t="s">
        <v>70</v>
      </c>
      <c r="AD206" s="127"/>
      <c r="AE206" s="127"/>
    </row>
    <row r="207">
      <c r="A207" s="132">
        <v>7749.0</v>
      </c>
      <c r="B207" s="149" t="s">
        <v>1467</v>
      </c>
      <c r="C207" s="133" t="s">
        <v>75</v>
      </c>
      <c r="D207" s="133" t="s">
        <v>3643</v>
      </c>
      <c r="E207" s="133" t="s">
        <v>3574</v>
      </c>
      <c r="F207" s="133" t="s">
        <v>3575</v>
      </c>
      <c r="H207" s="133" t="s">
        <v>57</v>
      </c>
      <c r="I207" s="133" t="s">
        <v>310</v>
      </c>
      <c r="J207" s="133" t="s">
        <v>107</v>
      </c>
      <c r="K207" s="134">
        <v>0.0</v>
      </c>
      <c r="L207" s="135">
        <v>45931.0</v>
      </c>
      <c r="M207" s="157"/>
      <c r="N207" s="135">
        <v>46469.0</v>
      </c>
      <c r="O207" s="154"/>
      <c r="P207" s="153"/>
      <c r="Q207" s="154"/>
      <c r="R207" s="153"/>
      <c r="S207" s="153"/>
      <c r="T207" s="136">
        <v>3.45E9</v>
      </c>
      <c r="U207" s="136">
        <v>3136363.64</v>
      </c>
      <c r="V207" s="137" t="s">
        <v>2783</v>
      </c>
      <c r="W207" s="134">
        <v>3.0</v>
      </c>
      <c r="X207" s="133" t="s">
        <v>147</v>
      </c>
      <c r="Y207" s="133" t="s">
        <v>1601</v>
      </c>
      <c r="Z207" s="133" t="s">
        <v>107</v>
      </c>
      <c r="AA207" s="133">
        <v>19.0</v>
      </c>
      <c r="AB207" s="133" t="s">
        <v>1565</v>
      </c>
      <c r="AC207" s="133" t="s">
        <v>70</v>
      </c>
      <c r="AD207" s="133"/>
      <c r="AE207" s="133"/>
    </row>
    <row r="208">
      <c r="A208" s="155">
        <v>2083253.0</v>
      </c>
      <c r="B208" s="149" t="s">
        <v>1467</v>
      </c>
      <c r="C208" s="127" t="s">
        <v>75</v>
      </c>
      <c r="D208" s="127" t="s">
        <v>3648</v>
      </c>
      <c r="E208" s="127" t="s">
        <v>3594</v>
      </c>
      <c r="F208" s="127" t="s">
        <v>3575</v>
      </c>
      <c r="H208" s="127" t="s">
        <v>57</v>
      </c>
      <c r="I208" s="127" t="s">
        <v>704</v>
      </c>
      <c r="J208" s="127" t="s">
        <v>32</v>
      </c>
      <c r="K208" s="128">
        <v>0.0</v>
      </c>
      <c r="L208" s="156"/>
      <c r="M208" s="156"/>
      <c r="N208" s="156"/>
      <c r="O208" s="151"/>
      <c r="P208" s="150"/>
      <c r="Q208" s="151"/>
      <c r="R208" s="150"/>
      <c r="S208" s="150"/>
      <c r="T208" s="130">
        <v>8.5E9</v>
      </c>
      <c r="U208" s="130">
        <v>7727272.73</v>
      </c>
      <c r="V208" s="131" t="s">
        <v>3650</v>
      </c>
      <c r="W208" s="128">
        <v>4.0</v>
      </c>
      <c r="X208" s="127" t="s">
        <v>1600</v>
      </c>
      <c r="Y208" s="127" t="s">
        <v>2613</v>
      </c>
      <c r="Z208" s="127" t="s">
        <v>32</v>
      </c>
      <c r="AA208" s="127">
        <v>2.0</v>
      </c>
      <c r="AB208" s="127" t="s">
        <v>1602</v>
      </c>
      <c r="AC208" s="127" t="s">
        <v>70</v>
      </c>
      <c r="AD208" s="127"/>
      <c r="AE208" s="127"/>
    </row>
    <row r="209">
      <c r="A209" s="152">
        <v>2083284.0</v>
      </c>
      <c r="B209" s="149" t="s">
        <v>1467</v>
      </c>
      <c r="C209" s="133" t="s">
        <v>75</v>
      </c>
      <c r="D209" s="133" t="s">
        <v>3652</v>
      </c>
      <c r="E209" s="133" t="s">
        <v>3594</v>
      </c>
      <c r="F209" s="133" t="s">
        <v>3575</v>
      </c>
      <c r="H209" s="133" t="s">
        <v>57</v>
      </c>
      <c r="I209" s="133" t="s">
        <v>407</v>
      </c>
      <c r="J209" s="133" t="s">
        <v>408</v>
      </c>
      <c r="K209" s="134">
        <v>0.0</v>
      </c>
      <c r="L209" s="157"/>
      <c r="M209" s="157"/>
      <c r="N209" s="157"/>
      <c r="O209" s="154"/>
      <c r="P209" s="153"/>
      <c r="Q209" s="154"/>
      <c r="R209" s="153"/>
      <c r="S209" s="153"/>
      <c r="T209" s="136">
        <v>4.58E9</v>
      </c>
      <c r="U209" s="136">
        <v>4163636.36</v>
      </c>
      <c r="V209" s="137" t="s">
        <v>3650</v>
      </c>
      <c r="W209" s="134">
        <v>4.0</v>
      </c>
      <c r="X209" s="133" t="s">
        <v>1600</v>
      </c>
      <c r="Y209" s="133" t="s">
        <v>2613</v>
      </c>
      <c r="Z209" s="133" t="s">
        <v>408</v>
      </c>
      <c r="AA209" s="133">
        <v>15.0</v>
      </c>
      <c r="AB209" s="133" t="s">
        <v>1565</v>
      </c>
      <c r="AC209" s="133" t="s">
        <v>70</v>
      </c>
      <c r="AD209" s="133"/>
      <c r="AE209" s="133"/>
    </row>
    <row r="210">
      <c r="A210" s="138" t="s">
        <v>3653</v>
      </c>
      <c r="B210" s="149" t="s">
        <v>1467</v>
      </c>
      <c r="C210" s="127" t="s">
        <v>75</v>
      </c>
      <c r="D210" s="127" t="s">
        <v>3654</v>
      </c>
      <c r="E210" s="127" t="s">
        <v>3594</v>
      </c>
      <c r="F210" s="127" t="s">
        <v>3575</v>
      </c>
      <c r="H210" s="127" t="s">
        <v>57</v>
      </c>
      <c r="I210" s="127" t="s">
        <v>1839</v>
      </c>
      <c r="J210" s="127" t="s">
        <v>1839</v>
      </c>
      <c r="K210" s="128">
        <v>0.0</v>
      </c>
      <c r="L210" s="156"/>
      <c r="M210" s="150"/>
      <c r="N210" s="156"/>
      <c r="O210" s="150"/>
      <c r="P210" s="150"/>
      <c r="Q210" s="151"/>
      <c r="R210" s="150"/>
      <c r="S210" s="150"/>
      <c r="T210" s="130">
        <v>5.0E9</v>
      </c>
      <c r="U210" s="130">
        <v>4545454.55</v>
      </c>
      <c r="V210" s="131" t="s">
        <v>3650</v>
      </c>
      <c r="W210" s="128">
        <v>4.0</v>
      </c>
      <c r="X210" s="127" t="s">
        <v>1600</v>
      </c>
      <c r="Y210" s="127" t="s">
        <v>2613</v>
      </c>
      <c r="Z210" s="127" t="s">
        <v>1839</v>
      </c>
      <c r="AA210" s="127">
        <v>17.0</v>
      </c>
      <c r="AB210" s="127" t="s">
        <v>1602</v>
      </c>
      <c r="AC210" s="127" t="s">
        <v>70</v>
      </c>
      <c r="AD210" s="127"/>
      <c r="AE210" s="127"/>
    </row>
    <row r="211">
      <c r="A211" s="132" t="s">
        <v>3655</v>
      </c>
      <c r="B211" s="149" t="s">
        <v>1467</v>
      </c>
      <c r="C211" s="133" t="s">
        <v>75</v>
      </c>
      <c r="D211" s="133" t="s">
        <v>3657</v>
      </c>
      <c r="E211" s="133" t="s">
        <v>3594</v>
      </c>
      <c r="F211" s="133" t="s">
        <v>3575</v>
      </c>
      <c r="H211" s="133" t="s">
        <v>57</v>
      </c>
      <c r="I211" s="133" t="s">
        <v>416</v>
      </c>
      <c r="J211" s="133" t="s">
        <v>408</v>
      </c>
      <c r="K211" s="134">
        <v>0.0</v>
      </c>
      <c r="L211" s="157"/>
      <c r="M211" s="153"/>
      <c r="N211" s="157"/>
      <c r="O211" s="153"/>
      <c r="P211" s="153"/>
      <c r="Q211" s="154"/>
      <c r="R211" s="153"/>
      <c r="S211" s="153"/>
      <c r="T211" s="136">
        <v>3.25E9</v>
      </c>
      <c r="U211" s="136">
        <v>2954545.45</v>
      </c>
      <c r="V211" s="137" t="s">
        <v>3650</v>
      </c>
      <c r="W211" s="134">
        <v>4.0</v>
      </c>
      <c r="X211" s="133" t="s">
        <v>1600</v>
      </c>
      <c r="Y211" s="133" t="s">
        <v>2613</v>
      </c>
      <c r="Z211" s="133" t="s">
        <v>408</v>
      </c>
      <c r="AA211" s="133">
        <v>15.0</v>
      </c>
      <c r="AB211" s="133" t="s">
        <v>1565</v>
      </c>
      <c r="AC211" s="133" t="s">
        <v>70</v>
      </c>
      <c r="AD211" s="133"/>
      <c r="AE211" s="133"/>
    </row>
    <row r="212">
      <c r="A212" s="155">
        <v>2083039.0</v>
      </c>
      <c r="B212" s="149" t="s">
        <v>1467</v>
      </c>
      <c r="C212" s="127" t="s">
        <v>75</v>
      </c>
      <c r="D212" s="127" t="s">
        <v>3662</v>
      </c>
      <c r="E212" s="127" t="s">
        <v>3594</v>
      </c>
      <c r="F212" s="127" t="s">
        <v>3575</v>
      </c>
      <c r="H212" s="127" t="s">
        <v>57</v>
      </c>
      <c r="I212" s="127" t="s">
        <v>408</v>
      </c>
      <c r="J212" s="127" t="s">
        <v>408</v>
      </c>
      <c r="K212" s="128">
        <v>0.0</v>
      </c>
      <c r="L212" s="156"/>
      <c r="M212" s="150"/>
      <c r="N212" s="156"/>
      <c r="O212" s="150"/>
      <c r="P212" s="150"/>
      <c r="Q212" s="151"/>
      <c r="R212" s="150"/>
      <c r="S212" s="150"/>
      <c r="T212" s="130">
        <v>5.25E9</v>
      </c>
      <c r="U212" s="130">
        <v>4772727.27</v>
      </c>
      <c r="V212" s="131" t="s">
        <v>3650</v>
      </c>
      <c r="W212" s="128">
        <v>4.0</v>
      </c>
      <c r="X212" s="127" t="s">
        <v>1600</v>
      </c>
      <c r="Y212" s="127" t="s">
        <v>2613</v>
      </c>
      <c r="Z212" s="127" t="s">
        <v>408</v>
      </c>
      <c r="AA212" s="127">
        <v>15.0</v>
      </c>
      <c r="AB212" s="127" t="s">
        <v>1602</v>
      </c>
      <c r="AC212" s="127" t="s">
        <v>70</v>
      </c>
      <c r="AD212" s="127"/>
      <c r="AE212" s="127"/>
    </row>
    <row r="213">
      <c r="A213" s="152">
        <v>2083070.0</v>
      </c>
      <c r="B213" s="149" t="s">
        <v>1467</v>
      </c>
      <c r="C213" s="133" t="s">
        <v>75</v>
      </c>
      <c r="D213" s="133" t="s">
        <v>3663</v>
      </c>
      <c r="E213" s="133" t="s">
        <v>3594</v>
      </c>
      <c r="F213" s="133" t="s">
        <v>3575</v>
      </c>
      <c r="H213" s="133" t="s">
        <v>57</v>
      </c>
      <c r="I213" s="133" t="s">
        <v>645</v>
      </c>
      <c r="J213" s="133" t="s">
        <v>408</v>
      </c>
      <c r="K213" s="134">
        <v>0.0</v>
      </c>
      <c r="L213" s="157"/>
      <c r="M213" s="153"/>
      <c r="N213" s="157"/>
      <c r="O213" s="153"/>
      <c r="P213" s="153"/>
      <c r="Q213" s="154"/>
      <c r="R213" s="153"/>
      <c r="S213" s="153"/>
      <c r="T213" s="136">
        <v>5.25E9</v>
      </c>
      <c r="U213" s="136">
        <v>4772727.27</v>
      </c>
      <c r="V213" s="137" t="s">
        <v>3650</v>
      </c>
      <c r="W213" s="134">
        <v>4.0</v>
      </c>
      <c r="X213" s="133" t="s">
        <v>1600</v>
      </c>
      <c r="Y213" s="133" t="s">
        <v>2613</v>
      </c>
      <c r="Z213" s="133" t="s">
        <v>408</v>
      </c>
      <c r="AA213" s="133">
        <v>15.0</v>
      </c>
      <c r="AB213" s="133" t="s">
        <v>1602</v>
      </c>
      <c r="AC213" s="133" t="s">
        <v>70</v>
      </c>
      <c r="AD213" s="133"/>
      <c r="AE213" s="133"/>
    </row>
    <row r="214">
      <c r="A214" s="155">
        <v>2083131.0</v>
      </c>
      <c r="B214" s="149" t="s">
        <v>1467</v>
      </c>
      <c r="C214" s="127" t="s">
        <v>75</v>
      </c>
      <c r="D214" s="127" t="s">
        <v>3664</v>
      </c>
      <c r="E214" s="127" t="s">
        <v>3594</v>
      </c>
      <c r="F214" s="127" t="s">
        <v>3575</v>
      </c>
      <c r="H214" s="127" t="s">
        <v>57</v>
      </c>
      <c r="I214" s="127" t="s">
        <v>494</v>
      </c>
      <c r="J214" s="127" t="s">
        <v>150</v>
      </c>
      <c r="K214" s="128">
        <v>0.0</v>
      </c>
      <c r="L214" s="156"/>
      <c r="M214" s="150"/>
      <c r="N214" s="156"/>
      <c r="O214" s="150"/>
      <c r="P214" s="150"/>
      <c r="Q214" s="151"/>
      <c r="R214" s="150"/>
      <c r="S214" s="150"/>
      <c r="T214" s="130">
        <v>4.33E9</v>
      </c>
      <c r="U214" s="130">
        <v>3936363.64</v>
      </c>
      <c r="V214" s="131" t="s">
        <v>3650</v>
      </c>
      <c r="W214" s="128">
        <v>4.0</v>
      </c>
      <c r="X214" s="127" t="s">
        <v>1600</v>
      </c>
      <c r="Y214" s="127" t="s">
        <v>2613</v>
      </c>
      <c r="Z214" s="127" t="s">
        <v>150</v>
      </c>
      <c r="AA214" s="127">
        <v>20.0</v>
      </c>
      <c r="AB214" s="127" t="s">
        <v>1602</v>
      </c>
      <c r="AC214" s="127" t="s">
        <v>70</v>
      </c>
      <c r="AD214" s="127"/>
      <c r="AE214" s="127"/>
    </row>
    <row r="215">
      <c r="A215" s="132">
        <v>7748.0</v>
      </c>
      <c r="B215" s="149" t="s">
        <v>1467</v>
      </c>
      <c r="C215" s="133" t="s">
        <v>75</v>
      </c>
      <c r="D215" s="133" t="s">
        <v>3665</v>
      </c>
      <c r="E215" s="133" t="s">
        <v>3594</v>
      </c>
      <c r="F215" s="133" t="s">
        <v>3575</v>
      </c>
      <c r="H215" s="133" t="s">
        <v>57</v>
      </c>
      <c r="I215" s="133" t="s">
        <v>151</v>
      </c>
      <c r="J215" s="133" t="s">
        <v>32</v>
      </c>
      <c r="K215" s="134">
        <v>0.0</v>
      </c>
      <c r="L215" s="135">
        <v>45931.0</v>
      </c>
      <c r="M215" s="153"/>
      <c r="N215" s="135">
        <v>46292.0</v>
      </c>
      <c r="O215" s="153"/>
      <c r="P215" s="153"/>
      <c r="Q215" s="154"/>
      <c r="R215" s="153"/>
      <c r="S215" s="153"/>
      <c r="T215" s="136">
        <v>5.1E9</v>
      </c>
      <c r="U215" s="136">
        <v>4636363.64</v>
      </c>
      <c r="V215" s="137" t="s">
        <v>2783</v>
      </c>
      <c r="W215" s="134">
        <v>3.0</v>
      </c>
      <c r="X215" s="133" t="s">
        <v>1600</v>
      </c>
      <c r="Y215" s="133" t="s">
        <v>1601</v>
      </c>
      <c r="Z215" s="133" t="s">
        <v>32</v>
      </c>
      <c r="AA215" s="133">
        <v>2.0</v>
      </c>
      <c r="AB215" s="133" t="s">
        <v>1602</v>
      </c>
      <c r="AC215" s="133" t="s">
        <v>70</v>
      </c>
      <c r="AD215" s="133"/>
      <c r="AE215" s="133"/>
    </row>
    <row r="216">
      <c r="A216" s="155">
        <v>2083223.0</v>
      </c>
      <c r="B216" s="149" t="s">
        <v>1467</v>
      </c>
      <c r="C216" s="127" t="s">
        <v>75</v>
      </c>
      <c r="D216" s="127" t="s">
        <v>3666</v>
      </c>
      <c r="E216" s="127" t="s">
        <v>3594</v>
      </c>
      <c r="F216" s="127" t="s">
        <v>3575</v>
      </c>
      <c r="H216" s="127" t="s">
        <v>57</v>
      </c>
      <c r="I216" s="127" t="s">
        <v>685</v>
      </c>
      <c r="J216" s="127" t="s">
        <v>32</v>
      </c>
      <c r="K216" s="128">
        <v>0.0</v>
      </c>
      <c r="L216" s="156"/>
      <c r="M216" s="150"/>
      <c r="N216" s="156"/>
      <c r="O216" s="150"/>
      <c r="P216" s="150"/>
      <c r="Q216" s="151"/>
      <c r="R216" s="150"/>
      <c r="S216" s="150"/>
      <c r="T216" s="130">
        <v>1.1E10</v>
      </c>
      <c r="U216" s="130">
        <v>1.0E7</v>
      </c>
      <c r="V216" s="131" t="s">
        <v>3650</v>
      </c>
      <c r="W216" s="128">
        <v>4.0</v>
      </c>
      <c r="X216" s="127" t="s">
        <v>1600</v>
      </c>
      <c r="Y216" s="127" t="s">
        <v>2613</v>
      </c>
      <c r="Z216" s="127" t="s">
        <v>32</v>
      </c>
      <c r="AA216" s="127">
        <v>2.0</v>
      </c>
      <c r="AB216" s="127" t="s">
        <v>1602</v>
      </c>
      <c r="AC216" s="127" t="s">
        <v>70</v>
      </c>
      <c r="AD216" s="127"/>
      <c r="AE216" s="127"/>
    </row>
    <row r="217">
      <c r="A217" s="152">
        <v>2083345.0</v>
      </c>
      <c r="B217" s="149" t="s">
        <v>1467</v>
      </c>
      <c r="C217" s="133" t="s">
        <v>75</v>
      </c>
      <c r="D217" s="133" t="s">
        <v>3667</v>
      </c>
      <c r="E217" s="133" t="s">
        <v>3668</v>
      </c>
      <c r="F217" s="133" t="s">
        <v>3669</v>
      </c>
      <c r="G217" s="153"/>
      <c r="H217" s="133" t="s">
        <v>57</v>
      </c>
      <c r="I217" s="133" t="s">
        <v>3670</v>
      </c>
      <c r="J217" s="133" t="s">
        <v>1674</v>
      </c>
      <c r="K217" s="134">
        <v>0.0</v>
      </c>
      <c r="L217" s="157"/>
      <c r="M217" s="153"/>
      <c r="N217" s="157"/>
      <c r="O217" s="153"/>
      <c r="P217" s="153"/>
      <c r="Q217" s="154"/>
      <c r="R217" s="153"/>
      <c r="S217" s="153"/>
      <c r="T217" s="136">
        <v>1.8052944E9</v>
      </c>
      <c r="U217" s="136">
        <v>1641176.73</v>
      </c>
      <c r="V217" s="137" t="s">
        <v>3650</v>
      </c>
      <c r="W217" s="134">
        <v>4.0</v>
      </c>
      <c r="X217" s="133" t="s">
        <v>1600</v>
      </c>
      <c r="Y217" s="133" t="s">
        <v>2613</v>
      </c>
      <c r="Z217" s="133" t="s">
        <v>1674</v>
      </c>
      <c r="AA217" s="133">
        <v>26.0</v>
      </c>
      <c r="AB217" s="133" t="s">
        <v>1602</v>
      </c>
      <c r="AC217" s="133" t="s">
        <v>70</v>
      </c>
      <c r="AD217" s="133"/>
      <c r="AE217" s="133"/>
    </row>
    <row r="218">
      <c r="A218" s="155">
        <v>2083376.0</v>
      </c>
      <c r="B218" s="149" t="s">
        <v>1467</v>
      </c>
      <c r="C218" s="127" t="s">
        <v>75</v>
      </c>
      <c r="D218" s="127" t="s">
        <v>3671</v>
      </c>
      <c r="E218" s="127" t="s">
        <v>3668</v>
      </c>
      <c r="F218" s="127" t="s">
        <v>3669</v>
      </c>
      <c r="G218" s="150"/>
      <c r="H218" s="127" t="s">
        <v>57</v>
      </c>
      <c r="I218" s="127" t="s">
        <v>307</v>
      </c>
      <c r="J218" s="127" t="s">
        <v>101</v>
      </c>
      <c r="K218" s="128">
        <v>0.0</v>
      </c>
      <c r="L218" s="156"/>
      <c r="M218" s="150"/>
      <c r="N218" s="156"/>
      <c r="O218" s="150"/>
      <c r="P218" s="150"/>
      <c r="Q218" s="151"/>
      <c r="R218" s="150"/>
      <c r="S218" s="150"/>
      <c r="T218" s="130">
        <v>1.9489515E9</v>
      </c>
      <c r="U218" s="130">
        <v>1771774.09</v>
      </c>
      <c r="V218" s="131" t="s">
        <v>3650</v>
      </c>
      <c r="W218" s="128">
        <v>4.0</v>
      </c>
      <c r="X218" s="127" t="s">
        <v>147</v>
      </c>
      <c r="Y218" s="127" t="s">
        <v>2613</v>
      </c>
      <c r="Z218" s="127" t="s">
        <v>101</v>
      </c>
      <c r="AA218" s="127">
        <v>10.0</v>
      </c>
      <c r="AB218" s="127" t="s">
        <v>1565</v>
      </c>
      <c r="AC218" s="127" t="s">
        <v>70</v>
      </c>
      <c r="AD218" s="127"/>
      <c r="AE218" s="127"/>
    </row>
    <row r="219">
      <c r="A219" s="152">
        <v>2083405.0</v>
      </c>
      <c r="B219" s="149" t="s">
        <v>1467</v>
      </c>
      <c r="C219" s="133" t="s">
        <v>75</v>
      </c>
      <c r="D219" s="133" t="s">
        <v>3672</v>
      </c>
      <c r="E219" s="133" t="s">
        <v>3668</v>
      </c>
      <c r="F219" s="133" t="s">
        <v>3669</v>
      </c>
      <c r="G219" s="153"/>
      <c r="H219" s="133" t="s">
        <v>57</v>
      </c>
      <c r="I219" s="133" t="s">
        <v>3673</v>
      </c>
      <c r="J219" s="133" t="s">
        <v>161</v>
      </c>
      <c r="K219" s="134">
        <v>0.0</v>
      </c>
      <c r="L219" s="153"/>
      <c r="M219" s="153"/>
      <c r="N219" s="153"/>
      <c r="O219" s="153"/>
      <c r="P219" s="153"/>
      <c r="Q219" s="153"/>
      <c r="R219" s="153"/>
      <c r="S219" s="153"/>
      <c r="T219" s="136">
        <v>1.6121353E9</v>
      </c>
      <c r="U219" s="136">
        <v>1465577.55</v>
      </c>
      <c r="V219" s="137" t="s">
        <v>3650</v>
      </c>
      <c r="W219" s="134">
        <v>4.0</v>
      </c>
      <c r="X219" s="133" t="s">
        <v>1600</v>
      </c>
      <c r="Y219" s="133" t="s">
        <v>2613</v>
      </c>
      <c r="Z219" s="133" t="s">
        <v>161</v>
      </c>
      <c r="AA219" s="133">
        <v>23.0</v>
      </c>
      <c r="AB219" s="133" t="s">
        <v>1602</v>
      </c>
      <c r="AC219" s="133" t="s">
        <v>70</v>
      </c>
      <c r="AD219" s="133"/>
      <c r="AE219" s="133"/>
    </row>
    <row r="220">
      <c r="A220" s="155">
        <v>2083436.0</v>
      </c>
      <c r="B220" s="149" t="s">
        <v>1467</v>
      </c>
      <c r="C220" s="127" t="s">
        <v>75</v>
      </c>
      <c r="D220" s="127" t="s">
        <v>3674</v>
      </c>
      <c r="E220" s="127" t="s">
        <v>3668</v>
      </c>
      <c r="F220" s="127" t="s">
        <v>3669</v>
      </c>
      <c r="G220" s="150"/>
      <c r="H220" s="127" t="s">
        <v>57</v>
      </c>
      <c r="I220" s="127" t="s">
        <v>51</v>
      </c>
      <c r="J220" s="127" t="s">
        <v>1646</v>
      </c>
      <c r="K220" s="128">
        <v>0.0</v>
      </c>
      <c r="L220" s="150"/>
      <c r="M220" s="150"/>
      <c r="N220" s="150"/>
      <c r="O220" s="150"/>
      <c r="P220" s="150"/>
      <c r="Q220" s="150"/>
      <c r="R220" s="150"/>
      <c r="S220" s="150"/>
      <c r="T220" s="130">
        <v>1.9360482E9</v>
      </c>
      <c r="U220" s="130">
        <v>1760043.82</v>
      </c>
      <c r="V220" s="131" t="s">
        <v>3650</v>
      </c>
      <c r="W220" s="128">
        <v>4.0</v>
      </c>
      <c r="X220" s="127" t="s">
        <v>1600</v>
      </c>
      <c r="Y220" s="127" t="s">
        <v>2613</v>
      </c>
      <c r="Z220" s="127" t="s">
        <v>1646</v>
      </c>
      <c r="AA220" s="127">
        <v>14.0</v>
      </c>
      <c r="AB220" s="127" t="s">
        <v>1602</v>
      </c>
      <c r="AC220" s="127" t="s">
        <v>70</v>
      </c>
      <c r="AD220" s="127"/>
      <c r="AE220" s="127"/>
    </row>
    <row r="221">
      <c r="A221" s="152">
        <v>2083466.0</v>
      </c>
      <c r="B221" s="149" t="s">
        <v>1467</v>
      </c>
      <c r="C221" s="133" t="s">
        <v>75</v>
      </c>
      <c r="D221" s="133" t="s">
        <v>3675</v>
      </c>
      <c r="E221" s="133" t="s">
        <v>3668</v>
      </c>
      <c r="F221" s="133" t="s">
        <v>3669</v>
      </c>
      <c r="G221" s="153"/>
      <c r="H221" s="133" t="s">
        <v>57</v>
      </c>
      <c r="I221" s="133" t="s">
        <v>634</v>
      </c>
      <c r="J221" s="133" t="s">
        <v>96</v>
      </c>
      <c r="K221" s="134">
        <v>0.0</v>
      </c>
      <c r="L221" s="153"/>
      <c r="M221" s="153"/>
      <c r="N221" s="153"/>
      <c r="O221" s="153"/>
      <c r="P221" s="153"/>
      <c r="Q221" s="153"/>
      <c r="R221" s="153"/>
      <c r="S221" s="153"/>
      <c r="T221" s="136">
        <v>1.6997998E9</v>
      </c>
      <c r="U221" s="136">
        <v>1545272.55</v>
      </c>
      <c r="V221" s="137" t="s">
        <v>3650</v>
      </c>
      <c r="W221" s="134">
        <v>4.0</v>
      </c>
      <c r="X221" s="133" t="s">
        <v>147</v>
      </c>
      <c r="Y221" s="133" t="s">
        <v>2613</v>
      </c>
      <c r="Z221" s="133" t="s">
        <v>96</v>
      </c>
      <c r="AA221" s="133">
        <v>25.0</v>
      </c>
      <c r="AB221" s="133" t="s">
        <v>1565</v>
      </c>
      <c r="AC221" s="133" t="s">
        <v>70</v>
      </c>
      <c r="AD221" s="133"/>
      <c r="AE221" s="133"/>
    </row>
    <row r="222">
      <c r="A222" s="138">
        <v>6520.0</v>
      </c>
      <c r="B222" s="127" t="s">
        <v>3676</v>
      </c>
      <c r="C222" s="127" t="s">
        <v>75</v>
      </c>
      <c r="D222" s="127" t="s">
        <v>3677</v>
      </c>
      <c r="E222" s="127" t="s">
        <v>3638</v>
      </c>
      <c r="F222" s="127" t="s">
        <v>3575</v>
      </c>
      <c r="H222" s="127" t="s">
        <v>57</v>
      </c>
      <c r="I222" s="127" t="s">
        <v>698</v>
      </c>
      <c r="J222" s="127" t="s">
        <v>1747</v>
      </c>
      <c r="K222" s="128">
        <v>0.0</v>
      </c>
      <c r="L222" s="129">
        <v>45901.0</v>
      </c>
      <c r="M222" s="150"/>
      <c r="N222" s="129">
        <v>46088.0</v>
      </c>
      <c r="O222" s="150"/>
      <c r="P222" s="150"/>
      <c r="Q222" s="150"/>
      <c r="R222" s="150"/>
      <c r="S222" s="150"/>
      <c r="T222" s="130">
        <v>1.290465E9</v>
      </c>
      <c r="U222" s="130">
        <v>1173150.0</v>
      </c>
      <c r="V222" s="131" t="s">
        <v>2799</v>
      </c>
      <c r="W222" s="128">
        <v>3.0</v>
      </c>
      <c r="X222" s="127" t="s">
        <v>1600</v>
      </c>
      <c r="Y222" s="127" t="s">
        <v>1601</v>
      </c>
      <c r="Z222" s="127" t="s">
        <v>1747</v>
      </c>
      <c r="AA222" s="127">
        <v>6.0</v>
      </c>
      <c r="AB222" s="127" t="s">
        <v>1602</v>
      </c>
      <c r="AC222" s="127" t="s">
        <v>70</v>
      </c>
      <c r="AD222" s="127"/>
      <c r="AE222" s="127"/>
    </row>
    <row r="223">
      <c r="A223" s="132">
        <v>7663.0</v>
      </c>
      <c r="B223" s="133" t="s">
        <v>3678</v>
      </c>
      <c r="C223" s="133" t="s">
        <v>75</v>
      </c>
      <c r="D223" s="133" t="s">
        <v>3679</v>
      </c>
      <c r="E223" s="133" t="s">
        <v>3638</v>
      </c>
      <c r="F223" s="133" t="s">
        <v>3575</v>
      </c>
      <c r="H223" s="133" t="s">
        <v>64</v>
      </c>
      <c r="I223" s="133" t="s">
        <v>667</v>
      </c>
      <c r="J223" s="133" t="s">
        <v>2937</v>
      </c>
      <c r="K223" s="134">
        <v>0.0</v>
      </c>
      <c r="L223" s="135">
        <v>45905.0</v>
      </c>
      <c r="M223" s="153"/>
      <c r="N223" s="135">
        <v>46086.0</v>
      </c>
      <c r="O223" s="153"/>
      <c r="P223" s="153"/>
      <c r="Q223" s="153"/>
      <c r="R223" s="153"/>
      <c r="S223" s="153"/>
      <c r="T223" s="136">
        <v>6.7138E8</v>
      </c>
      <c r="U223" s="136">
        <v>610345.45</v>
      </c>
      <c r="V223" s="137" t="s">
        <v>2799</v>
      </c>
      <c r="W223" s="134">
        <v>3.0</v>
      </c>
      <c r="X223" s="133" t="s">
        <v>1600</v>
      </c>
      <c r="Y223" s="133" t="s">
        <v>1601</v>
      </c>
      <c r="Z223" s="133" t="s">
        <v>94</v>
      </c>
      <c r="AA223" s="133">
        <v>8.0</v>
      </c>
      <c r="AB223" s="133" t="s">
        <v>1602</v>
      </c>
      <c r="AC223" s="133" t="s">
        <v>70</v>
      </c>
      <c r="AD223" s="133"/>
      <c r="AE223" s="133"/>
    </row>
    <row r="224">
      <c r="A224" s="138">
        <v>7664.0</v>
      </c>
      <c r="B224" s="127" t="s">
        <v>3680</v>
      </c>
      <c r="C224" s="127" t="s">
        <v>75</v>
      </c>
      <c r="D224" s="127" t="s">
        <v>3681</v>
      </c>
      <c r="E224" s="127" t="s">
        <v>3638</v>
      </c>
      <c r="F224" s="127" t="s">
        <v>3575</v>
      </c>
      <c r="H224" s="127" t="s">
        <v>57</v>
      </c>
      <c r="I224" s="127" t="s">
        <v>443</v>
      </c>
      <c r="J224" s="127" t="s">
        <v>1646</v>
      </c>
      <c r="K224" s="128">
        <v>0.0</v>
      </c>
      <c r="L224" s="129">
        <v>45905.0</v>
      </c>
      <c r="M224" s="150"/>
      <c r="N224" s="129">
        <v>46204.0</v>
      </c>
      <c r="O224" s="150"/>
      <c r="P224" s="150"/>
      <c r="Q224" s="150"/>
      <c r="R224" s="150"/>
      <c r="S224" s="150"/>
      <c r="T224" s="130">
        <v>9.5421233E9</v>
      </c>
      <c r="U224" s="130">
        <v>8674657.55</v>
      </c>
      <c r="V224" s="131" t="s">
        <v>2799</v>
      </c>
      <c r="W224" s="128">
        <v>3.0</v>
      </c>
      <c r="X224" s="127" t="s">
        <v>1600</v>
      </c>
      <c r="Y224" s="127" t="s">
        <v>1601</v>
      </c>
      <c r="Z224" s="127" t="s">
        <v>1646</v>
      </c>
      <c r="AA224" s="127">
        <v>14.0</v>
      </c>
      <c r="AB224" s="127" t="s">
        <v>1602</v>
      </c>
      <c r="AC224" s="127" t="s">
        <v>70</v>
      </c>
      <c r="AD224" s="127"/>
      <c r="AE224" s="127"/>
    </row>
    <row r="225">
      <c r="A225" s="132">
        <v>7665.0</v>
      </c>
      <c r="B225" s="133" t="s">
        <v>3682</v>
      </c>
      <c r="C225" s="133" t="s">
        <v>75</v>
      </c>
      <c r="D225" s="133" t="s">
        <v>3683</v>
      </c>
      <c r="E225" s="133" t="s">
        <v>3638</v>
      </c>
      <c r="F225" s="133" t="s">
        <v>3575</v>
      </c>
      <c r="H225" s="133" t="s">
        <v>64</v>
      </c>
      <c r="I225" s="133" t="s">
        <v>3060</v>
      </c>
      <c r="J225" s="133" t="s">
        <v>1646</v>
      </c>
      <c r="K225" s="134">
        <v>0.0</v>
      </c>
      <c r="L225" s="135">
        <v>45901.0</v>
      </c>
      <c r="M225" s="153"/>
      <c r="N225" s="135">
        <v>46081.0</v>
      </c>
      <c r="O225" s="153"/>
      <c r="P225" s="153"/>
      <c r="Q225" s="153"/>
      <c r="R225" s="153"/>
      <c r="S225" s="153"/>
      <c r="T225" s="136">
        <v>3.3662E8</v>
      </c>
      <c r="U225" s="136">
        <v>306018.18</v>
      </c>
      <c r="V225" s="137" t="s">
        <v>2799</v>
      </c>
      <c r="W225" s="134">
        <v>3.0</v>
      </c>
      <c r="X225" s="133" t="s">
        <v>1600</v>
      </c>
      <c r="Y225" s="133" t="s">
        <v>1601</v>
      </c>
      <c r="Z225" s="133" t="s">
        <v>1646</v>
      </c>
      <c r="AA225" s="133">
        <v>14.0</v>
      </c>
      <c r="AB225" s="133" t="s">
        <v>1602</v>
      </c>
      <c r="AC225" s="133" t="s">
        <v>70</v>
      </c>
      <c r="AD225" s="133"/>
      <c r="AE225" s="133"/>
    </row>
    <row r="226">
      <c r="A226" s="138" t="s">
        <v>3684</v>
      </c>
      <c r="B226" s="127" t="s">
        <v>3685</v>
      </c>
      <c r="C226" s="127" t="s">
        <v>75</v>
      </c>
      <c r="D226" s="127" t="s">
        <v>3686</v>
      </c>
      <c r="E226" s="127" t="s">
        <v>3638</v>
      </c>
      <c r="F226" s="127" t="s">
        <v>3575</v>
      </c>
      <c r="H226" s="127" t="s">
        <v>57</v>
      </c>
      <c r="I226" s="127" t="s">
        <v>391</v>
      </c>
      <c r="J226" s="127" t="s">
        <v>112</v>
      </c>
      <c r="K226" s="128">
        <v>0.0</v>
      </c>
      <c r="L226" s="129">
        <v>45901.0</v>
      </c>
      <c r="M226" s="150"/>
      <c r="N226" s="129">
        <v>46266.0</v>
      </c>
      <c r="O226" s="150"/>
      <c r="P226" s="150"/>
      <c r="Q226" s="150"/>
      <c r="R226" s="150"/>
      <c r="S226" s="150"/>
      <c r="T226" s="130">
        <v>1.69812E9</v>
      </c>
      <c r="U226" s="130">
        <v>1543745.45</v>
      </c>
      <c r="V226" s="131" t="s">
        <v>2598</v>
      </c>
      <c r="W226" s="128">
        <v>3.0</v>
      </c>
      <c r="X226" s="127" t="s">
        <v>92</v>
      </c>
      <c r="Y226" s="127" t="s">
        <v>1601</v>
      </c>
      <c r="Z226" s="127" t="s">
        <v>112</v>
      </c>
      <c r="AA226" s="127">
        <v>12.0</v>
      </c>
      <c r="AB226" s="127" t="s">
        <v>1565</v>
      </c>
      <c r="AC226" s="127" t="s">
        <v>70</v>
      </c>
      <c r="AD226" s="127"/>
      <c r="AE226" s="127"/>
    </row>
    <row r="227">
      <c r="A227" s="132">
        <v>7677.0</v>
      </c>
      <c r="B227" s="133" t="s">
        <v>3687</v>
      </c>
      <c r="C227" s="133" t="s">
        <v>75</v>
      </c>
      <c r="D227" s="133" t="s">
        <v>3688</v>
      </c>
      <c r="E227" s="133" t="s">
        <v>3574</v>
      </c>
      <c r="F227" s="133" t="s">
        <v>3575</v>
      </c>
      <c r="H227" s="133" t="s">
        <v>64</v>
      </c>
      <c r="I227" s="133" t="s">
        <v>175</v>
      </c>
      <c r="J227" s="133" t="s">
        <v>101</v>
      </c>
      <c r="K227" s="134">
        <v>0.0</v>
      </c>
      <c r="L227" s="135">
        <v>45901.0</v>
      </c>
      <c r="M227" s="153"/>
      <c r="N227" s="135">
        <v>46023.0</v>
      </c>
      <c r="O227" s="153"/>
      <c r="P227" s="153"/>
      <c r="Q227" s="153"/>
      <c r="R227" s="153"/>
      <c r="S227" s="153"/>
      <c r="T227" s="136">
        <v>3.18102E8</v>
      </c>
      <c r="U227" s="136">
        <v>289183.64</v>
      </c>
      <c r="V227" s="137" t="s">
        <v>2799</v>
      </c>
      <c r="W227" s="134">
        <v>3.0</v>
      </c>
      <c r="X227" s="133" t="s">
        <v>147</v>
      </c>
      <c r="Y227" s="133" t="s">
        <v>1601</v>
      </c>
      <c r="Z227" s="133" t="s">
        <v>101</v>
      </c>
      <c r="AA227" s="133">
        <v>10.0</v>
      </c>
      <c r="AB227" s="133" t="s">
        <v>1565</v>
      </c>
      <c r="AC227" s="133" t="s">
        <v>70</v>
      </c>
      <c r="AD227" s="133"/>
      <c r="AE227" s="133"/>
    </row>
    <row r="228">
      <c r="A228" s="155">
        <v>2082281.0</v>
      </c>
      <c r="B228" s="149" t="s">
        <v>1467</v>
      </c>
      <c r="C228" s="127" t="s">
        <v>75</v>
      </c>
      <c r="D228" s="127" t="s">
        <v>3689</v>
      </c>
      <c r="E228" s="127" t="s">
        <v>3638</v>
      </c>
      <c r="F228" s="127" t="s">
        <v>3575</v>
      </c>
      <c r="H228" s="127" t="s">
        <v>57</v>
      </c>
      <c r="I228" s="127" t="s">
        <v>118</v>
      </c>
      <c r="J228" s="127" t="s">
        <v>39</v>
      </c>
      <c r="K228" s="128">
        <v>0.0</v>
      </c>
      <c r="L228" s="129">
        <v>45962.0</v>
      </c>
      <c r="M228" s="150"/>
      <c r="N228" s="129">
        <v>46327.0</v>
      </c>
      <c r="O228" s="150"/>
      <c r="P228" s="150"/>
      <c r="Q228" s="150"/>
      <c r="R228" s="150"/>
      <c r="S228" s="150"/>
      <c r="T228" s="130">
        <v>2.904E9</v>
      </c>
      <c r="U228" s="130">
        <v>2640000.0</v>
      </c>
      <c r="V228" s="131" t="s">
        <v>50</v>
      </c>
      <c r="W228" s="128">
        <v>4.0</v>
      </c>
      <c r="X228" s="127" t="s">
        <v>147</v>
      </c>
      <c r="Y228" s="127" t="s">
        <v>2755</v>
      </c>
      <c r="Z228" s="127" t="s">
        <v>39</v>
      </c>
      <c r="AA228" s="127">
        <v>4.0</v>
      </c>
      <c r="AB228" s="127" t="s">
        <v>1565</v>
      </c>
      <c r="AC228" s="127" t="s">
        <v>70</v>
      </c>
      <c r="AD228" s="127"/>
      <c r="AE228" s="127"/>
    </row>
    <row r="229">
      <c r="A229" s="152">
        <v>2082340.0</v>
      </c>
      <c r="B229" s="149" t="s">
        <v>1467</v>
      </c>
      <c r="C229" s="133" t="s">
        <v>75</v>
      </c>
      <c r="D229" s="133" t="s">
        <v>3690</v>
      </c>
      <c r="E229" s="133" t="s">
        <v>3638</v>
      </c>
      <c r="F229" s="133" t="s">
        <v>3575</v>
      </c>
      <c r="H229" s="133" t="s">
        <v>57</v>
      </c>
      <c r="I229" s="133" t="s">
        <v>39</v>
      </c>
      <c r="J229" s="133" t="s">
        <v>39</v>
      </c>
      <c r="K229" s="134">
        <v>0.0</v>
      </c>
      <c r="L229" s="135">
        <v>45991.0</v>
      </c>
      <c r="M229" s="153"/>
      <c r="N229" s="135">
        <v>46356.0</v>
      </c>
      <c r="O229" s="153"/>
      <c r="P229" s="153"/>
      <c r="Q229" s="153"/>
      <c r="R229" s="153"/>
      <c r="S229" s="153"/>
      <c r="T229" s="136">
        <v>9.988E9</v>
      </c>
      <c r="U229" s="136">
        <v>9080000.0</v>
      </c>
      <c r="V229" s="137" t="s">
        <v>50</v>
      </c>
      <c r="W229" s="134">
        <v>4.0</v>
      </c>
      <c r="X229" s="133" t="s">
        <v>147</v>
      </c>
      <c r="Y229" s="133" t="s">
        <v>2755</v>
      </c>
      <c r="Z229" s="133" t="s">
        <v>39</v>
      </c>
      <c r="AA229" s="133">
        <v>4.0</v>
      </c>
      <c r="AB229" s="133" t="s">
        <v>1565</v>
      </c>
      <c r="AC229" s="133" t="s">
        <v>70</v>
      </c>
      <c r="AD229" s="133"/>
      <c r="AE229" s="133"/>
    </row>
    <row r="230">
      <c r="A230" s="155">
        <v>2082401.0</v>
      </c>
      <c r="B230" s="149" t="s">
        <v>1467</v>
      </c>
      <c r="C230" s="127" t="s">
        <v>75</v>
      </c>
      <c r="D230" s="127" t="s">
        <v>3691</v>
      </c>
      <c r="E230" s="127" t="s">
        <v>3638</v>
      </c>
      <c r="F230" s="127" t="s">
        <v>3575</v>
      </c>
      <c r="H230" s="127" t="s">
        <v>57</v>
      </c>
      <c r="I230" s="127" t="s">
        <v>310</v>
      </c>
      <c r="J230" s="127" t="s">
        <v>107</v>
      </c>
      <c r="K230" s="128">
        <v>0.0</v>
      </c>
      <c r="L230" s="129">
        <v>45962.0</v>
      </c>
      <c r="M230" s="150"/>
      <c r="N230" s="129">
        <v>46327.0</v>
      </c>
      <c r="O230" s="150"/>
      <c r="P230" s="150"/>
      <c r="Q230" s="150"/>
      <c r="R230" s="150"/>
      <c r="S230" s="150"/>
      <c r="T230" s="130">
        <v>5.8872E8</v>
      </c>
      <c r="U230" s="130">
        <v>535200.0</v>
      </c>
      <c r="V230" s="131" t="s">
        <v>50</v>
      </c>
      <c r="W230" s="128">
        <v>4.0</v>
      </c>
      <c r="X230" s="127" t="s">
        <v>147</v>
      </c>
      <c r="Y230" s="127" t="s">
        <v>2755</v>
      </c>
      <c r="Z230" s="127" t="s">
        <v>107</v>
      </c>
      <c r="AA230" s="127">
        <v>19.0</v>
      </c>
      <c r="AB230" s="127" t="s">
        <v>1565</v>
      </c>
      <c r="AC230" s="127" t="s">
        <v>70</v>
      </c>
      <c r="AD230" s="127"/>
      <c r="AE230" s="127"/>
    </row>
    <row r="231">
      <c r="A231" s="152">
        <v>2082431.0</v>
      </c>
      <c r="B231" s="149" t="s">
        <v>1467</v>
      </c>
      <c r="C231" s="133" t="s">
        <v>75</v>
      </c>
      <c r="D231" s="133" t="s">
        <v>3692</v>
      </c>
      <c r="E231" s="133" t="s">
        <v>3638</v>
      </c>
      <c r="F231" s="133" t="s">
        <v>3575</v>
      </c>
      <c r="H231" s="133" t="s">
        <v>57</v>
      </c>
      <c r="I231" s="133" t="s">
        <v>53</v>
      </c>
      <c r="J231" s="133" t="s">
        <v>39</v>
      </c>
      <c r="K231" s="134">
        <v>0.0</v>
      </c>
      <c r="L231" s="135">
        <v>45962.0</v>
      </c>
      <c r="M231" s="153"/>
      <c r="N231" s="135">
        <v>46327.0</v>
      </c>
      <c r="O231" s="153"/>
      <c r="P231" s="153"/>
      <c r="Q231" s="153"/>
      <c r="R231" s="153"/>
      <c r="S231" s="153"/>
      <c r="T231" s="136">
        <v>5.73232E9</v>
      </c>
      <c r="U231" s="136">
        <v>5211200.0</v>
      </c>
      <c r="V231" s="137" t="s">
        <v>50</v>
      </c>
      <c r="W231" s="134">
        <v>4.0</v>
      </c>
      <c r="X231" s="133" t="s">
        <v>147</v>
      </c>
      <c r="Y231" s="133" t="s">
        <v>2755</v>
      </c>
      <c r="Z231" s="133" t="s">
        <v>39</v>
      </c>
      <c r="AA231" s="133">
        <v>4.0</v>
      </c>
      <c r="AB231" s="133" t="s">
        <v>1565</v>
      </c>
      <c r="AC231" s="133" t="s">
        <v>70</v>
      </c>
      <c r="AD231" s="133"/>
      <c r="AE231" s="133"/>
    </row>
    <row r="232">
      <c r="A232" s="155">
        <v>2082462.0</v>
      </c>
      <c r="B232" s="149" t="s">
        <v>1467</v>
      </c>
      <c r="C232" s="127" t="s">
        <v>75</v>
      </c>
      <c r="D232" s="127" t="s">
        <v>3693</v>
      </c>
      <c r="E232" s="127" t="s">
        <v>3638</v>
      </c>
      <c r="F232" s="127" t="s">
        <v>3575</v>
      </c>
      <c r="H232" s="127" t="s">
        <v>57</v>
      </c>
      <c r="I232" s="127" t="s">
        <v>53</v>
      </c>
      <c r="J232" s="127" t="s">
        <v>39</v>
      </c>
      <c r="K232" s="128">
        <v>0.0</v>
      </c>
      <c r="L232" s="129">
        <v>45962.0</v>
      </c>
      <c r="M232" s="150"/>
      <c r="N232" s="129">
        <v>46327.0</v>
      </c>
      <c r="O232" s="150"/>
      <c r="P232" s="150"/>
      <c r="Q232" s="150"/>
      <c r="R232" s="150"/>
      <c r="S232" s="150"/>
      <c r="T232" s="130">
        <v>2.0746E9</v>
      </c>
      <c r="U232" s="130">
        <v>1886000.0</v>
      </c>
      <c r="V232" s="131" t="s">
        <v>50</v>
      </c>
      <c r="W232" s="128">
        <v>4.0</v>
      </c>
      <c r="X232" s="127" t="s">
        <v>147</v>
      </c>
      <c r="Y232" s="127" t="s">
        <v>2755</v>
      </c>
      <c r="Z232" s="127" t="s">
        <v>39</v>
      </c>
      <c r="AA232" s="127">
        <v>4.0</v>
      </c>
      <c r="AB232" s="127" t="s">
        <v>1565</v>
      </c>
      <c r="AC232" s="127" t="s">
        <v>70</v>
      </c>
      <c r="AD232" s="127"/>
      <c r="AE232" s="127"/>
    </row>
    <row r="233">
      <c r="A233" s="132" t="s">
        <v>3694</v>
      </c>
      <c r="B233" s="149" t="s">
        <v>1467</v>
      </c>
      <c r="C233" s="133" t="s">
        <v>75</v>
      </c>
      <c r="D233" s="133" t="s">
        <v>3695</v>
      </c>
      <c r="E233" s="133" t="s">
        <v>3594</v>
      </c>
      <c r="F233" s="133" t="s">
        <v>3575</v>
      </c>
      <c r="H233" s="133" t="s">
        <v>57</v>
      </c>
      <c r="I233" s="133" t="s">
        <v>390</v>
      </c>
      <c r="J233" s="133" t="s">
        <v>1702</v>
      </c>
      <c r="K233" s="134">
        <v>0.0</v>
      </c>
      <c r="L233" s="153"/>
      <c r="M233" s="153"/>
      <c r="N233" s="153"/>
      <c r="O233" s="153"/>
      <c r="P233" s="153"/>
      <c r="Q233" s="153"/>
      <c r="R233" s="153"/>
      <c r="S233" s="153"/>
      <c r="T233" s="136">
        <v>5.67E9</v>
      </c>
      <c r="U233" s="136">
        <v>5154545.45</v>
      </c>
      <c r="V233" s="137" t="s">
        <v>3650</v>
      </c>
      <c r="W233" s="134">
        <v>4.0</v>
      </c>
      <c r="X233" s="133" t="s">
        <v>1600</v>
      </c>
      <c r="Y233" s="133" t="s">
        <v>2613</v>
      </c>
      <c r="Z233" s="133" t="s">
        <v>1702</v>
      </c>
      <c r="AA233" s="133">
        <v>21.0</v>
      </c>
      <c r="AB233" s="133" t="s">
        <v>1602</v>
      </c>
      <c r="AC233" s="133" t="s">
        <v>70</v>
      </c>
      <c r="AD233" s="133"/>
      <c r="AE233" s="133"/>
    </row>
    <row r="234">
      <c r="A234" s="138" t="s">
        <v>3696</v>
      </c>
      <c r="B234" s="127" t="s">
        <v>3697</v>
      </c>
      <c r="C234" s="127" t="s">
        <v>75</v>
      </c>
      <c r="D234" s="127" t="s">
        <v>3698</v>
      </c>
      <c r="E234" s="127" t="s">
        <v>3574</v>
      </c>
      <c r="F234" s="127" t="s">
        <v>3575</v>
      </c>
      <c r="H234" s="127" t="s">
        <v>76</v>
      </c>
      <c r="I234" s="127" t="s">
        <v>677</v>
      </c>
      <c r="J234" s="127" t="s">
        <v>120</v>
      </c>
      <c r="K234" s="128">
        <v>0.0</v>
      </c>
      <c r="L234" s="129">
        <v>45839.0</v>
      </c>
      <c r="M234" s="150"/>
      <c r="N234" s="129">
        <v>46114.0</v>
      </c>
      <c r="O234" s="150"/>
      <c r="P234" s="150"/>
      <c r="Q234" s="150"/>
      <c r="R234" s="150"/>
      <c r="S234" s="150"/>
      <c r="T234" s="130">
        <v>5.289E9</v>
      </c>
      <c r="U234" s="130">
        <v>4808181.82</v>
      </c>
      <c r="V234" s="131" t="s">
        <v>2799</v>
      </c>
      <c r="W234" s="128">
        <v>2.0</v>
      </c>
      <c r="X234" s="127" t="s">
        <v>1600</v>
      </c>
      <c r="Y234" s="127" t="s">
        <v>1601</v>
      </c>
      <c r="Z234" s="127" t="s">
        <v>120</v>
      </c>
      <c r="AA234" s="127">
        <v>26.0</v>
      </c>
      <c r="AB234" s="127" t="s">
        <v>1602</v>
      </c>
      <c r="AC234" s="127" t="s">
        <v>70</v>
      </c>
      <c r="AD234" s="127"/>
      <c r="AE234" s="127"/>
    </row>
    <row r="235">
      <c r="A235" s="152">
        <v>2105991.0</v>
      </c>
      <c r="B235" s="133" t="s">
        <v>3699</v>
      </c>
      <c r="C235" s="133" t="s">
        <v>75</v>
      </c>
      <c r="D235" s="133" t="s">
        <v>3700</v>
      </c>
      <c r="E235" s="133" t="s">
        <v>3574</v>
      </c>
      <c r="F235" s="133" t="s">
        <v>3575</v>
      </c>
      <c r="H235" s="133" t="s">
        <v>76</v>
      </c>
      <c r="I235" s="133" t="s">
        <v>39</v>
      </c>
      <c r="J235" s="133" t="s">
        <v>39</v>
      </c>
      <c r="K235" s="134">
        <v>0.0</v>
      </c>
      <c r="L235" s="135">
        <v>45809.0</v>
      </c>
      <c r="M235" s="153"/>
      <c r="N235" s="135">
        <v>46169.0</v>
      </c>
      <c r="O235" s="153"/>
      <c r="P235" s="153"/>
      <c r="Q235" s="153"/>
      <c r="R235" s="153"/>
      <c r="S235" s="153"/>
      <c r="T235" s="136">
        <v>4.7997801E9</v>
      </c>
      <c r="U235" s="136">
        <v>4363436.45</v>
      </c>
      <c r="V235" s="137" t="s">
        <v>2799</v>
      </c>
      <c r="W235" s="134">
        <v>2.0</v>
      </c>
      <c r="X235" s="133" t="s">
        <v>147</v>
      </c>
      <c r="Y235" s="133" t="s">
        <v>1601</v>
      </c>
      <c r="Z235" s="133" t="s">
        <v>39</v>
      </c>
      <c r="AA235" s="133">
        <v>4.0</v>
      </c>
      <c r="AB235" s="133" t="s">
        <v>1565</v>
      </c>
      <c r="AC235" s="133" t="s">
        <v>70</v>
      </c>
      <c r="AD235" s="133"/>
      <c r="AE235" s="133"/>
    </row>
    <row r="236">
      <c r="A236" s="155">
        <v>2106022.0</v>
      </c>
      <c r="B236" s="127" t="s">
        <v>3701</v>
      </c>
      <c r="C236" s="127" t="s">
        <v>75</v>
      </c>
      <c r="D236" s="127" t="s">
        <v>3702</v>
      </c>
      <c r="E236" s="127" t="s">
        <v>3574</v>
      </c>
      <c r="F236" s="127" t="s">
        <v>3575</v>
      </c>
      <c r="H236" s="127" t="s">
        <v>57</v>
      </c>
      <c r="I236" s="127" t="s">
        <v>39</v>
      </c>
      <c r="J236" s="127" t="s">
        <v>39</v>
      </c>
      <c r="K236" s="128">
        <v>0.0</v>
      </c>
      <c r="L236" s="129">
        <v>45901.0</v>
      </c>
      <c r="M236" s="150"/>
      <c r="N236" s="129">
        <v>46261.0</v>
      </c>
      <c r="O236" s="150"/>
      <c r="P236" s="150"/>
      <c r="Q236" s="150"/>
      <c r="R236" s="150"/>
      <c r="S236" s="150"/>
      <c r="T236" s="130">
        <v>6.0E9</v>
      </c>
      <c r="U236" s="130">
        <v>5454545.45</v>
      </c>
      <c r="V236" s="131" t="s">
        <v>2799</v>
      </c>
      <c r="W236" s="128">
        <v>3.0</v>
      </c>
      <c r="X236" s="127" t="s">
        <v>147</v>
      </c>
      <c r="Y236" s="127" t="s">
        <v>1601</v>
      </c>
      <c r="Z236" s="127" t="s">
        <v>39</v>
      </c>
      <c r="AA236" s="127">
        <v>4.0</v>
      </c>
      <c r="AB236" s="127" t="s">
        <v>1565</v>
      </c>
      <c r="AC236" s="127" t="s">
        <v>70</v>
      </c>
      <c r="AD236" s="127"/>
      <c r="AE236" s="127"/>
    </row>
    <row r="237">
      <c r="A237" s="132">
        <v>7766.0</v>
      </c>
      <c r="B237" s="133" t="s">
        <v>3703</v>
      </c>
      <c r="C237" s="133" t="s">
        <v>75</v>
      </c>
      <c r="D237" s="133" t="s">
        <v>3704</v>
      </c>
      <c r="E237" s="133" t="s">
        <v>3574</v>
      </c>
      <c r="F237" s="133" t="s">
        <v>3575</v>
      </c>
      <c r="H237" s="133" t="s">
        <v>64</v>
      </c>
      <c r="I237" s="133" t="s">
        <v>3705</v>
      </c>
      <c r="J237" s="133" t="s">
        <v>1664</v>
      </c>
      <c r="K237" s="134">
        <v>0.0</v>
      </c>
      <c r="L237" s="135">
        <v>45901.0</v>
      </c>
      <c r="M237" s="153"/>
      <c r="N237" s="135">
        <v>46020.0</v>
      </c>
      <c r="O237" s="153"/>
      <c r="P237" s="153"/>
      <c r="Q237" s="153"/>
      <c r="R237" s="153"/>
      <c r="S237" s="153"/>
      <c r="T237" s="136">
        <v>4.6122E8</v>
      </c>
      <c r="U237" s="136">
        <v>419290.91</v>
      </c>
      <c r="V237" s="137" t="s">
        <v>2783</v>
      </c>
      <c r="W237" s="134">
        <v>3.0</v>
      </c>
      <c r="X237" s="133" t="s">
        <v>1600</v>
      </c>
      <c r="Y237" s="133" t="s">
        <v>1601</v>
      </c>
      <c r="Z237" s="133" t="s">
        <v>1664</v>
      </c>
      <c r="AA237" s="133">
        <v>3.0</v>
      </c>
      <c r="AB237" s="133" t="s">
        <v>1602</v>
      </c>
      <c r="AC237" s="133" t="s">
        <v>70</v>
      </c>
      <c r="AD237" s="133"/>
      <c r="AE237" s="133"/>
    </row>
    <row r="238">
      <c r="A238" s="138">
        <v>7781.0</v>
      </c>
      <c r="B238" s="127" t="s">
        <v>57</v>
      </c>
      <c r="C238" s="127" t="s">
        <v>75</v>
      </c>
      <c r="D238" s="127" t="s">
        <v>3706</v>
      </c>
      <c r="E238" s="127" t="s">
        <v>3574</v>
      </c>
      <c r="F238" s="127" t="s">
        <v>3575</v>
      </c>
      <c r="H238" s="127" t="s">
        <v>64</v>
      </c>
      <c r="I238" s="127" t="s">
        <v>2215</v>
      </c>
      <c r="J238" s="127" t="s">
        <v>1664</v>
      </c>
      <c r="K238" s="128">
        <v>0.0</v>
      </c>
      <c r="L238" s="129">
        <v>45910.0</v>
      </c>
      <c r="M238" s="150"/>
      <c r="N238" s="129">
        <v>45686.0</v>
      </c>
      <c r="O238" s="150"/>
      <c r="P238" s="150"/>
      <c r="Q238" s="150"/>
      <c r="R238" s="150"/>
      <c r="S238" s="150"/>
      <c r="T238" s="130">
        <v>6.56E8</v>
      </c>
      <c r="U238" s="130">
        <v>596363.64</v>
      </c>
      <c r="V238" s="131" t="s">
        <v>2783</v>
      </c>
      <c r="W238" s="128">
        <v>3.0</v>
      </c>
      <c r="X238" s="127" t="s">
        <v>1600</v>
      </c>
      <c r="Y238" s="127" t="s">
        <v>1601</v>
      </c>
      <c r="Z238" s="127" t="s">
        <v>1664</v>
      </c>
      <c r="AA238" s="127">
        <v>3.0</v>
      </c>
      <c r="AB238" s="127" t="s">
        <v>1602</v>
      </c>
      <c r="AC238" s="127" t="s">
        <v>70</v>
      </c>
      <c r="AD238" s="127"/>
      <c r="AE238" s="127"/>
    </row>
    <row r="239">
      <c r="A239" s="132" t="s">
        <v>3707</v>
      </c>
      <c r="B239" s="149" t="s">
        <v>1467</v>
      </c>
      <c r="C239" s="133" t="s">
        <v>75</v>
      </c>
      <c r="D239" s="133" t="s">
        <v>3708</v>
      </c>
      <c r="E239" s="133" t="s">
        <v>3638</v>
      </c>
      <c r="F239" s="133" t="s">
        <v>3575</v>
      </c>
      <c r="H239" s="133" t="s">
        <v>57</v>
      </c>
      <c r="I239" s="133" t="s">
        <v>167</v>
      </c>
      <c r="J239" s="133" t="s">
        <v>61</v>
      </c>
      <c r="K239" s="134">
        <v>0.0</v>
      </c>
      <c r="L239" s="135">
        <v>45990.0</v>
      </c>
      <c r="M239" s="153"/>
      <c r="N239" s="135">
        <v>46355.0</v>
      </c>
      <c r="O239" s="153"/>
      <c r="P239" s="153"/>
      <c r="Q239" s="153"/>
      <c r="R239" s="153"/>
      <c r="S239" s="153"/>
      <c r="T239" s="136">
        <v>1.187E9</v>
      </c>
      <c r="U239" s="136">
        <v>1079090.91</v>
      </c>
      <c r="V239" s="137" t="s">
        <v>50</v>
      </c>
      <c r="W239" s="134">
        <v>4.0</v>
      </c>
      <c r="X239" s="133" t="s">
        <v>147</v>
      </c>
      <c r="Y239" s="133" t="s">
        <v>2755</v>
      </c>
      <c r="Z239" s="133" t="s">
        <v>140</v>
      </c>
      <c r="AA239" s="133">
        <v>7.0</v>
      </c>
      <c r="AB239" s="133" t="s">
        <v>1565</v>
      </c>
      <c r="AC239" s="133" t="s">
        <v>70</v>
      </c>
      <c r="AD239" s="133"/>
      <c r="AE239" s="133"/>
    </row>
    <row r="240">
      <c r="A240" s="138">
        <v>7747.0</v>
      </c>
      <c r="B240" s="127" t="s">
        <v>3709</v>
      </c>
      <c r="C240" s="127" t="s">
        <v>75</v>
      </c>
      <c r="D240" s="127" t="s">
        <v>3710</v>
      </c>
      <c r="E240" s="127" t="s">
        <v>3574</v>
      </c>
      <c r="F240" s="180" t="s">
        <v>3575</v>
      </c>
      <c r="G240" s="181"/>
      <c r="H240" s="127" t="s">
        <v>76</v>
      </c>
      <c r="I240" s="127" t="s">
        <v>167</v>
      </c>
      <c r="J240" s="127" t="s">
        <v>61</v>
      </c>
      <c r="K240" s="128">
        <v>0.0</v>
      </c>
      <c r="L240" s="129">
        <v>45929.0</v>
      </c>
      <c r="M240" s="150"/>
      <c r="N240" s="129">
        <v>46270.0</v>
      </c>
      <c r="O240" s="150"/>
      <c r="P240" s="150"/>
      <c r="Q240" s="150"/>
      <c r="R240" s="150"/>
      <c r="S240" s="150"/>
      <c r="T240" s="130">
        <v>6.74414E9</v>
      </c>
      <c r="U240" s="130">
        <v>6131036.36</v>
      </c>
      <c r="V240" s="131" t="s">
        <v>2783</v>
      </c>
      <c r="W240" s="128">
        <v>2.0</v>
      </c>
      <c r="X240" s="127" t="s">
        <v>147</v>
      </c>
      <c r="Y240" s="127" t="s">
        <v>1601</v>
      </c>
      <c r="Z240" s="127" t="s">
        <v>140</v>
      </c>
      <c r="AA240" s="127">
        <v>7.0</v>
      </c>
      <c r="AB240" s="127" t="s">
        <v>1565</v>
      </c>
      <c r="AC240" s="127" t="s">
        <v>70</v>
      </c>
      <c r="AD240" s="127"/>
      <c r="AE240" s="127"/>
    </row>
    <row r="241">
      <c r="A241" s="132">
        <v>7740.0</v>
      </c>
      <c r="B241" s="133" t="s">
        <v>3711</v>
      </c>
      <c r="C241" s="133" t="s">
        <v>75</v>
      </c>
      <c r="D241" s="133" t="s">
        <v>3712</v>
      </c>
      <c r="E241" s="133" t="s">
        <v>3638</v>
      </c>
      <c r="F241" s="133" t="s">
        <v>3575</v>
      </c>
      <c r="H241" s="133" t="s">
        <v>76</v>
      </c>
      <c r="I241" s="133" t="s">
        <v>443</v>
      </c>
      <c r="J241" s="133" t="s">
        <v>99</v>
      </c>
      <c r="K241" s="134">
        <v>0.0</v>
      </c>
      <c r="L241" s="135">
        <v>45910.0</v>
      </c>
      <c r="M241" s="153"/>
      <c r="N241" s="135">
        <v>46152.0</v>
      </c>
      <c r="O241" s="153"/>
      <c r="P241" s="153"/>
      <c r="Q241" s="153"/>
      <c r="R241" s="153"/>
      <c r="S241" s="153"/>
      <c r="T241" s="136">
        <v>1.498E9</v>
      </c>
      <c r="U241" s="136">
        <v>1361818.18</v>
      </c>
      <c r="V241" s="137" t="s">
        <v>2598</v>
      </c>
      <c r="W241" s="134">
        <v>2.0</v>
      </c>
      <c r="X241" s="133" t="s">
        <v>1600</v>
      </c>
      <c r="Y241" s="133" t="s">
        <v>1601</v>
      </c>
      <c r="Z241" s="133" t="s">
        <v>1683</v>
      </c>
      <c r="AA241" s="133">
        <v>9.0</v>
      </c>
      <c r="AB241" s="133" t="s">
        <v>1602</v>
      </c>
      <c r="AC241" s="133" t="s">
        <v>70</v>
      </c>
    </row>
    <row r="242">
      <c r="A242" s="138">
        <v>7742.0</v>
      </c>
      <c r="B242" s="127" t="s">
        <v>3713</v>
      </c>
      <c r="C242" s="127" t="s">
        <v>75</v>
      </c>
      <c r="D242" s="127" t="s">
        <v>3714</v>
      </c>
      <c r="E242" s="127" t="s">
        <v>3638</v>
      </c>
      <c r="F242" s="127" t="s">
        <v>3575</v>
      </c>
      <c r="H242" s="127" t="s">
        <v>76</v>
      </c>
      <c r="I242" s="127" t="s">
        <v>443</v>
      </c>
      <c r="J242" s="127" t="s">
        <v>1747</v>
      </c>
      <c r="K242" s="128">
        <v>0.0</v>
      </c>
      <c r="L242" s="129">
        <v>45910.0</v>
      </c>
      <c r="M242" s="150"/>
      <c r="N242" s="129">
        <v>46152.0</v>
      </c>
      <c r="O242" s="150"/>
      <c r="P242" s="150"/>
      <c r="Q242" s="150"/>
      <c r="R242" s="150"/>
      <c r="S242" s="150"/>
      <c r="T242" s="130">
        <v>1.505E9</v>
      </c>
      <c r="U242" s="130">
        <v>1368181.82</v>
      </c>
      <c r="V242" s="131" t="s">
        <v>2598</v>
      </c>
      <c r="W242" s="128">
        <v>2.0</v>
      </c>
      <c r="X242" s="127" t="s">
        <v>1600</v>
      </c>
      <c r="Y242" s="127" t="s">
        <v>1601</v>
      </c>
      <c r="Z242" s="127" t="s">
        <v>1747</v>
      </c>
      <c r="AA242" s="127">
        <v>6.0</v>
      </c>
      <c r="AB242" s="127" t="s">
        <v>1602</v>
      </c>
      <c r="AC242" s="127" t="s">
        <v>70</v>
      </c>
    </row>
    <row r="243">
      <c r="A243" s="132">
        <v>7741.0</v>
      </c>
      <c r="B243" s="133" t="s">
        <v>3715</v>
      </c>
      <c r="C243" s="133" t="s">
        <v>75</v>
      </c>
      <c r="D243" s="133" t="s">
        <v>3716</v>
      </c>
      <c r="E243" s="133" t="s">
        <v>3638</v>
      </c>
      <c r="F243" s="133" t="s">
        <v>3575</v>
      </c>
      <c r="H243" s="133" t="s">
        <v>57</v>
      </c>
      <c r="I243" s="133" t="s">
        <v>481</v>
      </c>
      <c r="J243" s="133" t="s">
        <v>2937</v>
      </c>
      <c r="K243" s="134">
        <v>0.0</v>
      </c>
      <c r="L243" s="135">
        <v>45910.0</v>
      </c>
      <c r="M243" s="153"/>
      <c r="N243" s="135">
        <v>46152.0</v>
      </c>
      <c r="O243" s="153"/>
      <c r="P243" s="153"/>
      <c r="Q243" s="153"/>
      <c r="R243" s="153"/>
      <c r="S243" s="153"/>
      <c r="T243" s="136">
        <v>1.31E9</v>
      </c>
      <c r="U243" s="136">
        <v>1190909.09</v>
      </c>
      <c r="V243" s="137" t="s">
        <v>2598</v>
      </c>
      <c r="W243" s="134">
        <v>3.0</v>
      </c>
      <c r="X243" s="133" t="s">
        <v>1600</v>
      </c>
      <c r="Y243" s="133" t="s">
        <v>1601</v>
      </c>
      <c r="Z243" s="133" t="s">
        <v>94</v>
      </c>
      <c r="AA243" s="133">
        <v>8.0</v>
      </c>
      <c r="AB243" s="133" t="s">
        <v>1602</v>
      </c>
      <c r="AC243" s="133" t="s">
        <v>70</v>
      </c>
    </row>
    <row r="244">
      <c r="A244" s="138" t="s">
        <v>3717</v>
      </c>
      <c r="B244" s="127" t="s">
        <v>3718</v>
      </c>
      <c r="C244" s="127" t="s">
        <v>75</v>
      </c>
      <c r="D244" s="127" t="s">
        <v>3719</v>
      </c>
      <c r="E244" s="127" t="s">
        <v>3638</v>
      </c>
      <c r="F244" s="127" t="s">
        <v>3575</v>
      </c>
      <c r="H244" s="127" t="s">
        <v>57</v>
      </c>
      <c r="I244" s="127" t="s">
        <v>1986</v>
      </c>
      <c r="J244" s="127" t="s">
        <v>58</v>
      </c>
      <c r="K244" s="128">
        <v>0.0</v>
      </c>
      <c r="L244" s="129">
        <v>45814.0</v>
      </c>
      <c r="M244" s="150"/>
      <c r="N244" s="129">
        <v>46037.0</v>
      </c>
      <c r="O244" s="150"/>
      <c r="P244" s="150"/>
      <c r="Q244" s="150"/>
      <c r="R244" s="150"/>
      <c r="S244" s="150"/>
      <c r="T244" s="130">
        <v>3.81E8</v>
      </c>
      <c r="U244" s="130">
        <v>346363.64</v>
      </c>
      <c r="V244" s="131" t="s">
        <v>2598</v>
      </c>
      <c r="W244" s="128">
        <v>3.0</v>
      </c>
      <c r="X244" s="127" t="s">
        <v>1600</v>
      </c>
      <c r="Y244" s="127" t="s">
        <v>1601</v>
      </c>
      <c r="Z244" s="127" t="s">
        <v>58</v>
      </c>
      <c r="AA244" s="127">
        <v>1.0</v>
      </c>
      <c r="AB244" s="127" t="s">
        <v>1602</v>
      </c>
      <c r="AC244" s="127" t="s">
        <v>70</v>
      </c>
    </row>
    <row r="245">
      <c r="A245" s="132">
        <v>7760.0</v>
      </c>
      <c r="B245" s="149" t="s">
        <v>1467</v>
      </c>
      <c r="C245" s="133" t="s">
        <v>75</v>
      </c>
      <c r="D245" s="133" t="s">
        <v>3720</v>
      </c>
      <c r="E245" s="133" t="s">
        <v>3574</v>
      </c>
      <c r="F245" s="133" t="s">
        <v>3575</v>
      </c>
      <c r="H245" s="133" t="s">
        <v>57</v>
      </c>
      <c r="I245" s="133" t="s">
        <v>214</v>
      </c>
      <c r="J245" s="133" t="s">
        <v>215</v>
      </c>
      <c r="K245" s="134">
        <v>0.0</v>
      </c>
      <c r="L245" s="135">
        <v>45931.0</v>
      </c>
      <c r="M245" s="153"/>
      <c r="N245" s="135">
        <v>46082.0</v>
      </c>
      <c r="O245" s="153"/>
      <c r="P245" s="153"/>
      <c r="Q245" s="153"/>
      <c r="R245" s="153"/>
      <c r="S245" s="153"/>
      <c r="T245" s="136">
        <v>6.0E8</v>
      </c>
      <c r="U245" s="136">
        <v>545454.55</v>
      </c>
      <c r="V245" s="137" t="s">
        <v>2783</v>
      </c>
      <c r="W245" s="134">
        <v>3.0</v>
      </c>
      <c r="X245" s="133" t="s">
        <v>147</v>
      </c>
      <c r="Y245" s="133" t="s">
        <v>1601</v>
      </c>
      <c r="Z245" s="133" t="s">
        <v>215</v>
      </c>
      <c r="AA245" s="133">
        <v>16.0</v>
      </c>
      <c r="AB245" s="133" t="s">
        <v>1565</v>
      </c>
      <c r="AC245" s="133" t="s">
        <v>70</v>
      </c>
    </row>
    <row r="246">
      <c r="A246" s="138">
        <v>7743.0</v>
      </c>
      <c r="B246" s="127" t="s">
        <v>3721</v>
      </c>
      <c r="C246" s="127" t="s">
        <v>75</v>
      </c>
      <c r="D246" s="127" t="s">
        <v>3722</v>
      </c>
      <c r="E246" s="127" t="s">
        <v>3638</v>
      </c>
      <c r="F246" s="127" t="s">
        <v>3575</v>
      </c>
      <c r="H246" s="127" t="s">
        <v>64</v>
      </c>
      <c r="I246" s="127" t="s">
        <v>182</v>
      </c>
      <c r="J246" s="127" t="s">
        <v>150</v>
      </c>
      <c r="K246" s="128">
        <v>0.0</v>
      </c>
      <c r="L246" s="129">
        <v>45910.0</v>
      </c>
      <c r="M246" s="150"/>
      <c r="N246" s="129">
        <v>46060.0</v>
      </c>
      <c r="O246" s="150"/>
      <c r="P246" s="150"/>
      <c r="Q246" s="150"/>
      <c r="R246" s="150"/>
      <c r="S246" s="150"/>
      <c r="T246" s="130">
        <v>4.7968E8</v>
      </c>
      <c r="U246" s="130">
        <v>436072.73</v>
      </c>
      <c r="V246" s="131" t="s">
        <v>2598</v>
      </c>
      <c r="W246" s="128">
        <v>3.0</v>
      </c>
      <c r="X246" s="127" t="s">
        <v>1600</v>
      </c>
      <c r="Y246" s="127" t="s">
        <v>1601</v>
      </c>
      <c r="Z246" s="127" t="s">
        <v>150</v>
      </c>
      <c r="AA246" s="127">
        <v>20.0</v>
      </c>
      <c r="AB246" s="127" t="s">
        <v>1602</v>
      </c>
      <c r="AC246" s="127" t="s">
        <v>70</v>
      </c>
    </row>
    <row r="247">
      <c r="A247" s="132">
        <v>7757.0</v>
      </c>
      <c r="B247" s="149" t="s">
        <v>1467</v>
      </c>
      <c r="C247" s="133" t="s">
        <v>75</v>
      </c>
      <c r="D247" s="133" t="s">
        <v>3723</v>
      </c>
      <c r="E247" s="133" t="s">
        <v>3638</v>
      </c>
      <c r="F247" s="133" t="s">
        <v>3575</v>
      </c>
      <c r="H247" s="133" t="s">
        <v>64</v>
      </c>
      <c r="I247" s="133" t="s">
        <v>1986</v>
      </c>
      <c r="J247" s="133" t="s">
        <v>58</v>
      </c>
      <c r="K247" s="134">
        <v>0.0</v>
      </c>
      <c r="L247" s="135">
        <v>45931.0</v>
      </c>
      <c r="M247" s="153"/>
      <c r="N247" s="135">
        <v>46082.0</v>
      </c>
      <c r="O247" s="153"/>
      <c r="P247" s="153"/>
      <c r="Q247" s="153"/>
      <c r="R247" s="153"/>
      <c r="S247" s="153"/>
      <c r="T247" s="136">
        <v>4.9934E9</v>
      </c>
      <c r="U247" s="136">
        <v>4539454.55</v>
      </c>
      <c r="V247" s="137" t="s">
        <v>2783</v>
      </c>
      <c r="W247" s="134">
        <v>3.0</v>
      </c>
      <c r="X247" s="133" t="s">
        <v>1600</v>
      </c>
      <c r="Y247" s="133" t="s">
        <v>1601</v>
      </c>
      <c r="Z247" s="133" t="s">
        <v>58</v>
      </c>
      <c r="AA247" s="133">
        <v>1.0</v>
      </c>
      <c r="AB247" s="133" t="s">
        <v>1602</v>
      </c>
      <c r="AC247" s="133" t="s">
        <v>70</v>
      </c>
    </row>
    <row r="248">
      <c r="A248" s="126">
        <v>7759.0</v>
      </c>
      <c r="B248" s="127" t="s">
        <v>3724</v>
      </c>
      <c r="C248" s="127" t="s">
        <v>75</v>
      </c>
      <c r="D248" s="127" t="s">
        <v>3725</v>
      </c>
      <c r="E248" s="127" t="s">
        <v>3594</v>
      </c>
      <c r="F248" s="127" t="s">
        <v>3575</v>
      </c>
      <c r="H248" s="127" t="s">
        <v>64</v>
      </c>
      <c r="I248" s="127" t="s">
        <v>443</v>
      </c>
      <c r="J248" s="127" t="s">
        <v>120</v>
      </c>
      <c r="K248" s="128">
        <v>0.0</v>
      </c>
      <c r="L248" s="129">
        <v>45931.0</v>
      </c>
      <c r="M248" s="150"/>
      <c r="N248" s="129">
        <v>46661.0</v>
      </c>
      <c r="O248" s="150"/>
      <c r="P248" s="150"/>
      <c r="Q248" s="150"/>
      <c r="R248" s="150"/>
      <c r="S248" s="150"/>
      <c r="T248" s="130">
        <v>2.493769E10</v>
      </c>
      <c r="U248" s="130">
        <v>2.267062727E7</v>
      </c>
      <c r="V248" s="131" t="s">
        <v>2783</v>
      </c>
      <c r="W248" s="128">
        <v>3.0</v>
      </c>
      <c r="X248" s="127" t="s">
        <v>1600</v>
      </c>
      <c r="Y248" s="127" t="s">
        <v>1601</v>
      </c>
      <c r="Z248" s="127" t="s">
        <v>120</v>
      </c>
      <c r="AA248" s="127">
        <v>26.0</v>
      </c>
      <c r="AB248" s="127" t="s">
        <v>1602</v>
      </c>
      <c r="AC248" s="127" t="s">
        <v>70</v>
      </c>
    </row>
    <row r="249">
      <c r="A249" s="132">
        <v>7761.0</v>
      </c>
      <c r="B249" s="149" t="s">
        <v>1467</v>
      </c>
      <c r="C249" s="133" t="s">
        <v>75</v>
      </c>
      <c r="D249" s="133" t="s">
        <v>3726</v>
      </c>
      <c r="E249" s="133" t="s">
        <v>3594</v>
      </c>
      <c r="F249" s="133" t="s">
        <v>3575</v>
      </c>
      <c r="H249" s="133" t="s">
        <v>57</v>
      </c>
      <c r="I249" s="133" t="s">
        <v>443</v>
      </c>
      <c r="J249" s="133" t="s">
        <v>1664</v>
      </c>
      <c r="K249" s="134">
        <v>0.0</v>
      </c>
      <c r="L249" s="135">
        <v>45931.0</v>
      </c>
      <c r="M249" s="153"/>
      <c r="N249" s="135">
        <v>46661.0</v>
      </c>
      <c r="O249" s="153"/>
      <c r="P249" s="153"/>
      <c r="Q249" s="153"/>
      <c r="R249" s="153"/>
      <c r="S249" s="153"/>
      <c r="T249" s="136">
        <v>1.67229E10</v>
      </c>
      <c r="U249" s="136">
        <v>1.520263636E7</v>
      </c>
      <c r="V249" s="137" t="s">
        <v>2783</v>
      </c>
      <c r="W249" s="134">
        <v>3.0</v>
      </c>
      <c r="X249" s="133" t="s">
        <v>1600</v>
      </c>
      <c r="Y249" s="133" t="s">
        <v>1601</v>
      </c>
      <c r="Z249" s="133" t="s">
        <v>1664</v>
      </c>
      <c r="AA249" s="133">
        <v>3.0</v>
      </c>
      <c r="AB249" s="133" t="s">
        <v>1602</v>
      </c>
      <c r="AC249" s="133" t="s">
        <v>70</v>
      </c>
    </row>
    <row r="250">
      <c r="A250" s="138">
        <v>7780.0</v>
      </c>
      <c r="B250" s="149" t="s">
        <v>1467</v>
      </c>
      <c r="C250" s="127" t="s">
        <v>75</v>
      </c>
      <c r="D250" s="127" t="s">
        <v>3727</v>
      </c>
      <c r="E250" s="127" t="s">
        <v>3594</v>
      </c>
      <c r="F250" s="127" t="s">
        <v>3575</v>
      </c>
      <c r="H250" s="127" t="s">
        <v>57</v>
      </c>
      <c r="I250" s="127" t="s">
        <v>443</v>
      </c>
      <c r="J250" s="127" t="s">
        <v>52</v>
      </c>
      <c r="K250" s="128">
        <v>0.0</v>
      </c>
      <c r="L250" s="129">
        <v>45931.0</v>
      </c>
      <c r="M250" s="150"/>
      <c r="N250" s="129">
        <v>46661.0</v>
      </c>
      <c r="O250" s="150"/>
      <c r="P250" s="150"/>
      <c r="Q250" s="150"/>
      <c r="R250" s="150"/>
      <c r="S250" s="150"/>
      <c r="T250" s="130">
        <v>7.64209E9</v>
      </c>
      <c r="U250" s="130">
        <v>6947354.55</v>
      </c>
      <c r="V250" s="131" t="s">
        <v>2783</v>
      </c>
      <c r="W250" s="128">
        <v>3.0</v>
      </c>
      <c r="X250" s="127" t="s">
        <v>147</v>
      </c>
      <c r="Y250" s="127" t="s">
        <v>1601</v>
      </c>
      <c r="Z250" s="127" t="s">
        <v>52</v>
      </c>
      <c r="AA250" s="127">
        <v>18.0</v>
      </c>
      <c r="AB250" s="127" t="s">
        <v>1565</v>
      </c>
      <c r="AC250" s="127" t="s">
        <v>70</v>
      </c>
    </row>
    <row r="251">
      <c r="A251" s="132">
        <v>7769.0</v>
      </c>
      <c r="B251" s="133" t="s">
        <v>3728</v>
      </c>
      <c r="C251" s="133" t="s">
        <v>75</v>
      </c>
      <c r="D251" s="133" t="s">
        <v>3729</v>
      </c>
      <c r="E251" s="133" t="s">
        <v>3594</v>
      </c>
      <c r="F251" s="133" t="s">
        <v>3575</v>
      </c>
      <c r="H251" s="133" t="s">
        <v>64</v>
      </c>
      <c r="I251" s="133" t="s">
        <v>443</v>
      </c>
      <c r="J251" s="133" t="s">
        <v>1646</v>
      </c>
      <c r="K251" s="134">
        <v>0.0</v>
      </c>
      <c r="L251" s="135">
        <v>45931.0</v>
      </c>
      <c r="M251" s="153"/>
      <c r="N251" s="135">
        <v>46296.0</v>
      </c>
      <c r="O251" s="153"/>
      <c r="P251" s="153"/>
      <c r="Q251" s="153"/>
      <c r="R251" s="153"/>
      <c r="S251" s="153"/>
      <c r="T251" s="136">
        <v>1.50878E9</v>
      </c>
      <c r="U251" s="136">
        <v>1371618.18</v>
      </c>
      <c r="V251" s="137" t="s">
        <v>2783</v>
      </c>
      <c r="W251" s="134">
        <v>3.0</v>
      </c>
      <c r="X251" s="133" t="s">
        <v>1600</v>
      </c>
      <c r="Y251" s="133" t="s">
        <v>1601</v>
      </c>
      <c r="Z251" s="133" t="s">
        <v>1646</v>
      </c>
      <c r="AA251" s="133">
        <v>14.0</v>
      </c>
      <c r="AB251" s="133" t="s">
        <v>1602</v>
      </c>
      <c r="AC251" s="133" t="s">
        <v>70</v>
      </c>
    </row>
    <row r="252">
      <c r="A252" s="138" t="s">
        <v>1643</v>
      </c>
      <c r="B252" s="149" t="s">
        <v>1467</v>
      </c>
      <c r="C252" s="127" t="s">
        <v>75</v>
      </c>
      <c r="D252" s="127" t="s">
        <v>3730</v>
      </c>
      <c r="E252" s="127" t="s">
        <v>3594</v>
      </c>
      <c r="F252" s="127" t="s">
        <v>3575</v>
      </c>
      <c r="H252" s="127" t="s">
        <v>64</v>
      </c>
      <c r="I252" s="127" t="s">
        <v>1986</v>
      </c>
      <c r="J252" s="127" t="s">
        <v>58</v>
      </c>
      <c r="K252" s="128">
        <v>0.0</v>
      </c>
      <c r="L252" s="129">
        <v>45935.0</v>
      </c>
      <c r="M252" s="150"/>
      <c r="N252" s="129">
        <v>46032.0</v>
      </c>
      <c r="O252" s="150"/>
      <c r="P252" s="150"/>
      <c r="Q252" s="150"/>
      <c r="R252" s="150"/>
      <c r="S252" s="150"/>
      <c r="T252" s="130">
        <v>4.90697E8</v>
      </c>
      <c r="U252" s="130">
        <v>446088.18</v>
      </c>
      <c r="V252" s="131" t="s">
        <v>3731</v>
      </c>
      <c r="W252" s="128">
        <v>4.0</v>
      </c>
      <c r="X252" s="127" t="s">
        <v>1600</v>
      </c>
      <c r="Y252" s="127" t="s">
        <v>2766</v>
      </c>
      <c r="Z252" s="127" t="s">
        <v>58</v>
      </c>
      <c r="AA252" s="127">
        <v>1.0</v>
      </c>
      <c r="AB252" s="127" t="s">
        <v>1602</v>
      </c>
      <c r="AC252" s="127" t="s">
        <v>70</v>
      </c>
    </row>
    <row r="253">
      <c r="A253" s="132">
        <v>7770.0</v>
      </c>
      <c r="B253" s="149">
        <v>0.0</v>
      </c>
      <c r="C253" s="133" t="s">
        <v>55</v>
      </c>
      <c r="D253" s="133" t="s">
        <v>3732</v>
      </c>
      <c r="E253" s="133" t="s">
        <v>3733</v>
      </c>
      <c r="F253" s="133" t="s">
        <v>3734</v>
      </c>
      <c r="H253" s="133" t="s">
        <v>57</v>
      </c>
      <c r="I253" s="133" t="s">
        <v>203</v>
      </c>
      <c r="J253" s="133" t="s">
        <v>1702</v>
      </c>
      <c r="K253" s="134">
        <v>0.0</v>
      </c>
      <c r="L253" s="135">
        <v>45962.0</v>
      </c>
      <c r="M253" s="153"/>
      <c r="N253" s="135">
        <v>46357.0</v>
      </c>
      <c r="O253" s="153"/>
      <c r="P253" s="153"/>
      <c r="Q253" s="153"/>
      <c r="R253" s="153"/>
      <c r="S253" s="153"/>
      <c r="T253" s="136">
        <v>1.95E10</v>
      </c>
      <c r="U253" s="136">
        <v>1.772727273E7</v>
      </c>
      <c r="V253" s="137" t="s">
        <v>2783</v>
      </c>
      <c r="W253" s="134">
        <v>3.0</v>
      </c>
      <c r="X253" s="133" t="s">
        <v>1600</v>
      </c>
      <c r="Y253" s="133" t="s">
        <v>1601</v>
      </c>
      <c r="Z253" s="133" t="s">
        <v>1702</v>
      </c>
      <c r="AA253" s="133">
        <v>21.0</v>
      </c>
      <c r="AB253" s="133" t="s">
        <v>1602</v>
      </c>
      <c r="AC253" s="133" t="s">
        <v>70</v>
      </c>
    </row>
    <row r="254">
      <c r="A254" s="155">
        <v>2084927.0</v>
      </c>
      <c r="B254" s="149">
        <v>0.0</v>
      </c>
      <c r="C254" s="127" t="s">
        <v>55</v>
      </c>
      <c r="D254" s="127" t="s">
        <v>3735</v>
      </c>
      <c r="E254" s="127" t="s">
        <v>3736</v>
      </c>
      <c r="F254" s="127" t="s">
        <v>3734</v>
      </c>
      <c r="H254" s="127" t="s">
        <v>57</v>
      </c>
      <c r="I254" s="127" t="s">
        <v>2903</v>
      </c>
      <c r="J254" s="127" t="s">
        <v>1664</v>
      </c>
      <c r="K254" s="128">
        <v>0.0</v>
      </c>
      <c r="L254" s="129">
        <v>45992.0</v>
      </c>
      <c r="M254" s="150"/>
      <c r="N254" s="129">
        <v>46722.0</v>
      </c>
      <c r="O254" s="150"/>
      <c r="P254" s="150"/>
      <c r="Q254" s="150"/>
      <c r="R254" s="150"/>
      <c r="S254" s="150"/>
      <c r="T254" s="130">
        <v>1.5E10</v>
      </c>
      <c r="U254" s="130">
        <v>1.363636364E7</v>
      </c>
      <c r="V254" s="131" t="s">
        <v>3737</v>
      </c>
      <c r="W254" s="128">
        <v>4.0</v>
      </c>
      <c r="X254" s="127" t="s">
        <v>1600</v>
      </c>
      <c r="Y254" s="127" t="s">
        <v>2613</v>
      </c>
      <c r="Z254" s="127" t="s">
        <v>1664</v>
      </c>
      <c r="AA254" s="127">
        <v>3.0</v>
      </c>
      <c r="AB254" s="127" t="s">
        <v>1602</v>
      </c>
      <c r="AC254" s="127" t="s">
        <v>70</v>
      </c>
    </row>
    <row r="255">
      <c r="A255" s="132">
        <v>7745.0</v>
      </c>
      <c r="B255" s="149">
        <v>0.0</v>
      </c>
      <c r="C255" s="133" t="s">
        <v>55</v>
      </c>
      <c r="D255" s="133" t="s">
        <v>3738</v>
      </c>
      <c r="E255" s="133" t="s">
        <v>2629</v>
      </c>
      <c r="F255" s="133" t="s">
        <v>3734</v>
      </c>
      <c r="H255" s="133" t="s">
        <v>57</v>
      </c>
      <c r="I255" s="133" t="s">
        <v>1646</v>
      </c>
      <c r="J255" s="133" t="s">
        <v>1646</v>
      </c>
      <c r="K255" s="134">
        <v>0.0</v>
      </c>
      <c r="L255" s="135">
        <v>45901.0</v>
      </c>
      <c r="M255" s="153"/>
      <c r="N255" s="135">
        <v>46386.0</v>
      </c>
      <c r="O255" s="153"/>
      <c r="P255" s="153"/>
      <c r="Q255" s="153"/>
      <c r="R255" s="153"/>
      <c r="S255" s="153"/>
      <c r="T255" s="136">
        <v>1.27E9</v>
      </c>
      <c r="U255" s="136">
        <v>1154545.45</v>
      </c>
      <c r="V255" s="137" t="s">
        <v>2783</v>
      </c>
      <c r="W255" s="134">
        <v>3.0</v>
      </c>
      <c r="X255" s="133" t="s">
        <v>1600</v>
      </c>
      <c r="Y255" s="133" t="s">
        <v>1601</v>
      </c>
      <c r="Z255" s="133" t="s">
        <v>1646</v>
      </c>
      <c r="AA255" s="133">
        <v>14.0</v>
      </c>
      <c r="AB255" s="133" t="s">
        <v>1602</v>
      </c>
      <c r="AC255" s="133" t="s">
        <v>70</v>
      </c>
    </row>
    <row r="256">
      <c r="A256" s="138">
        <v>7772.0</v>
      </c>
      <c r="B256" s="149">
        <v>0.0</v>
      </c>
      <c r="C256" s="127" t="s">
        <v>55</v>
      </c>
      <c r="D256" s="127" t="s">
        <v>3739</v>
      </c>
      <c r="E256" s="127" t="s">
        <v>3740</v>
      </c>
      <c r="F256" s="127" t="s">
        <v>3734</v>
      </c>
      <c r="H256" s="127" t="s">
        <v>57</v>
      </c>
      <c r="I256" s="127" t="s">
        <v>629</v>
      </c>
      <c r="J256" s="127" t="s">
        <v>150</v>
      </c>
      <c r="K256" s="128">
        <v>0.0</v>
      </c>
      <c r="L256" s="129">
        <v>45901.0</v>
      </c>
      <c r="M256" s="150"/>
      <c r="N256" s="129">
        <v>46387.0</v>
      </c>
      <c r="O256" s="150"/>
      <c r="P256" s="150"/>
      <c r="Q256" s="150"/>
      <c r="R256" s="150"/>
      <c r="S256" s="150"/>
      <c r="T256" s="130">
        <v>4.5E9</v>
      </c>
      <c r="U256" s="130">
        <v>4090909.09</v>
      </c>
      <c r="V256" s="131" t="s">
        <v>2783</v>
      </c>
      <c r="W256" s="128">
        <v>3.0</v>
      </c>
      <c r="X256" s="127" t="s">
        <v>1600</v>
      </c>
      <c r="Y256" s="127" t="s">
        <v>1601</v>
      </c>
      <c r="Z256" s="127" t="s">
        <v>150</v>
      </c>
      <c r="AA256" s="127">
        <v>20.0</v>
      </c>
      <c r="AB256" s="127" t="s">
        <v>1602</v>
      </c>
      <c r="AC256" s="127" t="s">
        <v>70</v>
      </c>
    </row>
    <row r="257">
      <c r="A257" s="152">
        <v>2085568.0</v>
      </c>
      <c r="B257" s="149">
        <v>0.0</v>
      </c>
      <c r="C257" s="133" t="s">
        <v>55</v>
      </c>
      <c r="D257" s="133" t="s">
        <v>867</v>
      </c>
      <c r="E257" s="133" t="s">
        <v>3740</v>
      </c>
      <c r="F257" s="133" t="s">
        <v>3734</v>
      </c>
      <c r="H257" s="133" t="s">
        <v>57</v>
      </c>
      <c r="I257" s="133" t="s">
        <v>391</v>
      </c>
      <c r="J257" s="133" t="s">
        <v>112</v>
      </c>
      <c r="K257" s="134">
        <v>0.0</v>
      </c>
      <c r="L257" s="135">
        <v>45931.0</v>
      </c>
      <c r="M257" s="153"/>
      <c r="N257" s="135">
        <v>46387.0</v>
      </c>
      <c r="O257" s="153"/>
      <c r="P257" s="153"/>
      <c r="Q257" s="153"/>
      <c r="R257" s="153"/>
      <c r="S257" s="153"/>
      <c r="T257" s="136">
        <v>4.0E9</v>
      </c>
      <c r="U257" s="136">
        <v>3636363.64</v>
      </c>
      <c r="V257" s="137" t="s">
        <v>2799</v>
      </c>
      <c r="W257" s="134">
        <v>3.0</v>
      </c>
      <c r="X257" s="133" t="s">
        <v>92</v>
      </c>
      <c r="Y257" s="133" t="s">
        <v>1601</v>
      </c>
      <c r="Z257" s="133" t="s">
        <v>112</v>
      </c>
      <c r="AA257" s="133">
        <v>12.0</v>
      </c>
      <c r="AB257" s="133" t="s">
        <v>1565</v>
      </c>
      <c r="AC257" s="133" t="s">
        <v>70</v>
      </c>
    </row>
    <row r="258">
      <c r="A258" s="155">
        <v>2085627.0</v>
      </c>
      <c r="B258" s="127" t="s">
        <v>3741</v>
      </c>
      <c r="C258" s="127" t="s">
        <v>55</v>
      </c>
      <c r="D258" s="127" t="s">
        <v>3742</v>
      </c>
      <c r="E258" s="127" t="s">
        <v>3740</v>
      </c>
      <c r="F258" s="127" t="s">
        <v>3734</v>
      </c>
      <c r="H258" s="127" t="s">
        <v>64</v>
      </c>
      <c r="I258" s="127" t="s">
        <v>179</v>
      </c>
      <c r="J258" s="127" t="s">
        <v>32</v>
      </c>
      <c r="K258" s="128">
        <v>0.0</v>
      </c>
      <c r="L258" s="129">
        <v>45901.0</v>
      </c>
      <c r="M258" s="150"/>
      <c r="N258" s="129">
        <v>46234.0</v>
      </c>
      <c r="O258" s="150"/>
      <c r="P258" s="150"/>
      <c r="Q258" s="150"/>
      <c r="R258" s="150"/>
      <c r="S258" s="150"/>
      <c r="T258" s="130">
        <v>2.95149E9</v>
      </c>
      <c r="U258" s="130">
        <v>2683172.73</v>
      </c>
      <c r="V258" s="131" t="s">
        <v>2799</v>
      </c>
      <c r="W258" s="128">
        <v>3.0</v>
      </c>
      <c r="X258" s="127" t="s">
        <v>1600</v>
      </c>
      <c r="Y258" s="127" t="s">
        <v>1601</v>
      </c>
      <c r="Z258" s="127" t="s">
        <v>32</v>
      </c>
      <c r="AA258" s="127">
        <v>2.0</v>
      </c>
      <c r="AB258" s="127" t="s">
        <v>1602</v>
      </c>
      <c r="AC258" s="127" t="s">
        <v>70</v>
      </c>
    </row>
    <row r="259">
      <c r="A259" s="152">
        <v>2085961.0</v>
      </c>
      <c r="B259" s="133" t="s">
        <v>3743</v>
      </c>
      <c r="C259" s="133" t="s">
        <v>55</v>
      </c>
      <c r="D259" s="133" t="s">
        <v>3744</v>
      </c>
      <c r="E259" s="133" t="s">
        <v>3745</v>
      </c>
      <c r="F259" s="133" t="s">
        <v>3734</v>
      </c>
      <c r="H259" s="133" t="s">
        <v>2793</v>
      </c>
      <c r="I259" s="133" t="s">
        <v>1986</v>
      </c>
      <c r="J259" s="133" t="s">
        <v>58</v>
      </c>
      <c r="K259" s="134">
        <v>0.0</v>
      </c>
      <c r="L259" s="135">
        <v>45839.0</v>
      </c>
      <c r="M259" s="153"/>
      <c r="N259" s="135">
        <v>46203.0</v>
      </c>
      <c r="O259" s="153"/>
      <c r="P259" s="153"/>
      <c r="Q259" s="153"/>
      <c r="R259" s="153"/>
      <c r="S259" s="153"/>
      <c r="T259" s="136">
        <v>3.49389E9</v>
      </c>
      <c r="U259" s="136">
        <v>3176263.64</v>
      </c>
      <c r="V259" s="137" t="s">
        <v>2799</v>
      </c>
      <c r="W259" s="134">
        <v>2.0</v>
      </c>
      <c r="X259" s="133" t="s">
        <v>1600</v>
      </c>
      <c r="Y259" s="133" t="s">
        <v>1601</v>
      </c>
      <c r="Z259" s="133" t="s">
        <v>58</v>
      </c>
      <c r="AA259" s="133">
        <v>1.0</v>
      </c>
      <c r="AB259" s="133" t="s">
        <v>1602</v>
      </c>
      <c r="AC259" s="133" t="s">
        <v>70</v>
      </c>
    </row>
    <row r="260">
      <c r="A260" s="155">
        <v>2072784.0</v>
      </c>
      <c r="B260" s="127" t="s">
        <v>3746</v>
      </c>
      <c r="C260" s="127" t="s">
        <v>55</v>
      </c>
      <c r="D260" s="127" t="s">
        <v>3747</v>
      </c>
      <c r="E260" s="127" t="s">
        <v>3733</v>
      </c>
      <c r="F260" s="127" t="s">
        <v>3734</v>
      </c>
      <c r="H260" s="127" t="s">
        <v>2793</v>
      </c>
      <c r="I260" s="127" t="s">
        <v>1986</v>
      </c>
      <c r="J260" s="127" t="s">
        <v>58</v>
      </c>
      <c r="K260" s="128">
        <v>0.0</v>
      </c>
      <c r="L260" s="129">
        <v>45839.0</v>
      </c>
      <c r="M260" s="150"/>
      <c r="N260" s="129">
        <v>45838.0</v>
      </c>
      <c r="O260" s="150"/>
      <c r="P260" s="150"/>
      <c r="Q260" s="150"/>
      <c r="R260" s="150"/>
      <c r="S260" s="150"/>
      <c r="T260" s="130">
        <v>3.49389E9</v>
      </c>
      <c r="U260" s="130">
        <v>3176263.64</v>
      </c>
      <c r="V260" s="131" t="s">
        <v>2799</v>
      </c>
      <c r="W260" s="128">
        <v>2.0</v>
      </c>
      <c r="X260" s="127" t="s">
        <v>1600</v>
      </c>
      <c r="Y260" s="127" t="s">
        <v>1601</v>
      </c>
      <c r="Z260" s="127" t="s">
        <v>58</v>
      </c>
      <c r="AA260" s="127">
        <v>1.0</v>
      </c>
      <c r="AB260" s="127" t="s">
        <v>1602</v>
      </c>
      <c r="AC260" s="127" t="s">
        <v>70</v>
      </c>
    </row>
    <row r="261">
      <c r="A261" s="152">
        <v>2085902.0</v>
      </c>
      <c r="B261" s="149">
        <v>0.0</v>
      </c>
      <c r="C261" s="133" t="s">
        <v>55</v>
      </c>
      <c r="D261" s="133" t="s">
        <v>3748</v>
      </c>
      <c r="E261" s="133" t="s">
        <v>2629</v>
      </c>
      <c r="F261" s="133" t="s">
        <v>3734</v>
      </c>
      <c r="H261" s="133" t="s">
        <v>57</v>
      </c>
      <c r="I261" s="133" t="s">
        <v>110</v>
      </c>
      <c r="J261" s="133" t="s">
        <v>1702</v>
      </c>
      <c r="K261" s="134">
        <v>0.0</v>
      </c>
      <c r="L261" s="135">
        <v>45962.0</v>
      </c>
      <c r="M261" s="153"/>
      <c r="N261" s="135">
        <v>46386.0</v>
      </c>
      <c r="O261" s="153"/>
      <c r="P261" s="153"/>
      <c r="Q261" s="153"/>
      <c r="R261" s="153"/>
      <c r="S261" s="153"/>
      <c r="T261" s="136">
        <v>3.5E9</v>
      </c>
      <c r="U261" s="136">
        <v>3181818.18</v>
      </c>
      <c r="V261" s="137" t="s">
        <v>3737</v>
      </c>
      <c r="W261" s="153"/>
      <c r="X261" s="133" t="s">
        <v>1600</v>
      </c>
      <c r="Y261" s="133" t="s">
        <v>2613</v>
      </c>
      <c r="Z261" s="133" t="s">
        <v>1702</v>
      </c>
      <c r="AA261" s="133">
        <v>21.0</v>
      </c>
      <c r="AB261" s="133" t="s">
        <v>1602</v>
      </c>
      <c r="AC261" s="133" t="s">
        <v>70</v>
      </c>
    </row>
    <row r="262">
      <c r="A262" s="138">
        <v>6634.0</v>
      </c>
      <c r="B262" s="127" t="s">
        <v>941</v>
      </c>
      <c r="C262" s="127" t="s">
        <v>80</v>
      </c>
      <c r="D262" s="127" t="s">
        <v>3749</v>
      </c>
      <c r="E262" s="127" t="s">
        <v>3750</v>
      </c>
      <c r="F262" s="127" t="s">
        <v>3751</v>
      </c>
      <c r="G262" s="150"/>
      <c r="H262" s="127" t="s">
        <v>109</v>
      </c>
      <c r="I262" s="127" t="s">
        <v>443</v>
      </c>
      <c r="J262" s="127" t="s">
        <v>122</v>
      </c>
      <c r="K262" s="128">
        <v>0.0</v>
      </c>
      <c r="L262" s="129">
        <v>45809.0</v>
      </c>
      <c r="M262" s="150"/>
      <c r="N262" s="129">
        <v>46022.0</v>
      </c>
      <c r="O262" s="150"/>
      <c r="P262" s="150"/>
      <c r="Q262" s="150"/>
      <c r="R262" s="150"/>
      <c r="S262" s="150"/>
      <c r="T262" s="130">
        <v>6.9543E8</v>
      </c>
      <c r="U262" s="130">
        <v>632209.09</v>
      </c>
      <c r="V262" s="131" t="s">
        <v>2598</v>
      </c>
      <c r="W262" s="128">
        <v>2.0</v>
      </c>
      <c r="X262" s="127" t="s">
        <v>122</v>
      </c>
      <c r="Y262" s="127" t="s">
        <v>1601</v>
      </c>
      <c r="Z262" s="127" t="s">
        <v>122</v>
      </c>
      <c r="AA262" s="127">
        <v>27.0</v>
      </c>
      <c r="AB262" s="127" t="s">
        <v>1602</v>
      </c>
      <c r="AC262" s="127" t="s">
        <v>70</v>
      </c>
    </row>
    <row r="263">
      <c r="A263" s="132">
        <v>7744.0</v>
      </c>
      <c r="B263" s="149">
        <v>0.0</v>
      </c>
      <c r="C263" s="133" t="s">
        <v>55</v>
      </c>
      <c r="D263" s="133" t="s">
        <v>3752</v>
      </c>
      <c r="E263" s="133" t="s">
        <v>3745</v>
      </c>
      <c r="F263" s="133" t="s">
        <v>3734</v>
      </c>
      <c r="H263" s="133" t="s">
        <v>57</v>
      </c>
      <c r="I263" s="133" t="s">
        <v>1986</v>
      </c>
      <c r="J263" s="133" t="s">
        <v>58</v>
      </c>
      <c r="K263" s="134">
        <v>0.0</v>
      </c>
      <c r="L263" s="135">
        <v>45962.0</v>
      </c>
      <c r="M263" s="153"/>
      <c r="N263" s="135">
        <v>46721.0</v>
      </c>
      <c r="O263" s="153"/>
      <c r="P263" s="153"/>
      <c r="Q263" s="153"/>
      <c r="R263" s="153"/>
      <c r="S263" s="153"/>
      <c r="T263" s="136">
        <v>4.0E10</v>
      </c>
      <c r="U263" s="136">
        <v>3.636363636E7</v>
      </c>
      <c r="V263" s="137" t="s">
        <v>2783</v>
      </c>
      <c r="W263" s="134">
        <v>3.0</v>
      </c>
      <c r="X263" s="133" t="s">
        <v>1600</v>
      </c>
      <c r="Y263" s="133" t="s">
        <v>1601</v>
      </c>
      <c r="Z263" s="133" t="s">
        <v>58</v>
      </c>
      <c r="AA263" s="133">
        <v>1.0</v>
      </c>
      <c r="AB263" s="133" t="s">
        <v>1602</v>
      </c>
      <c r="AC263" s="133" t="s">
        <v>70</v>
      </c>
    </row>
    <row r="264">
      <c r="A264" s="155">
        <v>2134479.0</v>
      </c>
      <c r="B264" s="149">
        <v>0.0</v>
      </c>
      <c r="C264" s="127" t="s">
        <v>55</v>
      </c>
      <c r="D264" s="127" t="s">
        <v>3753</v>
      </c>
      <c r="E264" s="127" t="s">
        <v>3745</v>
      </c>
      <c r="F264" s="127" t="s">
        <v>3734</v>
      </c>
      <c r="H264" s="127" t="s">
        <v>57</v>
      </c>
      <c r="I264" s="127" t="s">
        <v>1986</v>
      </c>
      <c r="J264" s="127" t="s">
        <v>58</v>
      </c>
      <c r="K264" s="128">
        <v>0.0</v>
      </c>
      <c r="L264" s="129">
        <v>45962.0</v>
      </c>
      <c r="M264" s="150"/>
      <c r="N264" s="129">
        <v>46386.0</v>
      </c>
      <c r="O264" s="150"/>
      <c r="P264" s="150"/>
      <c r="Q264" s="150"/>
      <c r="R264" s="150"/>
      <c r="S264" s="150"/>
      <c r="T264" s="130">
        <v>1.0E10</v>
      </c>
      <c r="U264" s="130">
        <v>9090909.09</v>
      </c>
      <c r="V264" s="131" t="s">
        <v>2783</v>
      </c>
      <c r="W264" s="128">
        <v>3.0</v>
      </c>
      <c r="X264" s="127" t="s">
        <v>1600</v>
      </c>
      <c r="Y264" s="127" t="s">
        <v>1601</v>
      </c>
      <c r="Z264" s="127" t="s">
        <v>58</v>
      </c>
      <c r="AA264" s="127">
        <v>1.0</v>
      </c>
      <c r="AB264" s="127" t="s">
        <v>1602</v>
      </c>
      <c r="AC264" s="127" t="s">
        <v>70</v>
      </c>
    </row>
    <row r="265">
      <c r="A265" s="152">
        <v>2072904.0</v>
      </c>
      <c r="B265" s="149">
        <v>0.0</v>
      </c>
      <c r="C265" s="133" t="s">
        <v>55</v>
      </c>
      <c r="D265" s="133" t="s">
        <v>3754</v>
      </c>
      <c r="E265" s="133" t="s">
        <v>3733</v>
      </c>
      <c r="F265" s="133" t="s">
        <v>3734</v>
      </c>
      <c r="H265" s="133" t="s">
        <v>57</v>
      </c>
      <c r="I265" s="133" t="s">
        <v>629</v>
      </c>
      <c r="J265" s="133" t="s">
        <v>150</v>
      </c>
      <c r="K265" s="134">
        <v>0.0</v>
      </c>
      <c r="L265" s="135">
        <v>45870.0</v>
      </c>
      <c r="M265" s="153"/>
      <c r="N265" s="135">
        <v>46204.0</v>
      </c>
      <c r="O265" s="153"/>
      <c r="P265" s="153"/>
      <c r="Q265" s="153"/>
      <c r="R265" s="153"/>
      <c r="S265" s="153"/>
      <c r="T265" s="136">
        <v>4.57374E9</v>
      </c>
      <c r="U265" s="136">
        <v>4157945.45</v>
      </c>
      <c r="V265" s="137" t="s">
        <v>2799</v>
      </c>
      <c r="W265" s="134">
        <v>3.0</v>
      </c>
      <c r="X265" s="133" t="s">
        <v>1600</v>
      </c>
      <c r="Y265" s="133" t="s">
        <v>1601</v>
      </c>
      <c r="Z265" s="133" t="s">
        <v>150</v>
      </c>
      <c r="AA265" s="133">
        <v>20.0</v>
      </c>
      <c r="AB265" s="133" t="s">
        <v>1602</v>
      </c>
      <c r="AC265" s="133" t="s">
        <v>70</v>
      </c>
    </row>
    <row r="266">
      <c r="A266" s="155">
        <v>2088459.0</v>
      </c>
      <c r="B266" s="149" t="s">
        <v>3755</v>
      </c>
      <c r="C266" s="127" t="s">
        <v>80</v>
      </c>
      <c r="D266" s="127" t="s">
        <v>3756</v>
      </c>
      <c r="E266" s="127" t="s">
        <v>3757</v>
      </c>
      <c r="F266" s="127" t="s">
        <v>3751</v>
      </c>
      <c r="G266" s="150"/>
      <c r="H266" s="127" t="s">
        <v>57</v>
      </c>
      <c r="I266" s="127" t="s">
        <v>159</v>
      </c>
      <c r="J266" s="127" t="s">
        <v>1747</v>
      </c>
      <c r="K266" s="128">
        <v>0.0</v>
      </c>
      <c r="L266" s="129">
        <v>45870.0</v>
      </c>
      <c r="M266" s="150"/>
      <c r="N266" s="129">
        <v>46356.0</v>
      </c>
      <c r="O266" s="150"/>
      <c r="P266" s="150"/>
      <c r="Q266" s="150"/>
      <c r="R266" s="150"/>
      <c r="S266" s="150"/>
      <c r="T266" s="130">
        <v>1.001047E10</v>
      </c>
      <c r="U266" s="130">
        <v>9100427.27</v>
      </c>
      <c r="V266" s="131" t="s">
        <v>3536</v>
      </c>
      <c r="W266" s="128">
        <v>4.0</v>
      </c>
      <c r="X266" s="127" t="s">
        <v>1600</v>
      </c>
      <c r="Y266" s="127" t="s">
        <v>1601</v>
      </c>
      <c r="Z266" s="127" t="s">
        <v>1747</v>
      </c>
      <c r="AA266" s="127">
        <v>6.0</v>
      </c>
      <c r="AB266" s="127" t="s">
        <v>1602</v>
      </c>
      <c r="AC266" s="127" t="s">
        <v>70</v>
      </c>
    </row>
    <row r="267">
      <c r="A267" s="132">
        <v>7806.0</v>
      </c>
      <c r="B267" s="149">
        <v>0.0</v>
      </c>
      <c r="C267" s="133" t="s">
        <v>80</v>
      </c>
      <c r="D267" s="133" t="s">
        <v>3758</v>
      </c>
      <c r="E267" s="133" t="s">
        <v>3750</v>
      </c>
      <c r="F267" s="133" t="s">
        <v>3751</v>
      </c>
      <c r="G267" s="153"/>
      <c r="H267" s="133" t="s">
        <v>57</v>
      </c>
      <c r="I267" s="133" t="s">
        <v>278</v>
      </c>
      <c r="J267" s="133" t="s">
        <v>90</v>
      </c>
      <c r="K267" s="134">
        <v>0.0</v>
      </c>
      <c r="L267" s="135">
        <v>45962.0</v>
      </c>
      <c r="M267" s="153"/>
      <c r="N267" s="135">
        <v>46692.0</v>
      </c>
      <c r="O267" s="153"/>
      <c r="P267" s="153"/>
      <c r="Q267" s="153"/>
      <c r="R267" s="153"/>
      <c r="S267" s="153"/>
      <c r="T267" s="136">
        <v>1.0392E10</v>
      </c>
      <c r="U267" s="136">
        <v>9447272.73</v>
      </c>
      <c r="V267" s="137" t="s">
        <v>2598</v>
      </c>
      <c r="W267" s="134">
        <v>3.0</v>
      </c>
      <c r="X267" s="133" t="s">
        <v>147</v>
      </c>
      <c r="Y267" s="133" t="s">
        <v>1601</v>
      </c>
      <c r="Z267" s="133" t="s">
        <v>90</v>
      </c>
      <c r="AA267" s="133">
        <v>11.0</v>
      </c>
      <c r="AB267" s="133" t="s">
        <v>1565</v>
      </c>
      <c r="AC267" s="133" t="s">
        <v>70</v>
      </c>
    </row>
    <row r="268">
      <c r="A268" s="138">
        <v>6636.0</v>
      </c>
      <c r="B268" s="127" t="s">
        <v>3759</v>
      </c>
      <c r="C268" s="127" t="s">
        <v>80</v>
      </c>
      <c r="D268" s="127" t="s">
        <v>3760</v>
      </c>
      <c r="E268" s="127" t="s">
        <v>3750</v>
      </c>
      <c r="F268" s="127" t="s">
        <v>3751</v>
      </c>
      <c r="G268" s="150"/>
      <c r="H268" s="127" t="s">
        <v>2793</v>
      </c>
      <c r="I268" s="127" t="s">
        <v>443</v>
      </c>
      <c r="J268" s="127" t="s">
        <v>122</v>
      </c>
      <c r="K268" s="128">
        <v>0.0</v>
      </c>
      <c r="L268" s="129">
        <v>45839.0</v>
      </c>
      <c r="M268" s="150"/>
      <c r="N268" s="129">
        <v>46022.0</v>
      </c>
      <c r="O268" s="150"/>
      <c r="P268" s="150"/>
      <c r="Q268" s="150"/>
      <c r="R268" s="150"/>
      <c r="S268" s="150"/>
      <c r="T268" s="130">
        <v>1.68E9</v>
      </c>
      <c r="U268" s="130">
        <v>1527272.73</v>
      </c>
      <c r="V268" s="131" t="s">
        <v>2598</v>
      </c>
      <c r="W268" s="128">
        <v>2.0</v>
      </c>
      <c r="X268" s="127" t="s">
        <v>122</v>
      </c>
      <c r="Y268" s="127" t="s">
        <v>1601</v>
      </c>
      <c r="Z268" s="127" t="s">
        <v>122</v>
      </c>
      <c r="AA268" s="127">
        <v>27.0</v>
      </c>
      <c r="AB268" s="127" t="s">
        <v>1602</v>
      </c>
      <c r="AC268" s="127" t="s">
        <v>70</v>
      </c>
    </row>
    <row r="269">
      <c r="A269" s="132">
        <v>7732.0</v>
      </c>
      <c r="B269" s="149">
        <v>0.0</v>
      </c>
      <c r="C269" s="133" t="s">
        <v>80</v>
      </c>
      <c r="D269" s="133" t="s">
        <v>3761</v>
      </c>
      <c r="E269" s="133" t="s">
        <v>3750</v>
      </c>
      <c r="F269" s="133" t="s">
        <v>3751</v>
      </c>
      <c r="G269" s="153"/>
      <c r="H269" s="133" t="s">
        <v>57</v>
      </c>
      <c r="I269" s="133" t="s">
        <v>443</v>
      </c>
      <c r="J269" s="133" t="s">
        <v>122</v>
      </c>
      <c r="K269" s="134">
        <v>0.0</v>
      </c>
      <c r="L269" s="153"/>
      <c r="M269" s="153"/>
      <c r="N269" s="135">
        <v>46751.0</v>
      </c>
      <c r="O269" s="153"/>
      <c r="P269" s="153"/>
      <c r="Q269" s="153"/>
      <c r="R269" s="153"/>
      <c r="S269" s="153"/>
      <c r="T269" s="136">
        <v>4.0581E9</v>
      </c>
      <c r="U269" s="136">
        <v>3689181.82</v>
      </c>
      <c r="V269" s="137" t="s">
        <v>2598</v>
      </c>
      <c r="W269" s="134">
        <v>3.0</v>
      </c>
      <c r="X269" s="133" t="s">
        <v>122</v>
      </c>
      <c r="Y269" s="133" t="s">
        <v>1601</v>
      </c>
      <c r="Z269" s="133" t="s">
        <v>122</v>
      </c>
      <c r="AA269" s="133">
        <v>27.0</v>
      </c>
      <c r="AB269" s="133" t="s">
        <v>1602</v>
      </c>
      <c r="AC269" s="133" t="s">
        <v>70</v>
      </c>
    </row>
    <row r="270">
      <c r="A270" s="138">
        <v>7568.0</v>
      </c>
      <c r="B270" s="149">
        <v>0.0</v>
      </c>
      <c r="C270" s="127" t="s">
        <v>80</v>
      </c>
      <c r="D270" s="127" t="s">
        <v>3762</v>
      </c>
      <c r="E270" s="127" t="s">
        <v>3750</v>
      </c>
      <c r="F270" s="127" t="s">
        <v>3751</v>
      </c>
      <c r="G270" s="150"/>
      <c r="H270" s="127" t="s">
        <v>57</v>
      </c>
      <c r="I270" s="127" t="s">
        <v>443</v>
      </c>
      <c r="J270" s="127" t="s">
        <v>122</v>
      </c>
      <c r="K270" s="128">
        <v>0.0</v>
      </c>
      <c r="L270" s="129">
        <v>45839.0</v>
      </c>
      <c r="M270" s="150"/>
      <c r="N270" s="129">
        <v>46021.0</v>
      </c>
      <c r="O270" s="150"/>
      <c r="P270" s="150"/>
      <c r="Q270" s="150"/>
      <c r="R270" s="150"/>
      <c r="S270" s="150"/>
      <c r="T270" s="130">
        <v>6.4882E8</v>
      </c>
      <c r="U270" s="130">
        <v>589836.36</v>
      </c>
      <c r="V270" s="131" t="s">
        <v>2598</v>
      </c>
      <c r="W270" s="128">
        <v>3.0</v>
      </c>
      <c r="X270" s="127" t="s">
        <v>122</v>
      </c>
      <c r="Y270" s="127" t="s">
        <v>1601</v>
      </c>
      <c r="Z270" s="127" t="s">
        <v>122</v>
      </c>
      <c r="AA270" s="127">
        <v>27.0</v>
      </c>
      <c r="AB270" s="127" t="s">
        <v>1602</v>
      </c>
      <c r="AC270" s="127" t="s">
        <v>70</v>
      </c>
    </row>
    <row r="271">
      <c r="A271" s="132">
        <v>7613.0</v>
      </c>
      <c r="B271" s="133" t="s">
        <v>3763</v>
      </c>
      <c r="C271" s="133" t="s">
        <v>80</v>
      </c>
      <c r="D271" s="133" t="s">
        <v>3764</v>
      </c>
      <c r="E271" s="133" t="s">
        <v>3750</v>
      </c>
      <c r="F271" s="133" t="s">
        <v>3751</v>
      </c>
      <c r="G271" s="153"/>
      <c r="H271" s="133" t="s">
        <v>57</v>
      </c>
      <c r="I271" s="133" t="s">
        <v>459</v>
      </c>
      <c r="J271" s="133" t="s">
        <v>1674</v>
      </c>
      <c r="K271" s="134">
        <v>0.0</v>
      </c>
      <c r="L271" s="135">
        <v>45901.0</v>
      </c>
      <c r="M271" s="153"/>
      <c r="N271" s="135">
        <v>46477.0</v>
      </c>
      <c r="O271" s="153"/>
      <c r="P271" s="153"/>
      <c r="Q271" s="153"/>
      <c r="R271" s="153"/>
      <c r="S271" s="153"/>
      <c r="T271" s="136">
        <v>4.38286E9</v>
      </c>
      <c r="U271" s="136">
        <v>3984418.18</v>
      </c>
      <c r="V271" s="137" t="s">
        <v>2598</v>
      </c>
      <c r="W271" s="134">
        <v>3.0</v>
      </c>
      <c r="X271" s="133" t="s">
        <v>1600</v>
      </c>
      <c r="Y271" s="133" t="s">
        <v>1601</v>
      </c>
      <c r="Z271" s="133" t="s">
        <v>1674</v>
      </c>
      <c r="AA271" s="133">
        <v>26.0</v>
      </c>
      <c r="AB271" s="133" t="s">
        <v>1602</v>
      </c>
      <c r="AC271" s="133" t="s">
        <v>70</v>
      </c>
    </row>
    <row r="272">
      <c r="A272" s="155">
        <v>2091746.0</v>
      </c>
      <c r="B272" s="127" t="s">
        <v>3765</v>
      </c>
      <c r="C272" s="127" t="s">
        <v>55</v>
      </c>
      <c r="D272" s="127" t="s">
        <v>3766</v>
      </c>
      <c r="E272" s="127" t="s">
        <v>3745</v>
      </c>
      <c r="F272" s="127" t="s">
        <v>3734</v>
      </c>
      <c r="H272" s="127" t="s">
        <v>57</v>
      </c>
      <c r="I272" s="127" t="s">
        <v>39</v>
      </c>
      <c r="J272" s="127" t="s">
        <v>39</v>
      </c>
      <c r="K272" s="128">
        <v>0.0</v>
      </c>
      <c r="L272" s="129">
        <v>45962.0</v>
      </c>
      <c r="M272" s="150"/>
      <c r="N272" s="129">
        <v>46356.0</v>
      </c>
      <c r="O272" s="150"/>
      <c r="P272" s="150"/>
      <c r="Q272" s="150"/>
      <c r="R272" s="150"/>
      <c r="S272" s="150"/>
      <c r="T272" s="130">
        <v>4.0E9</v>
      </c>
      <c r="U272" s="130">
        <v>3636363.64</v>
      </c>
      <c r="V272" s="131" t="s">
        <v>3737</v>
      </c>
      <c r="W272" s="128">
        <v>4.0</v>
      </c>
      <c r="X272" s="127" t="s">
        <v>147</v>
      </c>
      <c r="Y272" s="127" t="s">
        <v>2613</v>
      </c>
      <c r="Z272" s="127" t="s">
        <v>39</v>
      </c>
      <c r="AA272" s="127">
        <v>4.0</v>
      </c>
      <c r="AB272" s="127" t="s">
        <v>1565</v>
      </c>
      <c r="AC272" s="127" t="s">
        <v>70</v>
      </c>
    </row>
    <row r="273">
      <c r="A273" s="152">
        <v>2086327.0</v>
      </c>
      <c r="B273" s="149">
        <v>0.0</v>
      </c>
      <c r="C273" s="133" t="s">
        <v>80</v>
      </c>
      <c r="D273" s="133" t="s">
        <v>3767</v>
      </c>
      <c r="E273" s="133" t="s">
        <v>3750</v>
      </c>
      <c r="F273" s="133" t="s">
        <v>3751</v>
      </c>
      <c r="G273" s="153"/>
      <c r="H273" s="133" t="s">
        <v>57</v>
      </c>
      <c r="I273" s="133" t="s">
        <v>345</v>
      </c>
      <c r="J273" s="133" t="s">
        <v>1664</v>
      </c>
      <c r="K273" s="134">
        <v>0.0</v>
      </c>
      <c r="L273" s="135">
        <v>46235.0</v>
      </c>
      <c r="M273" s="153"/>
      <c r="N273" s="135">
        <v>46296.0</v>
      </c>
      <c r="O273" s="153"/>
      <c r="P273" s="153"/>
      <c r="Q273" s="153"/>
      <c r="R273" s="153"/>
      <c r="S273" s="153"/>
      <c r="T273" s="136">
        <v>9.1685E8</v>
      </c>
      <c r="U273" s="136">
        <v>833500.0</v>
      </c>
      <c r="V273" s="137" t="s">
        <v>2598</v>
      </c>
      <c r="W273" s="134">
        <v>3.0</v>
      </c>
      <c r="X273" s="133" t="s">
        <v>1600</v>
      </c>
      <c r="Y273" s="133" t="s">
        <v>1601</v>
      </c>
      <c r="Z273" s="133" t="s">
        <v>1664</v>
      </c>
      <c r="AA273" s="133">
        <v>3.0</v>
      </c>
      <c r="AB273" s="133" t="s">
        <v>1602</v>
      </c>
      <c r="AC273" s="133" t="s">
        <v>70</v>
      </c>
    </row>
    <row r="274">
      <c r="A274" s="138">
        <v>7016.0</v>
      </c>
      <c r="B274" s="127" t="s">
        <v>3768</v>
      </c>
      <c r="C274" s="127" t="s">
        <v>55</v>
      </c>
      <c r="D274" s="127" t="s">
        <v>3769</v>
      </c>
      <c r="E274" s="127" t="s">
        <v>3733</v>
      </c>
      <c r="F274" s="127" t="s">
        <v>3734</v>
      </c>
      <c r="H274" s="127" t="s">
        <v>57</v>
      </c>
      <c r="I274" s="127" t="s">
        <v>644</v>
      </c>
      <c r="J274" s="127" t="s">
        <v>32</v>
      </c>
      <c r="K274" s="128">
        <v>0.0</v>
      </c>
      <c r="L274" s="129">
        <v>45901.0</v>
      </c>
      <c r="M274" s="150"/>
      <c r="N274" s="129">
        <v>46264.0</v>
      </c>
      <c r="O274" s="150"/>
      <c r="P274" s="150"/>
      <c r="Q274" s="150"/>
      <c r="R274" s="150"/>
      <c r="S274" s="150"/>
      <c r="T274" s="130">
        <v>1.70004E9</v>
      </c>
      <c r="U274" s="130">
        <v>1545490.91</v>
      </c>
      <c r="V274" s="131" t="s">
        <v>2598</v>
      </c>
      <c r="W274" s="128">
        <v>3.0</v>
      </c>
      <c r="X274" s="127" t="s">
        <v>1600</v>
      </c>
      <c r="Y274" s="127" t="s">
        <v>1601</v>
      </c>
      <c r="Z274" s="127" t="s">
        <v>32</v>
      </c>
      <c r="AA274" s="127">
        <v>2.0</v>
      </c>
      <c r="AB274" s="127" t="s">
        <v>1602</v>
      </c>
      <c r="AC274" s="127" t="s">
        <v>70</v>
      </c>
    </row>
    <row r="275">
      <c r="A275" s="152">
        <v>2085992.0</v>
      </c>
      <c r="B275" s="133" t="s">
        <v>3770</v>
      </c>
      <c r="C275" s="133" t="s">
        <v>55</v>
      </c>
      <c r="D275" s="133" t="s">
        <v>3771</v>
      </c>
      <c r="E275" s="133" t="s">
        <v>3745</v>
      </c>
      <c r="F275" s="133" t="s">
        <v>3734</v>
      </c>
      <c r="H275" s="133" t="s">
        <v>57</v>
      </c>
      <c r="I275" s="133" t="s">
        <v>1986</v>
      </c>
      <c r="J275" s="133" t="s">
        <v>58</v>
      </c>
      <c r="K275" s="134">
        <v>0.0</v>
      </c>
      <c r="L275" s="135">
        <v>45870.0</v>
      </c>
      <c r="M275" s="153"/>
      <c r="N275" s="135">
        <v>46203.0</v>
      </c>
      <c r="O275" s="153"/>
      <c r="P275" s="153"/>
      <c r="Q275" s="153"/>
      <c r="R275" s="153"/>
      <c r="S275" s="153"/>
      <c r="T275" s="136">
        <v>1.2334832E9</v>
      </c>
      <c r="U275" s="136">
        <v>1121348.36</v>
      </c>
      <c r="V275" s="137" t="s">
        <v>2799</v>
      </c>
      <c r="W275" s="134">
        <v>3.0</v>
      </c>
      <c r="X275" s="133" t="s">
        <v>1600</v>
      </c>
      <c r="Y275" s="133" t="s">
        <v>1601</v>
      </c>
      <c r="Z275" s="133" t="s">
        <v>58</v>
      </c>
      <c r="AA275" s="133">
        <v>1.0</v>
      </c>
      <c r="AB275" s="133" t="s">
        <v>1602</v>
      </c>
      <c r="AC275" s="133" t="s">
        <v>70</v>
      </c>
    </row>
    <row r="276">
      <c r="A276" s="155">
        <v>2072843.0</v>
      </c>
      <c r="B276" s="149">
        <v>0.0</v>
      </c>
      <c r="C276" s="127" t="s">
        <v>55</v>
      </c>
      <c r="D276" s="127" t="s">
        <v>3772</v>
      </c>
      <c r="E276" s="127" t="s">
        <v>3733</v>
      </c>
      <c r="F276" s="127" t="s">
        <v>3734</v>
      </c>
      <c r="H276" s="127" t="s">
        <v>57</v>
      </c>
      <c r="I276" s="127" t="s">
        <v>492</v>
      </c>
      <c r="J276" s="127" t="s">
        <v>120</v>
      </c>
      <c r="K276" s="128">
        <v>0.0</v>
      </c>
      <c r="L276" s="129">
        <v>45992.0</v>
      </c>
      <c r="M276" s="150"/>
      <c r="N276" s="129">
        <v>46357.0</v>
      </c>
      <c r="O276" s="150"/>
      <c r="P276" s="150"/>
      <c r="Q276" s="150"/>
      <c r="R276" s="150"/>
      <c r="S276" s="150"/>
      <c r="T276" s="130">
        <v>8.6393E8</v>
      </c>
      <c r="U276" s="130">
        <v>785390.91</v>
      </c>
      <c r="V276" s="131" t="s">
        <v>3737</v>
      </c>
      <c r="W276" s="150"/>
      <c r="X276" s="127" t="s">
        <v>1600</v>
      </c>
      <c r="Y276" s="127" t="s">
        <v>2613</v>
      </c>
      <c r="Z276" s="127" t="s">
        <v>120</v>
      </c>
      <c r="AA276" s="127">
        <v>26.0</v>
      </c>
      <c r="AB276" s="127" t="s">
        <v>1602</v>
      </c>
      <c r="AC276" s="127" t="s">
        <v>70</v>
      </c>
    </row>
    <row r="277">
      <c r="A277" s="132">
        <v>7803.0</v>
      </c>
      <c r="B277" s="149">
        <v>0.0</v>
      </c>
      <c r="C277" s="133" t="s">
        <v>80</v>
      </c>
      <c r="D277" s="133" t="s">
        <v>3773</v>
      </c>
      <c r="E277" s="133" t="s">
        <v>3750</v>
      </c>
      <c r="F277" s="133" t="s">
        <v>3751</v>
      </c>
      <c r="G277" s="153"/>
      <c r="H277" s="133" t="s">
        <v>57</v>
      </c>
      <c r="I277" s="133" t="s">
        <v>2028</v>
      </c>
      <c r="J277" s="133" t="s">
        <v>150</v>
      </c>
      <c r="K277" s="134">
        <v>0.0</v>
      </c>
      <c r="L277" s="135">
        <v>46235.0</v>
      </c>
      <c r="M277" s="153"/>
      <c r="N277" s="135">
        <v>46752.0</v>
      </c>
      <c r="O277" s="153"/>
      <c r="P277" s="153"/>
      <c r="Q277" s="153"/>
      <c r="R277" s="153"/>
      <c r="S277" s="153"/>
      <c r="T277" s="136">
        <v>3.7E9</v>
      </c>
      <c r="U277" s="136">
        <v>3363636.36</v>
      </c>
      <c r="V277" s="137" t="s">
        <v>2598</v>
      </c>
      <c r="W277" s="134">
        <v>3.0</v>
      </c>
      <c r="X277" s="133" t="s">
        <v>1600</v>
      </c>
      <c r="Y277" s="133" t="s">
        <v>1601</v>
      </c>
      <c r="Z277" s="133" t="s">
        <v>150</v>
      </c>
      <c r="AA277" s="133">
        <v>20.0</v>
      </c>
      <c r="AB277" s="133" t="s">
        <v>1602</v>
      </c>
      <c r="AC277" s="133" t="s">
        <v>70</v>
      </c>
    </row>
    <row r="278">
      <c r="A278" s="138">
        <v>7801.0</v>
      </c>
      <c r="B278" s="149">
        <v>0.0</v>
      </c>
      <c r="C278" s="127" t="s">
        <v>80</v>
      </c>
      <c r="D278" s="127" t="s">
        <v>3774</v>
      </c>
      <c r="E278" s="127" t="s">
        <v>3750</v>
      </c>
      <c r="F278" s="127" t="s">
        <v>3751</v>
      </c>
      <c r="G278" s="150"/>
      <c r="H278" s="127" t="s">
        <v>57</v>
      </c>
      <c r="I278" s="127" t="s">
        <v>452</v>
      </c>
      <c r="J278" s="127" t="s">
        <v>161</v>
      </c>
      <c r="K278" s="128">
        <v>0.0</v>
      </c>
      <c r="L278" s="129">
        <v>46357.0</v>
      </c>
      <c r="M278" s="150"/>
      <c r="N278" s="129">
        <v>46752.0</v>
      </c>
      <c r="O278" s="150"/>
      <c r="P278" s="150"/>
      <c r="Q278" s="150"/>
      <c r="R278" s="150"/>
      <c r="S278" s="150"/>
      <c r="T278" s="130">
        <v>3.5E9</v>
      </c>
      <c r="U278" s="130">
        <v>3181818.18</v>
      </c>
      <c r="V278" s="131" t="s">
        <v>2598</v>
      </c>
      <c r="W278" s="128">
        <v>3.0</v>
      </c>
      <c r="X278" s="127" t="s">
        <v>1600</v>
      </c>
      <c r="Y278" s="127" t="s">
        <v>1601</v>
      </c>
      <c r="Z278" s="127" t="s">
        <v>161</v>
      </c>
      <c r="AA278" s="127">
        <v>23.0</v>
      </c>
      <c r="AB278" s="127" t="s">
        <v>1602</v>
      </c>
      <c r="AC278" s="127" t="s">
        <v>70</v>
      </c>
    </row>
    <row r="279">
      <c r="A279" s="132">
        <v>7802.0</v>
      </c>
      <c r="B279" s="149">
        <v>0.0</v>
      </c>
      <c r="C279" s="133" t="s">
        <v>80</v>
      </c>
      <c r="D279" s="133" t="s">
        <v>3775</v>
      </c>
      <c r="E279" s="133" t="s">
        <v>3750</v>
      </c>
      <c r="F279" s="133" t="s">
        <v>3751</v>
      </c>
      <c r="G279" s="153"/>
      <c r="H279" s="133" t="s">
        <v>57</v>
      </c>
      <c r="I279" s="133" t="s">
        <v>3776</v>
      </c>
      <c r="J279" s="133" t="s">
        <v>32</v>
      </c>
      <c r="K279" s="134">
        <v>0.0</v>
      </c>
      <c r="L279" s="135">
        <v>45962.0</v>
      </c>
      <c r="M279" s="153"/>
      <c r="N279" s="135">
        <v>46356.0</v>
      </c>
      <c r="O279" s="153"/>
      <c r="P279" s="153"/>
      <c r="Q279" s="153"/>
      <c r="R279" s="153"/>
      <c r="S279" s="153"/>
      <c r="T279" s="136">
        <v>8.335E8</v>
      </c>
      <c r="U279" s="136">
        <v>757727.27</v>
      </c>
      <c r="V279" s="137" t="s">
        <v>2598</v>
      </c>
      <c r="W279" s="134">
        <v>3.0</v>
      </c>
      <c r="X279" s="133" t="s">
        <v>1600</v>
      </c>
      <c r="Y279" s="133" t="s">
        <v>1601</v>
      </c>
      <c r="Z279" s="133" t="s">
        <v>32</v>
      </c>
      <c r="AA279" s="133">
        <v>2.0</v>
      </c>
      <c r="AB279" s="133" t="s">
        <v>1602</v>
      </c>
      <c r="AC279" s="133" t="s">
        <v>70</v>
      </c>
    </row>
    <row r="280">
      <c r="A280" s="155">
        <v>2075126.0</v>
      </c>
      <c r="B280" s="127" t="s">
        <v>3777</v>
      </c>
      <c r="C280" s="127" t="s">
        <v>55</v>
      </c>
      <c r="D280" s="127" t="s">
        <v>3778</v>
      </c>
      <c r="E280" s="127" t="s">
        <v>3779</v>
      </c>
      <c r="F280" s="127" t="s">
        <v>3734</v>
      </c>
      <c r="H280" s="127" t="s">
        <v>3780</v>
      </c>
      <c r="I280" s="127" t="s">
        <v>167</v>
      </c>
      <c r="J280" s="127" t="s">
        <v>61</v>
      </c>
      <c r="K280" s="128">
        <v>0.5</v>
      </c>
      <c r="L280" s="129">
        <v>45807.0</v>
      </c>
      <c r="M280" s="150"/>
      <c r="N280" s="129">
        <v>46022.0</v>
      </c>
      <c r="O280" s="150"/>
      <c r="P280" s="150"/>
      <c r="Q280" s="150"/>
      <c r="R280" s="150"/>
      <c r="S280" s="150"/>
      <c r="T280" s="130">
        <v>7.064914E8</v>
      </c>
      <c r="U280" s="130">
        <v>642264.91</v>
      </c>
      <c r="V280" s="131" t="s">
        <v>3737</v>
      </c>
      <c r="W280" s="128">
        <v>4.0</v>
      </c>
      <c r="X280" s="127" t="s">
        <v>147</v>
      </c>
      <c r="Y280" s="127" t="s">
        <v>2613</v>
      </c>
      <c r="Z280" s="127" t="s">
        <v>140</v>
      </c>
      <c r="AA280" s="127">
        <v>7.0</v>
      </c>
      <c r="AB280" s="127" t="s">
        <v>1565</v>
      </c>
      <c r="AC280" s="127" t="s">
        <v>70</v>
      </c>
    </row>
    <row r="281">
      <c r="A281" s="152">
        <v>2075188.0</v>
      </c>
      <c r="B281" s="133" t="s">
        <v>3781</v>
      </c>
      <c r="C281" s="133" t="s">
        <v>55</v>
      </c>
      <c r="D281" s="133" t="s">
        <v>3782</v>
      </c>
      <c r="E281" s="133" t="s">
        <v>3779</v>
      </c>
      <c r="F281" s="133" t="s">
        <v>3734</v>
      </c>
      <c r="H281" s="133" t="s">
        <v>3780</v>
      </c>
      <c r="I281" s="133" t="s">
        <v>2277</v>
      </c>
      <c r="J281" s="133" t="s">
        <v>1664</v>
      </c>
      <c r="K281" s="134">
        <v>0.38</v>
      </c>
      <c r="L281" s="135">
        <v>45807.0</v>
      </c>
      <c r="M281" s="153"/>
      <c r="N281" s="135">
        <v>46022.0</v>
      </c>
      <c r="O281" s="153"/>
      <c r="P281" s="153"/>
      <c r="Q281" s="153"/>
      <c r="R281" s="153"/>
      <c r="S281" s="153"/>
      <c r="T281" s="136">
        <v>6.899377E8</v>
      </c>
      <c r="U281" s="136">
        <v>627216.09</v>
      </c>
      <c r="V281" s="137" t="s">
        <v>3737</v>
      </c>
      <c r="W281" s="134">
        <v>4.0</v>
      </c>
      <c r="X281" s="133" t="s">
        <v>1600</v>
      </c>
      <c r="Y281" s="133" t="s">
        <v>2613</v>
      </c>
      <c r="Z281" s="133" t="s">
        <v>1664</v>
      </c>
      <c r="AA281" s="133">
        <v>3.0</v>
      </c>
      <c r="AB281" s="133" t="s">
        <v>1602</v>
      </c>
      <c r="AC281" s="133" t="s">
        <v>70</v>
      </c>
    </row>
    <row r="282">
      <c r="A282" s="155">
        <v>2075004.0</v>
      </c>
      <c r="B282" s="127" t="s">
        <v>3783</v>
      </c>
      <c r="C282" s="127" t="s">
        <v>55</v>
      </c>
      <c r="D282" s="127" t="s">
        <v>3784</v>
      </c>
      <c r="E282" s="127" t="s">
        <v>3779</v>
      </c>
      <c r="F282" s="127" t="s">
        <v>3734</v>
      </c>
      <c r="H282" s="127" t="s">
        <v>3780</v>
      </c>
      <c r="I282" s="127" t="s">
        <v>288</v>
      </c>
      <c r="J282" s="127" t="s">
        <v>1664</v>
      </c>
      <c r="K282" s="128">
        <v>0.33</v>
      </c>
      <c r="L282" s="129">
        <v>45807.0</v>
      </c>
      <c r="M282" s="150"/>
      <c r="N282" s="129">
        <v>46022.0</v>
      </c>
      <c r="O282" s="150"/>
      <c r="P282" s="150"/>
      <c r="Q282" s="150"/>
      <c r="R282" s="150"/>
      <c r="S282" s="150"/>
      <c r="T282" s="130">
        <v>6.663931E8</v>
      </c>
      <c r="U282" s="130">
        <v>605811.91</v>
      </c>
      <c r="V282" s="131" t="s">
        <v>3737</v>
      </c>
      <c r="W282" s="128">
        <v>4.0</v>
      </c>
      <c r="X282" s="127" t="s">
        <v>1600</v>
      </c>
      <c r="Y282" s="127" t="s">
        <v>2613</v>
      </c>
      <c r="Z282" s="127" t="s">
        <v>1664</v>
      </c>
      <c r="AA282" s="127">
        <v>3.0</v>
      </c>
      <c r="AB282" s="127" t="s">
        <v>1602</v>
      </c>
      <c r="AC282" s="127" t="s">
        <v>70</v>
      </c>
    </row>
    <row r="283">
      <c r="A283" s="152">
        <v>2075096.0</v>
      </c>
      <c r="B283" s="133" t="s">
        <v>3785</v>
      </c>
      <c r="C283" s="133" t="s">
        <v>55</v>
      </c>
      <c r="D283" s="133" t="s">
        <v>3786</v>
      </c>
      <c r="E283" s="133" t="s">
        <v>3779</v>
      </c>
      <c r="F283" s="133" t="s">
        <v>3734</v>
      </c>
      <c r="H283" s="133" t="s">
        <v>3780</v>
      </c>
      <c r="I283" s="133" t="s">
        <v>1646</v>
      </c>
      <c r="J283" s="133" t="s">
        <v>1646</v>
      </c>
      <c r="K283" s="134">
        <v>0.55</v>
      </c>
      <c r="L283" s="135">
        <v>45807.0</v>
      </c>
      <c r="M283" s="153"/>
      <c r="N283" s="135">
        <v>46022.0</v>
      </c>
      <c r="O283" s="153"/>
      <c r="P283" s="153"/>
      <c r="Q283" s="153"/>
      <c r="R283" s="153"/>
      <c r="S283" s="153"/>
      <c r="T283" s="136">
        <v>6.551271E8</v>
      </c>
      <c r="U283" s="136">
        <v>595570.09</v>
      </c>
      <c r="V283" s="137" t="s">
        <v>3737</v>
      </c>
      <c r="W283" s="134">
        <v>4.0</v>
      </c>
      <c r="X283" s="133" t="s">
        <v>1600</v>
      </c>
      <c r="Y283" s="133" t="s">
        <v>2613</v>
      </c>
      <c r="Z283" s="133" t="s">
        <v>1646</v>
      </c>
      <c r="AA283" s="133">
        <v>14.0</v>
      </c>
      <c r="AB283" s="133" t="s">
        <v>1602</v>
      </c>
      <c r="AC283" s="133" t="s">
        <v>70</v>
      </c>
    </row>
    <row r="284">
      <c r="A284" s="138">
        <v>7029.0</v>
      </c>
      <c r="B284" s="149">
        <v>0.0</v>
      </c>
      <c r="C284" s="127" t="s">
        <v>80</v>
      </c>
      <c r="D284" s="127" t="s">
        <v>3787</v>
      </c>
      <c r="E284" s="127" t="s">
        <v>3750</v>
      </c>
      <c r="F284" s="127" t="s">
        <v>3751</v>
      </c>
      <c r="G284" s="150"/>
      <c r="H284" s="127" t="s">
        <v>57</v>
      </c>
      <c r="I284" s="127" t="s">
        <v>443</v>
      </c>
      <c r="J284" s="127" t="s">
        <v>122</v>
      </c>
      <c r="K284" s="128">
        <v>0.0</v>
      </c>
      <c r="L284" s="129">
        <v>45931.0</v>
      </c>
      <c r="M284" s="150"/>
      <c r="N284" s="129">
        <v>46476.0</v>
      </c>
      <c r="O284" s="150"/>
      <c r="P284" s="150"/>
      <c r="Q284" s="150"/>
      <c r="R284" s="150"/>
      <c r="S284" s="150"/>
      <c r="T284" s="130">
        <v>5.5E9</v>
      </c>
      <c r="U284" s="130">
        <v>5000000.0</v>
      </c>
      <c r="V284" s="131" t="s">
        <v>2598</v>
      </c>
      <c r="W284" s="128">
        <v>3.0</v>
      </c>
      <c r="X284" s="127" t="s">
        <v>122</v>
      </c>
      <c r="Y284" s="127" t="s">
        <v>1601</v>
      </c>
      <c r="Z284" s="127" t="s">
        <v>122</v>
      </c>
      <c r="AA284" s="127">
        <v>27.0</v>
      </c>
      <c r="AB284" s="127" t="s">
        <v>1602</v>
      </c>
      <c r="AC284" s="127" t="s">
        <v>70</v>
      </c>
    </row>
    <row r="285">
      <c r="A285" s="152">
        <v>2074945.0</v>
      </c>
      <c r="B285" s="133" t="s">
        <v>3788</v>
      </c>
      <c r="C285" s="133" t="s">
        <v>55</v>
      </c>
      <c r="D285" s="133" t="s">
        <v>3789</v>
      </c>
      <c r="E285" s="133" t="s">
        <v>3779</v>
      </c>
      <c r="F285" s="133" t="s">
        <v>3734</v>
      </c>
      <c r="H285" s="133" t="s">
        <v>3780</v>
      </c>
      <c r="I285" s="133" t="s">
        <v>319</v>
      </c>
      <c r="J285" s="133" t="s">
        <v>1664</v>
      </c>
      <c r="K285" s="134">
        <v>0.1903</v>
      </c>
      <c r="L285" s="135">
        <v>45807.0</v>
      </c>
      <c r="M285" s="153"/>
      <c r="N285" s="135">
        <v>46022.0</v>
      </c>
      <c r="O285" s="153"/>
      <c r="P285" s="153"/>
      <c r="Q285" s="153"/>
      <c r="R285" s="153"/>
      <c r="S285" s="153"/>
      <c r="T285" s="136">
        <v>6.394254E8</v>
      </c>
      <c r="U285" s="136">
        <v>581295.82</v>
      </c>
      <c r="V285" s="137" t="s">
        <v>3737</v>
      </c>
      <c r="W285" s="134">
        <v>4.0</v>
      </c>
      <c r="X285" s="133" t="s">
        <v>1600</v>
      </c>
      <c r="Y285" s="133" t="s">
        <v>2613</v>
      </c>
      <c r="Z285" s="133" t="s">
        <v>1664</v>
      </c>
      <c r="AA285" s="133">
        <v>3.0</v>
      </c>
      <c r="AB285" s="133" t="s">
        <v>1602</v>
      </c>
      <c r="AC285" s="133" t="s">
        <v>70</v>
      </c>
    </row>
    <row r="286">
      <c r="A286" s="155">
        <v>2075218.0</v>
      </c>
      <c r="B286" s="127" t="s">
        <v>3790</v>
      </c>
      <c r="C286" s="127" t="s">
        <v>55</v>
      </c>
      <c r="D286" s="127" t="s">
        <v>3791</v>
      </c>
      <c r="E286" s="127" t="s">
        <v>3779</v>
      </c>
      <c r="F286" s="127" t="s">
        <v>3734</v>
      </c>
      <c r="H286" s="127" t="s">
        <v>3780</v>
      </c>
      <c r="I286" s="127" t="s">
        <v>466</v>
      </c>
      <c r="J286" s="127" t="s">
        <v>99</v>
      </c>
      <c r="K286" s="128">
        <v>0.3</v>
      </c>
      <c r="L286" s="129">
        <v>45807.0</v>
      </c>
      <c r="M286" s="150"/>
      <c r="N286" s="129">
        <v>46022.0</v>
      </c>
      <c r="O286" s="150"/>
      <c r="P286" s="150"/>
      <c r="Q286" s="150"/>
      <c r="R286" s="150"/>
      <c r="S286" s="150"/>
      <c r="T286" s="130">
        <v>6.369418E8</v>
      </c>
      <c r="U286" s="130">
        <v>579038.0</v>
      </c>
      <c r="V286" s="131" t="s">
        <v>3737</v>
      </c>
      <c r="W286" s="128">
        <v>4.0</v>
      </c>
      <c r="X286" s="127" t="s">
        <v>1600</v>
      </c>
      <c r="Y286" s="127" t="s">
        <v>2613</v>
      </c>
      <c r="Z286" s="127" t="s">
        <v>1683</v>
      </c>
      <c r="AA286" s="127">
        <v>9.0</v>
      </c>
      <c r="AB286" s="127" t="s">
        <v>1602</v>
      </c>
      <c r="AC286" s="127" t="s">
        <v>70</v>
      </c>
    </row>
    <row r="287">
      <c r="A287" s="152">
        <v>2075035.0</v>
      </c>
      <c r="B287" s="133" t="s">
        <v>3792</v>
      </c>
      <c r="C287" s="133" t="s">
        <v>55</v>
      </c>
      <c r="D287" s="133" t="s">
        <v>3793</v>
      </c>
      <c r="E287" s="133" t="s">
        <v>3779</v>
      </c>
      <c r="F287" s="133" t="s">
        <v>3734</v>
      </c>
      <c r="H287" s="133" t="s">
        <v>3780</v>
      </c>
      <c r="I287" s="133" t="s">
        <v>3794</v>
      </c>
      <c r="J287" s="133" t="s">
        <v>1664</v>
      </c>
      <c r="K287" s="134">
        <v>0.04</v>
      </c>
      <c r="L287" s="135">
        <v>45807.0</v>
      </c>
      <c r="M287" s="153"/>
      <c r="N287" s="135">
        <v>46022.0</v>
      </c>
      <c r="O287" s="153"/>
      <c r="P287" s="153"/>
      <c r="Q287" s="153"/>
      <c r="R287" s="153"/>
      <c r="S287" s="153"/>
      <c r="T287" s="136">
        <v>6.334278E8</v>
      </c>
      <c r="U287" s="136">
        <v>575843.45</v>
      </c>
      <c r="V287" s="137" t="s">
        <v>3737</v>
      </c>
      <c r="W287" s="134">
        <v>4.0</v>
      </c>
      <c r="X287" s="133" t="s">
        <v>1600</v>
      </c>
      <c r="Y287" s="133" t="s">
        <v>2613</v>
      </c>
      <c r="Z287" s="133" t="s">
        <v>1664</v>
      </c>
      <c r="AA287" s="133">
        <v>3.0</v>
      </c>
      <c r="AB287" s="133" t="s">
        <v>1602</v>
      </c>
      <c r="AC287" s="133" t="s">
        <v>70</v>
      </c>
    </row>
    <row r="288">
      <c r="A288" s="138" t="s">
        <v>3795</v>
      </c>
      <c r="B288" s="127" t="s">
        <v>3796</v>
      </c>
      <c r="C288" s="127" t="s">
        <v>55</v>
      </c>
      <c r="D288" s="127" t="s">
        <v>3797</v>
      </c>
      <c r="E288" s="127" t="s">
        <v>3779</v>
      </c>
      <c r="F288" s="127" t="s">
        <v>3734</v>
      </c>
      <c r="H288" s="127" t="s">
        <v>3780</v>
      </c>
      <c r="I288" s="127" t="s">
        <v>110</v>
      </c>
      <c r="J288" s="127" t="s">
        <v>1702</v>
      </c>
      <c r="K288" s="128">
        <v>0.11</v>
      </c>
      <c r="L288" s="129">
        <v>45807.0</v>
      </c>
      <c r="M288" s="150"/>
      <c r="N288" s="129">
        <v>46022.0</v>
      </c>
      <c r="O288" s="150"/>
      <c r="P288" s="150"/>
      <c r="Q288" s="150"/>
      <c r="R288" s="150"/>
      <c r="S288" s="150"/>
      <c r="T288" s="130">
        <v>6.25624E8</v>
      </c>
      <c r="U288" s="130">
        <v>568749.09</v>
      </c>
      <c r="V288" s="131" t="s">
        <v>3737</v>
      </c>
      <c r="W288" s="128">
        <v>4.0</v>
      </c>
      <c r="X288" s="127" t="s">
        <v>1600</v>
      </c>
      <c r="Y288" s="127" t="s">
        <v>2613</v>
      </c>
      <c r="Z288" s="127" t="s">
        <v>1702</v>
      </c>
      <c r="AA288" s="127">
        <v>21.0</v>
      </c>
      <c r="AB288" s="127" t="s">
        <v>1602</v>
      </c>
      <c r="AC288" s="127" t="s">
        <v>70</v>
      </c>
    </row>
    <row r="289">
      <c r="A289" s="152">
        <v>2075065.0</v>
      </c>
      <c r="B289" s="133" t="s">
        <v>3798</v>
      </c>
      <c r="C289" s="133" t="s">
        <v>55</v>
      </c>
      <c r="D289" s="133" t="s">
        <v>3799</v>
      </c>
      <c r="E289" s="133" t="s">
        <v>3779</v>
      </c>
      <c r="F289" s="133" t="s">
        <v>3734</v>
      </c>
      <c r="H289" s="133" t="s">
        <v>3780</v>
      </c>
      <c r="I289" s="133" t="s">
        <v>408</v>
      </c>
      <c r="J289" s="133" t="s">
        <v>408</v>
      </c>
      <c r="K289" s="134">
        <v>0.04</v>
      </c>
      <c r="L289" s="135">
        <v>45807.0</v>
      </c>
      <c r="M289" s="153"/>
      <c r="N289" s="135">
        <v>46022.0</v>
      </c>
      <c r="O289" s="153"/>
      <c r="P289" s="153"/>
      <c r="Q289" s="153"/>
      <c r="R289" s="153"/>
      <c r="S289" s="153"/>
      <c r="T289" s="136">
        <v>6.246625E8</v>
      </c>
      <c r="U289" s="136">
        <v>567875.0</v>
      </c>
      <c r="V289" s="137" t="s">
        <v>3737</v>
      </c>
      <c r="W289" s="134">
        <v>4.0</v>
      </c>
      <c r="X289" s="133" t="s">
        <v>1600</v>
      </c>
      <c r="Y289" s="133" t="s">
        <v>2613</v>
      </c>
      <c r="Z289" s="133" t="s">
        <v>408</v>
      </c>
      <c r="AA289" s="133">
        <v>15.0</v>
      </c>
      <c r="AB289" s="133" t="s">
        <v>1602</v>
      </c>
      <c r="AC289" s="133" t="s">
        <v>70</v>
      </c>
    </row>
    <row r="290">
      <c r="A290" s="155">
        <v>2075249.0</v>
      </c>
      <c r="B290" s="127" t="s">
        <v>3800</v>
      </c>
      <c r="C290" s="127" t="s">
        <v>55</v>
      </c>
      <c r="D290" s="127" t="s">
        <v>3801</v>
      </c>
      <c r="E290" s="127" t="s">
        <v>3779</v>
      </c>
      <c r="F290" s="127" t="s">
        <v>3734</v>
      </c>
      <c r="H290" s="127" t="s">
        <v>3780</v>
      </c>
      <c r="I290" s="127" t="s">
        <v>464</v>
      </c>
      <c r="J290" s="127" t="s">
        <v>99</v>
      </c>
      <c r="K290" s="128">
        <v>0.37</v>
      </c>
      <c r="L290" s="129">
        <v>45807.0</v>
      </c>
      <c r="M290" s="150"/>
      <c r="N290" s="129">
        <v>46022.0</v>
      </c>
      <c r="O290" s="150"/>
      <c r="P290" s="150"/>
      <c r="Q290" s="150"/>
      <c r="R290" s="150"/>
      <c r="S290" s="150"/>
      <c r="T290" s="130">
        <v>6.176987E8</v>
      </c>
      <c r="U290" s="130">
        <v>561544.27</v>
      </c>
      <c r="V290" s="131" t="s">
        <v>3737</v>
      </c>
      <c r="W290" s="128">
        <v>4.0</v>
      </c>
      <c r="X290" s="127" t="s">
        <v>1600</v>
      </c>
      <c r="Y290" s="127" t="s">
        <v>2613</v>
      </c>
      <c r="Z290" s="127" t="s">
        <v>1683</v>
      </c>
      <c r="AA290" s="127">
        <v>9.0</v>
      </c>
      <c r="AB290" s="127" t="s">
        <v>1602</v>
      </c>
      <c r="AC290" s="127" t="s">
        <v>70</v>
      </c>
    </row>
    <row r="291">
      <c r="A291" s="152">
        <v>2075279.0</v>
      </c>
      <c r="B291" s="133" t="s">
        <v>3802</v>
      </c>
      <c r="C291" s="133" t="s">
        <v>55</v>
      </c>
      <c r="D291" s="133" t="s">
        <v>3803</v>
      </c>
      <c r="E291" s="133" t="s">
        <v>3779</v>
      </c>
      <c r="F291" s="133" t="s">
        <v>3734</v>
      </c>
      <c r="H291" s="133" t="s">
        <v>3780</v>
      </c>
      <c r="I291" s="133" t="s">
        <v>39</v>
      </c>
      <c r="J291" s="133" t="s">
        <v>39</v>
      </c>
      <c r="K291" s="134">
        <v>0.17</v>
      </c>
      <c r="L291" s="135">
        <v>45807.0</v>
      </c>
      <c r="M291" s="153"/>
      <c r="N291" s="135">
        <v>46022.0</v>
      </c>
      <c r="O291" s="153"/>
      <c r="P291" s="153"/>
      <c r="Q291" s="153"/>
      <c r="R291" s="153"/>
      <c r="S291" s="153"/>
      <c r="T291" s="136">
        <v>5.669138E8</v>
      </c>
      <c r="U291" s="136">
        <v>515376.18</v>
      </c>
      <c r="V291" s="137" t="s">
        <v>3737</v>
      </c>
      <c r="W291" s="134">
        <v>4.0</v>
      </c>
      <c r="X291" s="133" t="s">
        <v>147</v>
      </c>
      <c r="Y291" s="133" t="s">
        <v>2613</v>
      </c>
      <c r="Z291" s="133" t="s">
        <v>39</v>
      </c>
      <c r="AA291" s="133">
        <v>4.0</v>
      </c>
      <c r="AB291" s="133" t="s">
        <v>1565</v>
      </c>
      <c r="AC291" s="133" t="s">
        <v>70</v>
      </c>
    </row>
    <row r="292">
      <c r="A292" s="155">
        <v>2075157.0</v>
      </c>
      <c r="B292" s="127" t="s">
        <v>3804</v>
      </c>
      <c r="C292" s="127" t="s">
        <v>55</v>
      </c>
      <c r="D292" s="127" t="s">
        <v>3805</v>
      </c>
      <c r="E292" s="127" t="s">
        <v>3779</v>
      </c>
      <c r="F292" s="127" t="s">
        <v>3734</v>
      </c>
      <c r="H292" s="127" t="s">
        <v>3780</v>
      </c>
      <c r="I292" s="127" t="s">
        <v>517</v>
      </c>
      <c r="J292" s="127" t="s">
        <v>1674</v>
      </c>
      <c r="K292" s="128">
        <v>0.24</v>
      </c>
      <c r="L292" s="129">
        <v>45807.0</v>
      </c>
      <c r="M292" s="150"/>
      <c r="N292" s="129">
        <v>46022.0</v>
      </c>
      <c r="O292" s="150"/>
      <c r="P292" s="150"/>
      <c r="Q292" s="150"/>
      <c r="R292" s="150"/>
      <c r="S292" s="150"/>
      <c r="T292" s="130">
        <v>5.601432E8</v>
      </c>
      <c r="U292" s="130">
        <v>509221.09</v>
      </c>
      <c r="V292" s="131" t="s">
        <v>3737</v>
      </c>
      <c r="W292" s="128">
        <v>4.0</v>
      </c>
      <c r="X292" s="127" t="s">
        <v>1600</v>
      </c>
      <c r="Y292" s="127" t="s">
        <v>2613</v>
      </c>
      <c r="Z292" s="127" t="s">
        <v>1674</v>
      </c>
      <c r="AA292" s="127">
        <v>26.0</v>
      </c>
      <c r="AB292" s="127" t="s">
        <v>1602</v>
      </c>
      <c r="AC292" s="127" t="s">
        <v>70</v>
      </c>
    </row>
    <row r="293">
      <c r="A293" s="152">
        <v>2074976.0</v>
      </c>
      <c r="B293" s="133" t="s">
        <v>3806</v>
      </c>
      <c r="C293" s="133" t="s">
        <v>55</v>
      </c>
      <c r="D293" s="133" t="s">
        <v>3807</v>
      </c>
      <c r="E293" s="133" t="s">
        <v>3779</v>
      </c>
      <c r="F293" s="133" t="s">
        <v>3734</v>
      </c>
      <c r="H293" s="133" t="s">
        <v>3780</v>
      </c>
      <c r="I293" s="133" t="s">
        <v>3132</v>
      </c>
      <c r="J293" s="133" t="s">
        <v>1747</v>
      </c>
      <c r="K293" s="134">
        <v>0.24</v>
      </c>
      <c r="L293" s="135">
        <v>45807.0</v>
      </c>
      <c r="M293" s="153"/>
      <c r="N293" s="135">
        <v>46022.0</v>
      </c>
      <c r="O293" s="153"/>
      <c r="P293" s="153"/>
      <c r="Q293" s="153"/>
      <c r="R293" s="153"/>
      <c r="S293" s="153"/>
      <c r="T293" s="136">
        <v>5.483053E8</v>
      </c>
      <c r="U293" s="136">
        <v>498459.36</v>
      </c>
      <c r="V293" s="137" t="s">
        <v>3737</v>
      </c>
      <c r="W293" s="134">
        <v>4.0</v>
      </c>
      <c r="X293" s="133" t="s">
        <v>1600</v>
      </c>
      <c r="Y293" s="133" t="s">
        <v>2613</v>
      </c>
      <c r="Z293" s="133" t="s">
        <v>1747</v>
      </c>
      <c r="AA293" s="133">
        <v>6.0</v>
      </c>
      <c r="AB293" s="133" t="s">
        <v>1602</v>
      </c>
      <c r="AC293" s="133" t="s">
        <v>70</v>
      </c>
    </row>
    <row r="294">
      <c r="A294" s="138">
        <v>5391.0</v>
      </c>
      <c r="B294" s="127" t="s">
        <v>3808</v>
      </c>
      <c r="C294" s="127" t="s">
        <v>55</v>
      </c>
      <c r="D294" s="127" t="s">
        <v>3809</v>
      </c>
      <c r="E294" s="127" t="s">
        <v>3745</v>
      </c>
      <c r="F294" s="127" t="s">
        <v>3734</v>
      </c>
      <c r="H294" s="127" t="s">
        <v>2793</v>
      </c>
      <c r="I294" s="127" t="s">
        <v>1986</v>
      </c>
      <c r="J294" s="127" t="s">
        <v>58</v>
      </c>
      <c r="K294" s="128">
        <v>0.0</v>
      </c>
      <c r="L294" s="129">
        <v>45838.0</v>
      </c>
      <c r="M294" s="150"/>
      <c r="N294" s="129">
        <v>46142.0</v>
      </c>
      <c r="O294" s="150"/>
      <c r="P294" s="150"/>
      <c r="Q294" s="150"/>
      <c r="R294" s="150"/>
      <c r="S294" s="150"/>
      <c r="T294" s="130">
        <v>5.1865E8</v>
      </c>
      <c r="U294" s="130">
        <v>471500.0</v>
      </c>
      <c r="V294" s="131" t="s">
        <v>2598</v>
      </c>
      <c r="W294" s="128">
        <v>2.0</v>
      </c>
      <c r="X294" s="127" t="s">
        <v>1600</v>
      </c>
      <c r="Y294" s="127" t="s">
        <v>1601</v>
      </c>
      <c r="Z294" s="127" t="s">
        <v>58</v>
      </c>
      <c r="AA294" s="127">
        <v>1.0</v>
      </c>
      <c r="AB294" s="127" t="s">
        <v>1602</v>
      </c>
      <c r="AC294" s="127" t="s">
        <v>70</v>
      </c>
    </row>
    <row r="295">
      <c r="A295" s="132">
        <v>7733.0</v>
      </c>
      <c r="B295" s="133" t="s">
        <v>3810</v>
      </c>
      <c r="C295" s="133" t="s">
        <v>80</v>
      </c>
      <c r="D295" s="133" t="s">
        <v>3811</v>
      </c>
      <c r="E295" s="133" t="s">
        <v>3750</v>
      </c>
      <c r="F295" s="133" t="s">
        <v>3751</v>
      </c>
      <c r="G295" s="153"/>
      <c r="H295" s="133" t="s">
        <v>57</v>
      </c>
      <c r="I295" s="133" t="s">
        <v>419</v>
      </c>
      <c r="J295" s="133" t="s">
        <v>32</v>
      </c>
      <c r="K295" s="134">
        <v>0.0</v>
      </c>
      <c r="L295" s="135">
        <v>45931.0</v>
      </c>
      <c r="M295" s="153"/>
      <c r="N295" s="135">
        <v>46325.0</v>
      </c>
      <c r="O295" s="153"/>
      <c r="P295" s="153"/>
      <c r="Q295" s="153"/>
      <c r="R295" s="153"/>
      <c r="S295" s="153"/>
      <c r="T295" s="136">
        <v>1.19255E9</v>
      </c>
      <c r="U295" s="136">
        <v>1084136.36</v>
      </c>
      <c r="V295" s="137" t="s">
        <v>2598</v>
      </c>
      <c r="W295" s="134">
        <v>3.0</v>
      </c>
      <c r="X295" s="133" t="s">
        <v>1600</v>
      </c>
      <c r="Y295" s="133" t="s">
        <v>1601</v>
      </c>
      <c r="Z295" s="133" t="s">
        <v>32</v>
      </c>
      <c r="AA295" s="133">
        <v>2.0</v>
      </c>
      <c r="AB295" s="133" t="s">
        <v>1602</v>
      </c>
      <c r="AC295" s="133" t="s">
        <v>70</v>
      </c>
    </row>
    <row r="296">
      <c r="A296" s="138">
        <v>7805.0</v>
      </c>
      <c r="B296" s="149">
        <v>0.0</v>
      </c>
      <c r="C296" s="127" t="s">
        <v>80</v>
      </c>
      <c r="D296" s="127" t="s">
        <v>3812</v>
      </c>
      <c r="E296" s="127" t="s">
        <v>3750</v>
      </c>
      <c r="F296" s="127" t="s">
        <v>3751</v>
      </c>
      <c r="G296" s="150"/>
      <c r="H296" s="127" t="s">
        <v>57</v>
      </c>
      <c r="I296" s="127" t="s">
        <v>3813</v>
      </c>
      <c r="J296" s="127" t="s">
        <v>161</v>
      </c>
      <c r="K296" s="128">
        <v>0.0</v>
      </c>
      <c r="L296" s="129">
        <v>46235.0</v>
      </c>
      <c r="M296" s="150"/>
      <c r="N296" s="129">
        <v>46752.0</v>
      </c>
      <c r="O296" s="150"/>
      <c r="P296" s="150"/>
      <c r="Q296" s="150"/>
      <c r="R296" s="150"/>
      <c r="S296" s="150"/>
      <c r="T296" s="130">
        <v>2.3338E9</v>
      </c>
      <c r="U296" s="130">
        <v>2121636.36</v>
      </c>
      <c r="V296" s="131" t="s">
        <v>2598</v>
      </c>
      <c r="W296" s="128">
        <v>3.0</v>
      </c>
      <c r="X296" s="127" t="s">
        <v>1600</v>
      </c>
      <c r="Y296" s="127" t="s">
        <v>1601</v>
      </c>
      <c r="Z296" s="127" t="s">
        <v>161</v>
      </c>
      <c r="AA296" s="127">
        <v>23.0</v>
      </c>
      <c r="AB296" s="127" t="s">
        <v>1602</v>
      </c>
      <c r="AC296" s="127" t="s">
        <v>70</v>
      </c>
    </row>
    <row r="297">
      <c r="A297" s="132">
        <v>7800.0</v>
      </c>
      <c r="B297" s="149">
        <v>0.0</v>
      </c>
      <c r="C297" s="133" t="s">
        <v>80</v>
      </c>
      <c r="D297" s="133" t="s">
        <v>3814</v>
      </c>
      <c r="E297" s="133" t="s">
        <v>3750</v>
      </c>
      <c r="F297" s="133" t="s">
        <v>3751</v>
      </c>
      <c r="G297" s="153"/>
      <c r="H297" s="133" t="s">
        <v>57</v>
      </c>
      <c r="I297" s="133" t="s">
        <v>662</v>
      </c>
      <c r="J297" s="133" t="s">
        <v>1702</v>
      </c>
      <c r="K297" s="134">
        <v>0.0</v>
      </c>
      <c r="L297" s="135">
        <v>46127.0</v>
      </c>
      <c r="M297" s="153"/>
      <c r="N297" s="135">
        <v>46568.0</v>
      </c>
      <c r="O297" s="153"/>
      <c r="P297" s="153"/>
      <c r="Q297" s="153"/>
      <c r="R297" s="153"/>
      <c r="S297" s="153"/>
      <c r="T297" s="136">
        <v>2.3338E9</v>
      </c>
      <c r="U297" s="136">
        <v>2121636.36</v>
      </c>
      <c r="V297" s="137" t="s">
        <v>2598</v>
      </c>
      <c r="W297" s="134">
        <v>3.0</v>
      </c>
      <c r="X297" s="133" t="s">
        <v>1600</v>
      </c>
      <c r="Y297" s="133" t="s">
        <v>1601</v>
      </c>
      <c r="Z297" s="133" t="s">
        <v>1702</v>
      </c>
      <c r="AA297" s="133">
        <v>21.0</v>
      </c>
      <c r="AB297" s="133" t="s">
        <v>1602</v>
      </c>
      <c r="AC297" s="133" t="s">
        <v>70</v>
      </c>
    </row>
    <row r="298">
      <c r="A298" s="138">
        <v>7731.0</v>
      </c>
      <c r="B298" s="149">
        <v>0.0</v>
      </c>
      <c r="C298" s="127" t="s">
        <v>80</v>
      </c>
      <c r="D298" s="127" t="s">
        <v>3815</v>
      </c>
      <c r="E298" s="127" t="s">
        <v>3750</v>
      </c>
      <c r="F298" s="127" t="s">
        <v>3751</v>
      </c>
      <c r="G298" s="150"/>
      <c r="H298" s="127" t="s">
        <v>64</v>
      </c>
      <c r="I298" s="127" t="s">
        <v>3816</v>
      </c>
      <c r="J298" s="127" t="s">
        <v>32</v>
      </c>
      <c r="K298" s="128">
        <v>0.0</v>
      </c>
      <c r="L298" s="129">
        <v>45992.0</v>
      </c>
      <c r="M298" s="150"/>
      <c r="N298" s="129">
        <v>46357.0</v>
      </c>
      <c r="O298" s="150"/>
      <c r="P298" s="150"/>
      <c r="Q298" s="150"/>
      <c r="R298" s="150"/>
      <c r="S298" s="150"/>
      <c r="T298" s="130">
        <v>1.8E9</v>
      </c>
      <c r="U298" s="130">
        <v>1636363.64</v>
      </c>
      <c r="V298" s="131" t="s">
        <v>2598</v>
      </c>
      <c r="W298" s="128">
        <v>3.0</v>
      </c>
      <c r="X298" s="127" t="s">
        <v>1600</v>
      </c>
      <c r="Y298" s="127" t="s">
        <v>1601</v>
      </c>
      <c r="Z298" s="127" t="s">
        <v>32</v>
      </c>
      <c r="AA298" s="127">
        <v>2.0</v>
      </c>
      <c r="AB298" s="127" t="s">
        <v>1602</v>
      </c>
      <c r="AC298" s="127" t="s">
        <v>70</v>
      </c>
    </row>
    <row r="299">
      <c r="A299" s="126">
        <v>7604.0</v>
      </c>
      <c r="B299" s="149">
        <v>0.0</v>
      </c>
      <c r="C299" s="133" t="s">
        <v>80</v>
      </c>
      <c r="D299" s="133" t="s">
        <v>3817</v>
      </c>
      <c r="E299" s="133" t="s">
        <v>3750</v>
      </c>
      <c r="F299" s="133" t="s">
        <v>3751</v>
      </c>
      <c r="G299" s="153"/>
      <c r="H299" s="133" t="s">
        <v>57</v>
      </c>
      <c r="I299" s="133" t="s">
        <v>3818</v>
      </c>
      <c r="J299" s="133" t="s">
        <v>32</v>
      </c>
      <c r="K299" s="134">
        <v>0.0</v>
      </c>
      <c r="L299" s="135">
        <v>46235.0</v>
      </c>
      <c r="M299" s="153"/>
      <c r="N299" s="135">
        <v>46752.0</v>
      </c>
      <c r="O299" s="153"/>
      <c r="P299" s="153"/>
      <c r="Q299" s="153"/>
      <c r="R299" s="153"/>
      <c r="S299" s="153"/>
      <c r="T299" s="136">
        <v>1.8E9</v>
      </c>
      <c r="U299" s="136">
        <v>1636363.64</v>
      </c>
      <c r="V299" s="137" t="s">
        <v>2598</v>
      </c>
      <c r="W299" s="134">
        <v>3.0</v>
      </c>
      <c r="X299" s="133" t="s">
        <v>1600</v>
      </c>
      <c r="Y299" s="133" t="s">
        <v>1601</v>
      </c>
      <c r="Z299" s="133" t="s">
        <v>32</v>
      </c>
      <c r="AA299" s="133">
        <v>2.0</v>
      </c>
      <c r="AB299" s="133" t="s">
        <v>1602</v>
      </c>
      <c r="AC299" s="133" t="s">
        <v>70</v>
      </c>
    </row>
    <row r="300">
      <c r="A300" s="138">
        <v>6631.0</v>
      </c>
      <c r="B300" s="127" t="s">
        <v>3819</v>
      </c>
      <c r="C300" s="127" t="s">
        <v>80</v>
      </c>
      <c r="D300" s="127" t="s">
        <v>3820</v>
      </c>
      <c r="E300" s="127" t="s">
        <v>3750</v>
      </c>
      <c r="F300" s="127" t="s">
        <v>3751</v>
      </c>
      <c r="G300" s="150"/>
      <c r="H300" s="127" t="s">
        <v>76</v>
      </c>
      <c r="I300" s="127" t="s">
        <v>514</v>
      </c>
      <c r="J300" s="127" t="s">
        <v>1702</v>
      </c>
      <c r="K300" s="128">
        <v>0.0</v>
      </c>
      <c r="L300" s="129">
        <v>45868.0</v>
      </c>
      <c r="M300" s="150"/>
      <c r="N300" s="129">
        <v>46022.0</v>
      </c>
      <c r="O300" s="150"/>
      <c r="P300" s="150"/>
      <c r="Q300" s="150"/>
      <c r="R300" s="150"/>
      <c r="S300" s="150"/>
      <c r="T300" s="130">
        <v>2.8E8</v>
      </c>
      <c r="U300" s="130">
        <v>254545.45</v>
      </c>
      <c r="V300" s="131" t="s">
        <v>2598</v>
      </c>
      <c r="W300" s="128">
        <v>2.0</v>
      </c>
      <c r="X300" s="127" t="s">
        <v>1600</v>
      </c>
      <c r="Y300" s="127" t="s">
        <v>1601</v>
      </c>
      <c r="Z300" s="127" t="s">
        <v>1702</v>
      </c>
      <c r="AA300" s="127">
        <v>21.0</v>
      </c>
      <c r="AB300" s="127" t="s">
        <v>1602</v>
      </c>
      <c r="AC300" s="127" t="s">
        <v>70</v>
      </c>
    </row>
    <row r="301">
      <c r="A301" s="132">
        <v>7032.0</v>
      </c>
      <c r="B301" s="133" t="s">
        <v>3821</v>
      </c>
      <c r="C301" s="133" t="s">
        <v>80</v>
      </c>
      <c r="D301" s="133" t="s">
        <v>3822</v>
      </c>
      <c r="E301" s="133" t="s">
        <v>3750</v>
      </c>
      <c r="F301" s="133" t="s">
        <v>3751</v>
      </c>
      <c r="G301" s="153"/>
      <c r="H301" s="133" t="s">
        <v>76</v>
      </c>
      <c r="I301" s="133" t="s">
        <v>443</v>
      </c>
      <c r="J301" s="133" t="s">
        <v>122</v>
      </c>
      <c r="K301" s="134">
        <v>0.0</v>
      </c>
      <c r="L301" s="135">
        <v>45884.0</v>
      </c>
      <c r="M301" s="153"/>
      <c r="N301" s="135">
        <v>46204.0</v>
      </c>
      <c r="O301" s="153"/>
      <c r="P301" s="153"/>
      <c r="Q301" s="153"/>
      <c r="R301" s="153"/>
      <c r="S301" s="153"/>
      <c r="T301" s="136">
        <v>4.04169E9</v>
      </c>
      <c r="U301" s="136">
        <v>3674263.64</v>
      </c>
      <c r="V301" s="137" t="s">
        <v>2598</v>
      </c>
      <c r="W301" s="134">
        <v>2.0</v>
      </c>
      <c r="X301" s="133" t="s">
        <v>122</v>
      </c>
      <c r="Y301" s="133" t="s">
        <v>1601</v>
      </c>
      <c r="Z301" s="133" t="s">
        <v>122</v>
      </c>
      <c r="AA301" s="133">
        <v>27.0</v>
      </c>
      <c r="AB301" s="133" t="s">
        <v>1602</v>
      </c>
      <c r="AC301" s="133" t="s">
        <v>70</v>
      </c>
    </row>
    <row r="302">
      <c r="A302" s="155">
        <v>2086053.0</v>
      </c>
      <c r="B302" s="149">
        <v>0.0</v>
      </c>
      <c r="C302" s="127" t="s">
        <v>55</v>
      </c>
      <c r="D302" s="127" t="s">
        <v>3823</v>
      </c>
      <c r="E302" s="127" t="s">
        <v>3745</v>
      </c>
      <c r="F302" s="127" t="s">
        <v>3734</v>
      </c>
      <c r="H302" s="127" t="s">
        <v>57</v>
      </c>
      <c r="I302" s="127" t="s">
        <v>1986</v>
      </c>
      <c r="J302" s="127" t="s">
        <v>58</v>
      </c>
      <c r="K302" s="128">
        <v>0.0</v>
      </c>
      <c r="L302" s="129">
        <v>45870.0</v>
      </c>
      <c r="M302" s="150"/>
      <c r="N302" s="129">
        <v>46111.0</v>
      </c>
      <c r="O302" s="150"/>
      <c r="P302" s="150"/>
      <c r="Q302" s="150"/>
      <c r="R302" s="150"/>
      <c r="S302" s="150"/>
      <c r="T302" s="130">
        <v>3.1509E8</v>
      </c>
      <c r="U302" s="130">
        <v>286445.45</v>
      </c>
      <c r="V302" s="131" t="s">
        <v>2799</v>
      </c>
      <c r="W302" s="128">
        <v>3.0</v>
      </c>
      <c r="X302" s="127" t="s">
        <v>1600</v>
      </c>
      <c r="Y302" s="127" t="s">
        <v>1601</v>
      </c>
      <c r="Z302" s="127" t="s">
        <v>58</v>
      </c>
      <c r="AA302" s="127">
        <v>1.0</v>
      </c>
      <c r="AB302" s="127" t="s">
        <v>1602</v>
      </c>
      <c r="AC302" s="127" t="s">
        <v>70</v>
      </c>
    </row>
    <row r="303">
      <c r="A303" s="152">
        <v>2072873.0</v>
      </c>
      <c r="B303" s="149">
        <v>0.0</v>
      </c>
      <c r="C303" s="133" t="s">
        <v>55</v>
      </c>
      <c r="D303" s="133" t="s">
        <v>3824</v>
      </c>
      <c r="E303" s="133" t="s">
        <v>3745</v>
      </c>
      <c r="F303" s="133" t="s">
        <v>3734</v>
      </c>
      <c r="H303" s="133" t="s">
        <v>57</v>
      </c>
      <c r="I303" s="133" t="s">
        <v>214</v>
      </c>
      <c r="J303" s="133" t="s">
        <v>215</v>
      </c>
      <c r="K303" s="134">
        <v>0.0</v>
      </c>
      <c r="L303" s="135">
        <v>45962.0</v>
      </c>
      <c r="M303" s="153"/>
      <c r="N303" s="135">
        <v>46356.0</v>
      </c>
      <c r="O303" s="153"/>
      <c r="P303" s="153"/>
      <c r="Q303" s="153"/>
      <c r="R303" s="153"/>
      <c r="S303" s="153"/>
      <c r="T303" s="136">
        <v>1.7888E8</v>
      </c>
      <c r="U303" s="136">
        <v>162618.18</v>
      </c>
      <c r="V303" s="137" t="s">
        <v>3737</v>
      </c>
      <c r="W303" s="153"/>
      <c r="X303" s="133" t="s">
        <v>147</v>
      </c>
      <c r="Y303" s="133" t="s">
        <v>2613</v>
      </c>
      <c r="Z303" s="133" t="s">
        <v>215</v>
      </c>
      <c r="AA303" s="133">
        <v>16.0</v>
      </c>
      <c r="AB303" s="133" t="s">
        <v>1565</v>
      </c>
      <c r="AC303" s="133" t="s">
        <v>70</v>
      </c>
    </row>
    <row r="304">
      <c r="A304" s="155">
        <v>2086083.0</v>
      </c>
      <c r="B304" s="127" t="s">
        <v>3825</v>
      </c>
      <c r="C304" s="127" t="s">
        <v>55</v>
      </c>
      <c r="D304" s="127" t="s">
        <v>3826</v>
      </c>
      <c r="E304" s="127" t="s">
        <v>3745</v>
      </c>
      <c r="F304" s="127" t="s">
        <v>3734</v>
      </c>
      <c r="H304" s="127" t="s">
        <v>64</v>
      </c>
      <c r="I304" s="127" t="s">
        <v>1986</v>
      </c>
      <c r="J304" s="127" t="s">
        <v>58</v>
      </c>
      <c r="K304" s="128">
        <v>0.0</v>
      </c>
      <c r="L304" s="129">
        <v>45870.0</v>
      </c>
      <c r="M304" s="150"/>
      <c r="N304" s="129">
        <v>46111.0</v>
      </c>
      <c r="O304" s="150"/>
      <c r="P304" s="150"/>
      <c r="Q304" s="150"/>
      <c r="R304" s="150"/>
      <c r="S304" s="150"/>
      <c r="T304" s="130">
        <v>1.5908E8</v>
      </c>
      <c r="U304" s="130">
        <v>144618.18</v>
      </c>
      <c r="V304" s="131" t="s">
        <v>2799</v>
      </c>
      <c r="W304" s="128">
        <v>3.0</v>
      </c>
      <c r="X304" s="127" t="s">
        <v>1600</v>
      </c>
      <c r="Y304" s="127" t="s">
        <v>1601</v>
      </c>
      <c r="Z304" s="127" t="s">
        <v>58</v>
      </c>
      <c r="AA304" s="127">
        <v>1.0</v>
      </c>
      <c r="AB304" s="127" t="s">
        <v>1602</v>
      </c>
      <c r="AC304" s="127" t="s">
        <v>70</v>
      </c>
    </row>
    <row r="305">
      <c r="A305" s="132">
        <v>7807.0</v>
      </c>
      <c r="B305" s="149">
        <v>0.0</v>
      </c>
      <c r="C305" s="133" t="s">
        <v>80</v>
      </c>
      <c r="D305" s="133" t="s">
        <v>3827</v>
      </c>
      <c r="E305" s="133" t="s">
        <v>3750</v>
      </c>
      <c r="F305" s="133" t="s">
        <v>3751</v>
      </c>
      <c r="G305" s="153"/>
      <c r="H305" s="133" t="s">
        <v>57</v>
      </c>
      <c r="I305" s="133" t="s">
        <v>579</v>
      </c>
      <c r="J305" s="133" t="s">
        <v>161</v>
      </c>
      <c r="K305" s="134">
        <v>0.0</v>
      </c>
      <c r="L305" s="135">
        <v>45992.0</v>
      </c>
      <c r="M305" s="153"/>
      <c r="N305" s="135">
        <v>46568.0</v>
      </c>
      <c r="O305" s="153"/>
      <c r="P305" s="153"/>
      <c r="Q305" s="153"/>
      <c r="R305" s="153"/>
      <c r="S305" s="153"/>
      <c r="T305" s="136">
        <v>5.8E9</v>
      </c>
      <c r="U305" s="136">
        <v>5272727.27</v>
      </c>
      <c r="V305" s="137" t="s">
        <v>2598</v>
      </c>
      <c r="W305" s="134">
        <v>3.0</v>
      </c>
      <c r="X305" s="133" t="s">
        <v>1600</v>
      </c>
      <c r="Y305" s="133" t="s">
        <v>1601</v>
      </c>
      <c r="Z305" s="133" t="s">
        <v>161</v>
      </c>
      <c r="AA305" s="133">
        <v>23.0</v>
      </c>
      <c r="AB305" s="133" t="s">
        <v>1602</v>
      </c>
      <c r="AC305" s="133" t="s">
        <v>70</v>
      </c>
    </row>
    <row r="306">
      <c r="A306" s="138">
        <v>7616.0</v>
      </c>
      <c r="B306" s="149">
        <v>0.0</v>
      </c>
      <c r="C306" s="127" t="s">
        <v>80</v>
      </c>
      <c r="D306" s="127" t="s">
        <v>3828</v>
      </c>
      <c r="E306" s="127" t="s">
        <v>3829</v>
      </c>
      <c r="F306" s="127" t="s">
        <v>3751</v>
      </c>
      <c r="G306" s="150"/>
      <c r="H306" s="127" t="s">
        <v>57</v>
      </c>
      <c r="I306" s="127" t="s">
        <v>1986</v>
      </c>
      <c r="J306" s="127" t="s">
        <v>58</v>
      </c>
      <c r="K306" s="128">
        <v>0.0</v>
      </c>
      <c r="L306" s="129">
        <v>45809.0</v>
      </c>
      <c r="M306" s="150"/>
      <c r="N306" s="129">
        <v>46387.0</v>
      </c>
      <c r="O306" s="150"/>
      <c r="P306" s="150"/>
      <c r="Q306" s="150"/>
      <c r="R306" s="150"/>
      <c r="S306" s="150"/>
      <c r="T306" s="130">
        <v>1.771918E10</v>
      </c>
      <c r="U306" s="130">
        <v>1.610834545E7</v>
      </c>
      <c r="V306" s="131" t="s">
        <v>2598</v>
      </c>
      <c r="W306" s="128">
        <v>3.0</v>
      </c>
      <c r="X306" s="127" t="s">
        <v>1600</v>
      </c>
      <c r="Y306" s="127" t="s">
        <v>1601</v>
      </c>
      <c r="Z306" s="127" t="s">
        <v>58</v>
      </c>
      <c r="AA306" s="127">
        <v>1.0</v>
      </c>
      <c r="AB306" s="127" t="s">
        <v>1602</v>
      </c>
      <c r="AC306" s="127" t="s">
        <v>70</v>
      </c>
    </row>
    <row r="307">
      <c r="A307" s="132">
        <v>7566.0</v>
      </c>
      <c r="B307" s="149">
        <v>0.0</v>
      </c>
      <c r="C307" s="133" t="s">
        <v>80</v>
      </c>
      <c r="D307" s="133" t="s">
        <v>3830</v>
      </c>
      <c r="E307" s="133" t="s">
        <v>3750</v>
      </c>
      <c r="F307" s="133" t="s">
        <v>3751</v>
      </c>
      <c r="G307" s="153"/>
      <c r="H307" s="133" t="s">
        <v>57</v>
      </c>
      <c r="I307" s="133" t="s">
        <v>443</v>
      </c>
      <c r="J307" s="133" t="s">
        <v>122</v>
      </c>
      <c r="K307" s="134">
        <v>0.0</v>
      </c>
      <c r="L307" s="135">
        <v>45992.0</v>
      </c>
      <c r="M307" s="153"/>
      <c r="N307" s="135">
        <v>46387.0</v>
      </c>
      <c r="O307" s="153"/>
      <c r="P307" s="153"/>
      <c r="Q307" s="153"/>
      <c r="R307" s="153"/>
      <c r="S307" s="153"/>
      <c r="T307" s="136">
        <v>2.1E9</v>
      </c>
      <c r="U307" s="136">
        <v>1909090.91</v>
      </c>
      <c r="V307" s="137" t="s">
        <v>2598</v>
      </c>
      <c r="W307" s="134">
        <v>3.0</v>
      </c>
      <c r="X307" s="133" t="s">
        <v>122</v>
      </c>
      <c r="Y307" s="133" t="s">
        <v>1601</v>
      </c>
      <c r="Z307" s="133" t="s">
        <v>122</v>
      </c>
      <c r="AA307" s="133">
        <v>27.0</v>
      </c>
      <c r="AB307" s="133" t="s">
        <v>1602</v>
      </c>
      <c r="AC307" s="133" t="s">
        <v>70</v>
      </c>
    </row>
    <row r="308">
      <c r="A308" s="155">
        <v>2088490.0</v>
      </c>
      <c r="B308" s="149" t="s">
        <v>3755</v>
      </c>
      <c r="C308" s="127" t="s">
        <v>80</v>
      </c>
      <c r="D308" s="127" t="s">
        <v>3831</v>
      </c>
      <c r="E308" s="127" t="s">
        <v>3757</v>
      </c>
      <c r="F308" s="127" t="s">
        <v>3751</v>
      </c>
      <c r="G308" s="150"/>
      <c r="H308" s="127" t="s">
        <v>57</v>
      </c>
      <c r="I308" s="127" t="s">
        <v>159</v>
      </c>
      <c r="J308" s="127" t="s">
        <v>1747</v>
      </c>
      <c r="K308" s="128">
        <v>0.0</v>
      </c>
      <c r="L308" s="129">
        <v>45931.0</v>
      </c>
      <c r="M308" s="150"/>
      <c r="N308" s="129">
        <v>46387.0</v>
      </c>
      <c r="O308" s="150"/>
      <c r="P308" s="150"/>
      <c r="Q308" s="150"/>
      <c r="R308" s="150"/>
      <c r="S308" s="150"/>
      <c r="T308" s="130">
        <v>1.34431E10</v>
      </c>
      <c r="U308" s="130">
        <v>1.2221E7</v>
      </c>
      <c r="V308" s="131" t="s">
        <v>3832</v>
      </c>
      <c r="W308" s="128">
        <v>4.0</v>
      </c>
      <c r="X308" s="127" t="s">
        <v>1600</v>
      </c>
      <c r="Y308" s="127" t="s">
        <v>1601</v>
      </c>
      <c r="Z308" s="127" t="s">
        <v>1747</v>
      </c>
      <c r="AA308" s="127">
        <v>6.0</v>
      </c>
      <c r="AB308" s="127" t="s">
        <v>1602</v>
      </c>
      <c r="AC308" s="127" t="s">
        <v>70</v>
      </c>
    </row>
    <row r="309">
      <c r="A309" s="132">
        <v>7808.0</v>
      </c>
      <c r="B309" s="149" t="s">
        <v>3755</v>
      </c>
      <c r="C309" s="133" t="s">
        <v>80</v>
      </c>
      <c r="D309" s="133" t="s">
        <v>3833</v>
      </c>
      <c r="E309" s="133" t="s">
        <v>3750</v>
      </c>
      <c r="F309" s="133" t="s">
        <v>3751</v>
      </c>
      <c r="G309" s="153"/>
      <c r="H309" s="133" t="s">
        <v>57</v>
      </c>
      <c r="I309" s="133" t="s">
        <v>443</v>
      </c>
      <c r="J309" s="133" t="s">
        <v>122</v>
      </c>
      <c r="K309" s="134">
        <v>0.0</v>
      </c>
      <c r="L309" s="135">
        <v>45992.0</v>
      </c>
      <c r="M309" s="153"/>
      <c r="N309" s="135">
        <v>46722.0</v>
      </c>
      <c r="O309" s="153"/>
      <c r="P309" s="153"/>
      <c r="Q309" s="153"/>
      <c r="R309" s="153"/>
      <c r="S309" s="153"/>
      <c r="T309" s="136">
        <v>2.52E10</v>
      </c>
      <c r="U309" s="136">
        <v>2.290909091E7</v>
      </c>
      <c r="V309" s="137" t="s">
        <v>2598</v>
      </c>
      <c r="W309" s="134">
        <v>3.0</v>
      </c>
      <c r="X309" s="133" t="s">
        <v>122</v>
      </c>
      <c r="Y309" s="133" t="s">
        <v>1601</v>
      </c>
      <c r="Z309" s="133" t="s">
        <v>122</v>
      </c>
      <c r="AA309" s="133">
        <v>27.0</v>
      </c>
      <c r="AB309" s="133" t="s">
        <v>1602</v>
      </c>
      <c r="AC309" s="133" t="s">
        <v>70</v>
      </c>
    </row>
    <row r="310">
      <c r="A310" s="138">
        <v>7810.0</v>
      </c>
      <c r="B310" s="149" t="s">
        <v>1467</v>
      </c>
      <c r="C310" s="127" t="s">
        <v>80</v>
      </c>
      <c r="D310" s="127" t="s">
        <v>3834</v>
      </c>
      <c r="E310" s="127" t="s">
        <v>3750</v>
      </c>
      <c r="F310" s="127" t="s">
        <v>3751</v>
      </c>
      <c r="G310" s="150"/>
      <c r="H310" s="127" t="s">
        <v>57</v>
      </c>
      <c r="I310" s="127" t="s">
        <v>2277</v>
      </c>
      <c r="J310" s="127" t="s">
        <v>1664</v>
      </c>
      <c r="K310" s="128">
        <v>0.0</v>
      </c>
      <c r="L310" s="129">
        <v>45992.0</v>
      </c>
      <c r="M310" s="150"/>
      <c r="N310" s="129">
        <v>46752.0</v>
      </c>
      <c r="O310" s="150"/>
      <c r="P310" s="150"/>
      <c r="Q310" s="150"/>
      <c r="R310" s="150"/>
      <c r="S310" s="150"/>
      <c r="T310" s="130">
        <v>5.0E9</v>
      </c>
      <c r="U310" s="130">
        <v>4545454.55</v>
      </c>
      <c r="V310" s="131" t="s">
        <v>2598</v>
      </c>
      <c r="W310" s="128">
        <v>3.0</v>
      </c>
      <c r="X310" s="127" t="s">
        <v>1600</v>
      </c>
      <c r="Y310" s="127" t="s">
        <v>1601</v>
      </c>
      <c r="Z310" s="127" t="s">
        <v>1664</v>
      </c>
      <c r="AA310" s="127">
        <v>3.0</v>
      </c>
      <c r="AB310" s="127" t="s">
        <v>1565</v>
      </c>
      <c r="AC310" s="127" t="s">
        <v>70</v>
      </c>
    </row>
    <row r="311">
      <c r="A311" s="132">
        <v>7811.0</v>
      </c>
      <c r="B311" s="149" t="s">
        <v>1467</v>
      </c>
      <c r="C311" s="133" t="s">
        <v>80</v>
      </c>
      <c r="D311" s="133" t="s">
        <v>3835</v>
      </c>
      <c r="E311" s="133" t="s">
        <v>3750</v>
      </c>
      <c r="F311" s="133" t="s">
        <v>3751</v>
      </c>
      <c r="G311" s="153"/>
      <c r="H311" s="133" t="s">
        <v>57</v>
      </c>
      <c r="I311" s="133" t="s">
        <v>2277</v>
      </c>
      <c r="J311" s="133" t="s">
        <v>1664</v>
      </c>
      <c r="K311" s="134">
        <v>0.0</v>
      </c>
      <c r="L311" s="135">
        <v>45992.0</v>
      </c>
      <c r="M311" s="153"/>
      <c r="N311" s="135">
        <v>46752.0</v>
      </c>
      <c r="O311" s="153"/>
      <c r="P311" s="153"/>
      <c r="Q311" s="153"/>
      <c r="R311" s="153"/>
      <c r="S311" s="153"/>
      <c r="T311" s="136">
        <v>5.0E9</v>
      </c>
      <c r="U311" s="136">
        <v>4545454.55</v>
      </c>
      <c r="V311" s="137" t="s">
        <v>2598</v>
      </c>
      <c r="W311" s="134">
        <v>3.0</v>
      </c>
      <c r="X311" s="133" t="s">
        <v>1600</v>
      </c>
      <c r="Y311" s="133" t="s">
        <v>1601</v>
      </c>
      <c r="Z311" s="133" t="s">
        <v>1664</v>
      </c>
      <c r="AA311" s="133">
        <v>3.0</v>
      </c>
      <c r="AB311" s="133" t="s">
        <v>1565</v>
      </c>
      <c r="AC311" s="133" t="s">
        <v>70</v>
      </c>
    </row>
    <row r="312">
      <c r="A312" s="138">
        <v>7809.0</v>
      </c>
      <c r="B312" s="149" t="s">
        <v>1467</v>
      </c>
      <c r="C312" s="127" t="s">
        <v>80</v>
      </c>
      <c r="D312" s="127" t="s">
        <v>3836</v>
      </c>
      <c r="E312" s="127" t="s">
        <v>3750</v>
      </c>
      <c r="F312" s="127" t="s">
        <v>3751</v>
      </c>
      <c r="G312" s="150"/>
      <c r="H312" s="127" t="s">
        <v>57</v>
      </c>
      <c r="I312" s="127" t="s">
        <v>3837</v>
      </c>
      <c r="J312" s="127" t="s">
        <v>408</v>
      </c>
      <c r="K312" s="128">
        <v>0.0</v>
      </c>
      <c r="L312" s="129">
        <v>46127.0</v>
      </c>
      <c r="M312" s="150"/>
      <c r="N312" s="129">
        <v>46568.0</v>
      </c>
      <c r="O312" s="150"/>
      <c r="P312" s="150"/>
      <c r="Q312" s="150"/>
      <c r="R312" s="150"/>
      <c r="S312" s="150"/>
      <c r="T312" s="130">
        <v>5.38E9</v>
      </c>
      <c r="U312" s="130">
        <v>4890909.09</v>
      </c>
      <c r="V312" s="131" t="s">
        <v>2598</v>
      </c>
      <c r="W312" s="128">
        <v>3.0</v>
      </c>
      <c r="X312" s="127" t="s">
        <v>1600</v>
      </c>
      <c r="Y312" s="127" t="s">
        <v>2613</v>
      </c>
      <c r="Z312" s="127" t="s">
        <v>408</v>
      </c>
      <c r="AA312" s="127">
        <v>15.0</v>
      </c>
      <c r="AB312" s="127" t="s">
        <v>1565</v>
      </c>
      <c r="AC312" s="127" t="s">
        <v>70</v>
      </c>
    </row>
    <row r="313">
      <c r="A313" s="132">
        <v>7812.0</v>
      </c>
      <c r="B313" s="149" t="s">
        <v>1467</v>
      </c>
      <c r="C313" s="133" t="s">
        <v>80</v>
      </c>
      <c r="D313" s="133" t="s">
        <v>3838</v>
      </c>
      <c r="E313" s="133" t="s">
        <v>3750</v>
      </c>
      <c r="F313" s="133" t="s">
        <v>3751</v>
      </c>
      <c r="G313" s="153"/>
      <c r="H313" s="133" t="s">
        <v>57</v>
      </c>
      <c r="I313" s="133" t="s">
        <v>329</v>
      </c>
      <c r="J313" s="133" t="s">
        <v>78</v>
      </c>
      <c r="K313" s="134">
        <v>0.0</v>
      </c>
      <c r="L313" s="135">
        <v>46143.0</v>
      </c>
      <c r="M313" s="153"/>
      <c r="N313" s="135">
        <v>46751.0</v>
      </c>
      <c r="O313" s="153"/>
      <c r="P313" s="153"/>
      <c r="Q313" s="153"/>
      <c r="R313" s="153"/>
      <c r="S313" s="153"/>
      <c r="T313" s="136">
        <v>6.3E9</v>
      </c>
      <c r="U313" s="136">
        <v>5727272.73</v>
      </c>
      <c r="V313" s="137" t="s">
        <v>2598</v>
      </c>
      <c r="W313" s="134">
        <v>3.0</v>
      </c>
      <c r="X313" s="133" t="s">
        <v>147</v>
      </c>
      <c r="Y313" s="133" t="s">
        <v>1601</v>
      </c>
      <c r="Z313" s="133" t="s">
        <v>78</v>
      </c>
      <c r="AA313" s="133">
        <v>24.0</v>
      </c>
      <c r="AB313" s="133" t="s">
        <v>1565</v>
      </c>
      <c r="AC313" s="133" t="s">
        <v>70</v>
      </c>
    </row>
    <row r="314">
      <c r="A314" s="138" t="s">
        <v>3839</v>
      </c>
      <c r="B314" s="149" t="s">
        <v>1467</v>
      </c>
      <c r="C314" s="127" t="s">
        <v>55</v>
      </c>
      <c r="D314" s="127" t="s">
        <v>3840</v>
      </c>
      <c r="E314" s="127" t="s">
        <v>3740</v>
      </c>
      <c r="F314" s="127" t="s">
        <v>3734</v>
      </c>
      <c r="H314" s="127" t="s">
        <v>57</v>
      </c>
      <c r="I314" s="127" t="s">
        <v>1986</v>
      </c>
      <c r="J314" s="127" t="s">
        <v>58</v>
      </c>
      <c r="K314" s="128">
        <v>0.0</v>
      </c>
      <c r="L314" s="129">
        <v>45992.0</v>
      </c>
      <c r="M314" s="150"/>
      <c r="N314" s="129">
        <v>46234.0</v>
      </c>
      <c r="O314" s="150"/>
      <c r="P314" s="150"/>
      <c r="Q314" s="150"/>
      <c r="R314" s="150"/>
      <c r="S314" s="150"/>
      <c r="T314" s="130">
        <v>4.5E9</v>
      </c>
      <c r="U314" s="130">
        <v>4090909.09</v>
      </c>
      <c r="V314" s="131" t="s">
        <v>3737</v>
      </c>
      <c r="W314" s="128">
        <v>4.0</v>
      </c>
      <c r="X314" s="127" t="s">
        <v>1600</v>
      </c>
      <c r="Y314" s="127" t="s">
        <v>2613</v>
      </c>
      <c r="Z314" s="127" t="s">
        <v>58</v>
      </c>
      <c r="AA314" s="127">
        <v>1.0</v>
      </c>
      <c r="AB314" s="127" t="s">
        <v>1602</v>
      </c>
      <c r="AC314" s="127" t="s">
        <v>70</v>
      </c>
    </row>
    <row r="315">
      <c r="A315" s="132">
        <v>7774.0</v>
      </c>
      <c r="B315" s="149">
        <v>0.0</v>
      </c>
      <c r="C315" s="133" t="s">
        <v>55</v>
      </c>
      <c r="D315" s="133" t="s">
        <v>3841</v>
      </c>
      <c r="E315" s="133" t="s">
        <v>3740</v>
      </c>
      <c r="F315" s="133" t="s">
        <v>3734</v>
      </c>
      <c r="H315" s="133" t="s">
        <v>57</v>
      </c>
      <c r="I315" s="133" t="s">
        <v>182</v>
      </c>
      <c r="J315" s="133" t="s">
        <v>150</v>
      </c>
      <c r="K315" s="134">
        <v>0.0</v>
      </c>
      <c r="L315" s="135">
        <v>45901.0</v>
      </c>
      <c r="M315" s="153"/>
      <c r="N315" s="135">
        <v>46387.0</v>
      </c>
      <c r="O315" s="153"/>
      <c r="P315" s="153"/>
      <c r="Q315" s="153"/>
      <c r="R315" s="153"/>
      <c r="S315" s="153"/>
      <c r="T315" s="136">
        <v>3.8E9</v>
      </c>
      <c r="U315" s="136">
        <v>3454545.45</v>
      </c>
      <c r="V315" s="137" t="s">
        <v>2783</v>
      </c>
      <c r="W315" s="134">
        <v>3.0</v>
      </c>
      <c r="X315" s="133" t="s">
        <v>1600</v>
      </c>
      <c r="Y315" s="133" t="s">
        <v>1601</v>
      </c>
      <c r="Z315" s="133" t="s">
        <v>150</v>
      </c>
      <c r="AA315" s="133">
        <v>20.0</v>
      </c>
      <c r="AB315" s="133" t="s">
        <v>1602</v>
      </c>
      <c r="AC315" s="133" t="s">
        <v>70</v>
      </c>
    </row>
    <row r="316">
      <c r="A316" s="138" t="s">
        <v>3842</v>
      </c>
      <c r="B316" s="149" t="s">
        <v>1467</v>
      </c>
      <c r="C316" s="127" t="s">
        <v>55</v>
      </c>
      <c r="D316" s="127" t="s">
        <v>3843</v>
      </c>
      <c r="E316" s="127" t="s">
        <v>3740</v>
      </c>
      <c r="F316" s="127" t="s">
        <v>3734</v>
      </c>
      <c r="H316" s="127" t="s">
        <v>57</v>
      </c>
      <c r="I316" s="127" t="s">
        <v>686</v>
      </c>
      <c r="J316" s="127" t="s">
        <v>1702</v>
      </c>
      <c r="K316" s="128">
        <v>0.0</v>
      </c>
      <c r="L316" s="129">
        <v>45992.0</v>
      </c>
      <c r="M316" s="150"/>
      <c r="N316" s="129">
        <v>46387.0</v>
      </c>
      <c r="O316" s="150"/>
      <c r="P316" s="150"/>
      <c r="Q316" s="150"/>
      <c r="R316" s="150"/>
      <c r="S316" s="150"/>
      <c r="T316" s="130">
        <v>3.8E9</v>
      </c>
      <c r="U316" s="130">
        <v>3454545.45</v>
      </c>
      <c r="V316" s="131" t="s">
        <v>3737</v>
      </c>
      <c r="W316" s="128">
        <v>4.0</v>
      </c>
      <c r="X316" s="127" t="s">
        <v>1600</v>
      </c>
      <c r="Y316" s="127" t="s">
        <v>2613</v>
      </c>
      <c r="Z316" s="127" t="s">
        <v>1702</v>
      </c>
      <c r="AA316" s="127">
        <v>21.0</v>
      </c>
      <c r="AB316" s="127" t="s">
        <v>1602</v>
      </c>
      <c r="AC316" s="127" t="s">
        <v>70</v>
      </c>
    </row>
    <row r="317">
      <c r="A317" s="132">
        <v>7756.0</v>
      </c>
      <c r="B317" s="133" t="s">
        <v>3844</v>
      </c>
      <c r="C317" s="133" t="s">
        <v>55</v>
      </c>
      <c r="D317" s="133" t="s">
        <v>3845</v>
      </c>
      <c r="E317" s="133" t="s">
        <v>3740</v>
      </c>
      <c r="F317" s="133" t="s">
        <v>3734</v>
      </c>
      <c r="H317" s="133" t="s">
        <v>57</v>
      </c>
      <c r="I317" s="133" t="s">
        <v>142</v>
      </c>
      <c r="J317" s="133" t="s">
        <v>1702</v>
      </c>
      <c r="K317" s="134">
        <v>0.0</v>
      </c>
      <c r="L317" s="135">
        <v>45901.0</v>
      </c>
      <c r="M317" s="153"/>
      <c r="N317" s="135">
        <v>46387.0</v>
      </c>
      <c r="O317" s="153"/>
      <c r="P317" s="153"/>
      <c r="Q317" s="153"/>
      <c r="R317" s="153"/>
      <c r="S317" s="153"/>
      <c r="T317" s="136">
        <v>2.6E9</v>
      </c>
      <c r="U317" s="136">
        <v>2363636.36</v>
      </c>
      <c r="V317" s="137" t="s">
        <v>2783</v>
      </c>
      <c r="W317" s="134">
        <v>3.0</v>
      </c>
      <c r="X317" s="133" t="s">
        <v>1600</v>
      </c>
      <c r="Y317" s="133" t="s">
        <v>1601</v>
      </c>
      <c r="Z317" s="133" t="s">
        <v>1702</v>
      </c>
      <c r="AA317" s="133">
        <v>21.0</v>
      </c>
      <c r="AB317" s="133" t="s">
        <v>1602</v>
      </c>
      <c r="AC317" s="133" t="s">
        <v>70</v>
      </c>
    </row>
    <row r="318">
      <c r="A318" s="138" t="s">
        <v>3846</v>
      </c>
      <c r="B318" s="149" t="s">
        <v>1467</v>
      </c>
      <c r="C318" s="127" t="s">
        <v>55</v>
      </c>
      <c r="D318" s="127" t="s">
        <v>3847</v>
      </c>
      <c r="E318" s="127" t="s">
        <v>3740</v>
      </c>
      <c r="F318" s="127" t="s">
        <v>3734</v>
      </c>
      <c r="H318" s="127" t="s">
        <v>57</v>
      </c>
      <c r="I318" s="127" t="s">
        <v>2903</v>
      </c>
      <c r="J318" s="127" t="s">
        <v>1664</v>
      </c>
      <c r="K318" s="128">
        <v>0.0</v>
      </c>
      <c r="L318" s="129">
        <v>45992.0</v>
      </c>
      <c r="M318" s="150"/>
      <c r="N318" s="129">
        <v>46387.0</v>
      </c>
      <c r="O318" s="150"/>
      <c r="P318" s="150"/>
      <c r="Q318" s="150"/>
      <c r="R318" s="150"/>
      <c r="S318" s="150"/>
      <c r="T318" s="130">
        <v>3.8E9</v>
      </c>
      <c r="U318" s="130">
        <v>3454545.45</v>
      </c>
      <c r="V318" s="131" t="s">
        <v>50</v>
      </c>
      <c r="W318" s="128">
        <v>4.0</v>
      </c>
      <c r="X318" s="127" t="s">
        <v>1600</v>
      </c>
      <c r="Y318" s="127" t="s">
        <v>2766</v>
      </c>
      <c r="Z318" s="127" t="s">
        <v>1664</v>
      </c>
      <c r="AA318" s="127">
        <v>3.0</v>
      </c>
      <c r="AB318" s="127" t="s">
        <v>1602</v>
      </c>
      <c r="AC318" s="127" t="s">
        <v>70</v>
      </c>
    </row>
    <row r="319">
      <c r="A319" s="132">
        <v>7765.0</v>
      </c>
      <c r="B319" s="149">
        <v>0.0</v>
      </c>
      <c r="C319" s="133" t="s">
        <v>55</v>
      </c>
      <c r="D319" s="133" t="s">
        <v>3848</v>
      </c>
      <c r="E319" s="133" t="s">
        <v>3740</v>
      </c>
      <c r="F319" s="133" t="s">
        <v>3734</v>
      </c>
      <c r="H319" s="133" t="s">
        <v>57</v>
      </c>
      <c r="I319" s="133" t="s">
        <v>693</v>
      </c>
      <c r="J319" s="133" t="s">
        <v>1702</v>
      </c>
      <c r="K319" s="134">
        <v>0.0</v>
      </c>
      <c r="L319" s="135">
        <v>45901.0</v>
      </c>
      <c r="M319" s="153"/>
      <c r="N319" s="135">
        <v>46234.0</v>
      </c>
      <c r="O319" s="153"/>
      <c r="P319" s="153"/>
      <c r="Q319" s="153"/>
      <c r="R319" s="153"/>
      <c r="S319" s="153"/>
      <c r="T319" s="136">
        <v>3.8E9</v>
      </c>
      <c r="U319" s="136">
        <v>3454545.45</v>
      </c>
      <c r="V319" s="137" t="s">
        <v>2783</v>
      </c>
      <c r="W319" s="134">
        <v>3.0</v>
      </c>
      <c r="X319" s="133" t="s">
        <v>1600</v>
      </c>
      <c r="Y319" s="133" t="s">
        <v>1601</v>
      </c>
      <c r="Z319" s="133" t="s">
        <v>1702</v>
      </c>
      <c r="AA319" s="133">
        <v>21.0</v>
      </c>
      <c r="AB319" s="133" t="s">
        <v>1602</v>
      </c>
      <c r="AC319" s="133" t="s">
        <v>70</v>
      </c>
    </row>
    <row r="320">
      <c r="A320" s="138" t="s">
        <v>3849</v>
      </c>
      <c r="B320" s="149" t="s">
        <v>1467</v>
      </c>
      <c r="C320" s="127" t="s">
        <v>55</v>
      </c>
      <c r="D320" s="127" t="s">
        <v>3850</v>
      </c>
      <c r="E320" s="127" t="s">
        <v>3740</v>
      </c>
      <c r="F320" s="127" t="s">
        <v>3734</v>
      </c>
      <c r="H320" s="127" t="s">
        <v>57</v>
      </c>
      <c r="I320" s="127" t="s">
        <v>599</v>
      </c>
      <c r="J320" s="127" t="s">
        <v>161</v>
      </c>
      <c r="K320" s="128">
        <v>0.0</v>
      </c>
      <c r="L320" s="129">
        <v>45992.0</v>
      </c>
      <c r="M320" s="150"/>
      <c r="N320" s="129">
        <v>46387.0</v>
      </c>
      <c r="O320" s="150"/>
      <c r="P320" s="150"/>
      <c r="Q320" s="150"/>
      <c r="R320" s="150"/>
      <c r="S320" s="150"/>
      <c r="T320" s="130">
        <v>3.8E9</v>
      </c>
      <c r="U320" s="130">
        <v>3454545.45</v>
      </c>
      <c r="V320" s="131" t="s">
        <v>3737</v>
      </c>
      <c r="W320" s="128">
        <v>4.0</v>
      </c>
      <c r="X320" s="127" t="s">
        <v>1600</v>
      </c>
      <c r="Y320" s="127" t="s">
        <v>2613</v>
      </c>
      <c r="Z320" s="127" t="s">
        <v>161</v>
      </c>
      <c r="AA320" s="127">
        <v>23.0</v>
      </c>
      <c r="AB320" s="127" t="s">
        <v>1602</v>
      </c>
      <c r="AC320" s="127" t="s">
        <v>70</v>
      </c>
    </row>
    <row r="321">
      <c r="A321" s="132">
        <v>7767.0</v>
      </c>
      <c r="B321" s="133" t="s">
        <v>3851</v>
      </c>
      <c r="C321" s="133" t="s">
        <v>55</v>
      </c>
      <c r="D321" s="133" t="s">
        <v>3852</v>
      </c>
      <c r="E321" s="133" t="s">
        <v>3740</v>
      </c>
      <c r="F321" s="133" t="s">
        <v>3734</v>
      </c>
      <c r="H321" s="133" t="s">
        <v>64</v>
      </c>
      <c r="I321" s="133" t="s">
        <v>1986</v>
      </c>
      <c r="J321" s="133" t="s">
        <v>58</v>
      </c>
      <c r="K321" s="134">
        <v>0.0</v>
      </c>
      <c r="L321" s="135">
        <v>45901.0</v>
      </c>
      <c r="M321" s="153"/>
      <c r="N321" s="135">
        <v>46387.0</v>
      </c>
      <c r="O321" s="153"/>
      <c r="P321" s="153"/>
      <c r="Q321" s="153"/>
      <c r="R321" s="153"/>
      <c r="S321" s="153"/>
      <c r="T321" s="136">
        <v>1.04325E9</v>
      </c>
      <c r="U321" s="136">
        <v>948409.09</v>
      </c>
      <c r="V321" s="137" t="s">
        <v>2783</v>
      </c>
      <c r="W321" s="134">
        <v>3.0</v>
      </c>
      <c r="X321" s="133" t="s">
        <v>1600</v>
      </c>
      <c r="Y321" s="133" t="s">
        <v>1601</v>
      </c>
      <c r="Z321" s="133" t="s">
        <v>58</v>
      </c>
      <c r="AA321" s="133">
        <v>1.0</v>
      </c>
      <c r="AB321" s="133" t="s">
        <v>1602</v>
      </c>
      <c r="AC321" s="133" t="s">
        <v>70</v>
      </c>
    </row>
    <row r="322">
      <c r="A322" s="138">
        <v>7768.0</v>
      </c>
      <c r="B322" s="149">
        <v>0.0</v>
      </c>
      <c r="C322" s="127" t="s">
        <v>55</v>
      </c>
      <c r="D322" s="127" t="s">
        <v>3853</v>
      </c>
      <c r="E322" s="127" t="s">
        <v>3740</v>
      </c>
      <c r="F322" s="127" t="s">
        <v>3734</v>
      </c>
      <c r="H322" s="127" t="s">
        <v>57</v>
      </c>
      <c r="I322" s="127" t="s">
        <v>1986</v>
      </c>
      <c r="J322" s="127" t="s">
        <v>58</v>
      </c>
      <c r="K322" s="128">
        <v>0.0</v>
      </c>
      <c r="L322" s="129">
        <v>45901.0</v>
      </c>
      <c r="M322" s="150"/>
      <c r="N322" s="129">
        <v>46234.0</v>
      </c>
      <c r="O322" s="150"/>
      <c r="P322" s="150"/>
      <c r="Q322" s="150"/>
      <c r="R322" s="150"/>
      <c r="S322" s="150"/>
      <c r="T322" s="130">
        <v>3.35216E9</v>
      </c>
      <c r="U322" s="130">
        <v>3047418.18</v>
      </c>
      <c r="V322" s="131" t="s">
        <v>2783</v>
      </c>
      <c r="W322" s="128">
        <v>3.0</v>
      </c>
      <c r="X322" s="127" t="s">
        <v>1600</v>
      </c>
      <c r="Y322" s="127" t="s">
        <v>1601</v>
      </c>
      <c r="Z322" s="127" t="s">
        <v>58</v>
      </c>
      <c r="AA322" s="127">
        <v>1.0</v>
      </c>
      <c r="AB322" s="127" t="s">
        <v>1602</v>
      </c>
      <c r="AC322" s="127" t="s">
        <v>70</v>
      </c>
    </row>
    <row r="323">
      <c r="A323" s="132" t="s">
        <v>3854</v>
      </c>
      <c r="B323" s="149" t="s">
        <v>1467</v>
      </c>
      <c r="C323" s="133" t="s">
        <v>55</v>
      </c>
      <c r="D323" s="133" t="s">
        <v>3855</v>
      </c>
      <c r="E323" s="133" t="s">
        <v>3740</v>
      </c>
      <c r="F323" s="133" t="s">
        <v>3734</v>
      </c>
      <c r="H323" s="133" t="s">
        <v>57</v>
      </c>
      <c r="I323" s="133" t="s">
        <v>110</v>
      </c>
      <c r="J323" s="133" t="s">
        <v>1702</v>
      </c>
      <c r="K323" s="134">
        <v>0.0</v>
      </c>
      <c r="L323" s="135">
        <v>45992.0</v>
      </c>
      <c r="M323" s="153"/>
      <c r="N323" s="135">
        <v>46387.0</v>
      </c>
      <c r="O323" s="153"/>
      <c r="P323" s="153"/>
      <c r="Q323" s="153"/>
      <c r="R323" s="153"/>
      <c r="S323" s="153"/>
      <c r="T323" s="136">
        <v>3.8E9</v>
      </c>
      <c r="U323" s="136">
        <v>3454545.45</v>
      </c>
      <c r="V323" s="137" t="s">
        <v>3737</v>
      </c>
      <c r="W323" s="134">
        <v>4.0</v>
      </c>
      <c r="X323" s="133" t="s">
        <v>1600</v>
      </c>
      <c r="Y323" s="133" t="s">
        <v>2613</v>
      </c>
      <c r="Z323" s="133" t="s">
        <v>1702</v>
      </c>
      <c r="AA323" s="133">
        <v>21.0</v>
      </c>
      <c r="AB323" s="133" t="s">
        <v>1602</v>
      </c>
      <c r="AC323" s="133" t="s">
        <v>70</v>
      </c>
    </row>
    <row r="324">
      <c r="A324" s="138">
        <v>7771.0</v>
      </c>
      <c r="B324" s="127" t="s">
        <v>3856</v>
      </c>
      <c r="C324" s="127" t="s">
        <v>55</v>
      </c>
      <c r="D324" s="127" t="s">
        <v>3857</v>
      </c>
      <c r="E324" s="127" t="s">
        <v>3740</v>
      </c>
      <c r="F324" s="127" t="s">
        <v>3734</v>
      </c>
      <c r="H324" s="127" t="s">
        <v>64</v>
      </c>
      <c r="I324" s="127" t="s">
        <v>390</v>
      </c>
      <c r="J324" s="127" t="s">
        <v>1702</v>
      </c>
      <c r="K324" s="128">
        <v>0.0</v>
      </c>
      <c r="L324" s="129">
        <v>45901.0</v>
      </c>
      <c r="M324" s="150"/>
      <c r="N324" s="129">
        <v>46387.0</v>
      </c>
      <c r="O324" s="150"/>
      <c r="P324" s="150"/>
      <c r="Q324" s="150"/>
      <c r="R324" s="150"/>
      <c r="S324" s="150"/>
      <c r="T324" s="130">
        <v>2.3728E9</v>
      </c>
      <c r="U324" s="130">
        <v>2157090.91</v>
      </c>
      <c r="V324" s="131" t="s">
        <v>2783</v>
      </c>
      <c r="W324" s="128">
        <v>3.0</v>
      </c>
      <c r="X324" s="127" t="s">
        <v>1600</v>
      </c>
      <c r="Y324" s="127" t="s">
        <v>1601</v>
      </c>
      <c r="Z324" s="127" t="s">
        <v>1702</v>
      </c>
      <c r="AA324" s="127">
        <v>21.0</v>
      </c>
      <c r="AB324" s="127" t="s">
        <v>1602</v>
      </c>
      <c r="AC324" s="127" t="s">
        <v>70</v>
      </c>
    </row>
    <row r="325">
      <c r="A325" s="132">
        <v>7773.0</v>
      </c>
      <c r="B325" s="149">
        <v>0.0</v>
      </c>
      <c r="C325" s="133" t="s">
        <v>55</v>
      </c>
      <c r="D325" s="133" t="s">
        <v>3858</v>
      </c>
      <c r="E325" s="133" t="s">
        <v>3740</v>
      </c>
      <c r="F325" s="133" t="s">
        <v>3734</v>
      </c>
      <c r="H325" s="133" t="s">
        <v>57</v>
      </c>
      <c r="I325" s="133" t="s">
        <v>3859</v>
      </c>
      <c r="J325" s="133" t="s">
        <v>408</v>
      </c>
      <c r="K325" s="134">
        <v>0.0</v>
      </c>
      <c r="L325" s="135">
        <v>45901.0</v>
      </c>
      <c r="M325" s="153"/>
      <c r="N325" s="135">
        <v>46387.0</v>
      </c>
      <c r="O325" s="153"/>
      <c r="P325" s="153"/>
      <c r="Q325" s="153"/>
      <c r="R325" s="153"/>
      <c r="S325" s="153"/>
      <c r="T325" s="136">
        <v>3.8E9</v>
      </c>
      <c r="U325" s="136">
        <v>3454545.45</v>
      </c>
      <c r="V325" s="137" t="s">
        <v>2783</v>
      </c>
      <c r="W325" s="134">
        <v>3.0</v>
      </c>
      <c r="X325" s="133" t="s">
        <v>1600</v>
      </c>
      <c r="Y325" s="133" t="s">
        <v>1601</v>
      </c>
      <c r="Z325" s="133" t="s">
        <v>408</v>
      </c>
      <c r="AA325" s="133">
        <v>15.0</v>
      </c>
      <c r="AB325" s="133" t="s">
        <v>1602</v>
      </c>
      <c r="AC325" s="133" t="s">
        <v>70</v>
      </c>
    </row>
    <row r="326">
      <c r="A326" s="138" t="s">
        <v>3860</v>
      </c>
      <c r="B326" s="149" t="s">
        <v>1467</v>
      </c>
      <c r="C326" s="127" t="s">
        <v>55</v>
      </c>
      <c r="D326" s="127" t="s">
        <v>3861</v>
      </c>
      <c r="E326" s="127" t="s">
        <v>3740</v>
      </c>
      <c r="F326" s="127" t="s">
        <v>3734</v>
      </c>
      <c r="H326" s="127" t="s">
        <v>57</v>
      </c>
      <c r="I326" s="127" t="s">
        <v>2088</v>
      </c>
      <c r="J326" s="127" t="s">
        <v>120</v>
      </c>
      <c r="K326" s="128">
        <v>0.0</v>
      </c>
      <c r="L326" s="129">
        <v>45992.0</v>
      </c>
      <c r="M326" s="150"/>
      <c r="N326" s="129">
        <v>46387.0</v>
      </c>
      <c r="O326" s="150"/>
      <c r="P326" s="150"/>
      <c r="Q326" s="150"/>
      <c r="R326" s="150"/>
      <c r="S326" s="150"/>
      <c r="T326" s="130">
        <v>3.8E9</v>
      </c>
      <c r="U326" s="130">
        <v>3454545.45</v>
      </c>
      <c r="V326" s="131" t="s">
        <v>3737</v>
      </c>
      <c r="W326" s="128">
        <v>4.0</v>
      </c>
      <c r="X326" s="127" t="s">
        <v>1600</v>
      </c>
      <c r="Y326" s="127" t="s">
        <v>2613</v>
      </c>
      <c r="Z326" s="127" t="s">
        <v>120</v>
      </c>
      <c r="AA326" s="127">
        <v>26.0</v>
      </c>
      <c r="AB326" s="127" t="s">
        <v>1602</v>
      </c>
      <c r="AC326" s="127" t="s">
        <v>70</v>
      </c>
    </row>
    <row r="327">
      <c r="A327" s="132">
        <v>7775.0</v>
      </c>
      <c r="B327" s="149">
        <v>0.0</v>
      </c>
      <c r="C327" s="133" t="s">
        <v>55</v>
      </c>
      <c r="D327" s="133" t="s">
        <v>3862</v>
      </c>
      <c r="E327" s="133" t="s">
        <v>3740</v>
      </c>
      <c r="F327" s="133" t="s">
        <v>3734</v>
      </c>
      <c r="H327" s="133" t="s">
        <v>57</v>
      </c>
      <c r="I327" s="133" t="s">
        <v>288</v>
      </c>
      <c r="J327" s="133" t="s">
        <v>1664</v>
      </c>
      <c r="K327" s="134">
        <v>0.0</v>
      </c>
      <c r="L327" s="135">
        <v>45901.0</v>
      </c>
      <c r="M327" s="153"/>
      <c r="N327" s="135">
        <v>46387.0</v>
      </c>
      <c r="O327" s="153"/>
      <c r="P327" s="153"/>
      <c r="Q327" s="153"/>
      <c r="R327" s="153"/>
      <c r="S327" s="153"/>
      <c r="T327" s="136">
        <v>3.8E9</v>
      </c>
      <c r="U327" s="136">
        <v>3454545.45</v>
      </c>
      <c r="V327" s="137" t="s">
        <v>2783</v>
      </c>
      <c r="W327" s="134">
        <v>3.0</v>
      </c>
      <c r="X327" s="133" t="s">
        <v>1600</v>
      </c>
      <c r="Y327" s="133" t="s">
        <v>1601</v>
      </c>
      <c r="Z327" s="133" t="s">
        <v>1664</v>
      </c>
      <c r="AA327" s="133">
        <v>3.0</v>
      </c>
      <c r="AB327" s="133" t="s">
        <v>1602</v>
      </c>
      <c r="AC327" s="133" t="s">
        <v>70</v>
      </c>
    </row>
    <row r="328">
      <c r="A328" s="138">
        <v>7752.0</v>
      </c>
      <c r="B328" s="127" t="s">
        <v>3863</v>
      </c>
      <c r="C328" s="127" t="s">
        <v>55</v>
      </c>
      <c r="D328" s="127" t="s">
        <v>3864</v>
      </c>
      <c r="E328" s="127" t="s">
        <v>3736</v>
      </c>
      <c r="F328" s="127" t="s">
        <v>3734</v>
      </c>
      <c r="H328" s="127" t="s">
        <v>64</v>
      </c>
      <c r="I328" s="127" t="s">
        <v>1986</v>
      </c>
      <c r="J328" s="127" t="s">
        <v>58</v>
      </c>
      <c r="K328" s="128">
        <v>0.0</v>
      </c>
      <c r="L328" s="129">
        <v>45901.0</v>
      </c>
      <c r="M328" s="150"/>
      <c r="N328" s="129">
        <v>46752.0</v>
      </c>
      <c r="O328" s="150"/>
      <c r="P328" s="150"/>
      <c r="Q328" s="150"/>
      <c r="R328" s="150"/>
      <c r="S328" s="150"/>
      <c r="T328" s="130">
        <v>3.7E9</v>
      </c>
      <c r="U328" s="130">
        <v>3363636.36</v>
      </c>
      <c r="V328" s="131" t="s">
        <v>2783</v>
      </c>
      <c r="W328" s="128">
        <v>3.0</v>
      </c>
      <c r="X328" s="127" t="s">
        <v>1600</v>
      </c>
      <c r="Y328" s="127" t="s">
        <v>1601</v>
      </c>
      <c r="Z328" s="127" t="s">
        <v>58</v>
      </c>
      <c r="AA328" s="127">
        <v>1.0</v>
      </c>
      <c r="AB328" s="127" t="s">
        <v>1602</v>
      </c>
      <c r="AC328" s="127" t="s">
        <v>70</v>
      </c>
    </row>
    <row r="329">
      <c r="A329" s="132" t="s">
        <v>3865</v>
      </c>
      <c r="B329" s="133" t="s">
        <v>3866</v>
      </c>
      <c r="C329" s="133" t="s">
        <v>55</v>
      </c>
      <c r="D329" s="133" t="s">
        <v>3867</v>
      </c>
      <c r="E329" s="133" t="s">
        <v>3745</v>
      </c>
      <c r="F329" s="133" t="s">
        <v>3734</v>
      </c>
      <c r="H329" s="133" t="s">
        <v>93</v>
      </c>
      <c r="I329" s="133" t="s">
        <v>629</v>
      </c>
      <c r="J329" s="133" t="s">
        <v>150</v>
      </c>
      <c r="K329" s="134">
        <v>0.0</v>
      </c>
      <c r="L329" s="135">
        <v>45870.0</v>
      </c>
      <c r="M329" s="153"/>
      <c r="N329" s="135">
        <v>46113.0</v>
      </c>
      <c r="O329" s="153"/>
      <c r="P329" s="153"/>
      <c r="Q329" s="153"/>
      <c r="R329" s="153"/>
      <c r="S329" s="153"/>
      <c r="T329" s="136">
        <v>2.20522E9</v>
      </c>
      <c r="U329" s="136">
        <v>2004745.45</v>
      </c>
      <c r="V329" s="137" t="s">
        <v>3536</v>
      </c>
      <c r="W329" s="134">
        <v>4.0</v>
      </c>
      <c r="X329" s="133" t="s">
        <v>1600</v>
      </c>
      <c r="Y329" s="133" t="s">
        <v>1601</v>
      </c>
      <c r="Z329" s="133" t="s">
        <v>150</v>
      </c>
      <c r="AA329" s="133">
        <v>20.0</v>
      </c>
      <c r="AB329" s="133" t="s">
        <v>1602</v>
      </c>
      <c r="AC329" s="133" t="s">
        <v>70</v>
      </c>
    </row>
    <row r="330">
      <c r="A330" s="138" t="s">
        <v>3868</v>
      </c>
      <c r="B330" s="127" t="s">
        <v>3869</v>
      </c>
      <c r="C330" s="127" t="s">
        <v>55</v>
      </c>
      <c r="D330" s="127" t="s">
        <v>3870</v>
      </c>
      <c r="E330" s="127" t="s">
        <v>3745</v>
      </c>
      <c r="F330" s="127" t="s">
        <v>3734</v>
      </c>
      <c r="H330" s="127" t="s">
        <v>93</v>
      </c>
      <c r="I330" s="127" t="s">
        <v>1986</v>
      </c>
      <c r="J330" s="127" t="s">
        <v>58</v>
      </c>
      <c r="K330" s="128">
        <v>0.0</v>
      </c>
      <c r="L330" s="129">
        <v>45870.0</v>
      </c>
      <c r="M330" s="150"/>
      <c r="N330" s="129">
        <v>46113.0</v>
      </c>
      <c r="O330" s="150"/>
      <c r="P330" s="150"/>
      <c r="Q330" s="150"/>
      <c r="R330" s="150"/>
      <c r="S330" s="150"/>
      <c r="T330" s="130">
        <v>2.20183E9</v>
      </c>
      <c r="U330" s="130">
        <v>2001663.64</v>
      </c>
      <c r="V330" s="131" t="s">
        <v>2598</v>
      </c>
      <c r="W330" s="128">
        <v>2.0</v>
      </c>
      <c r="X330" s="127" t="s">
        <v>1600</v>
      </c>
      <c r="Y330" s="127" t="s">
        <v>1601</v>
      </c>
      <c r="Z330" s="127" t="s">
        <v>58</v>
      </c>
      <c r="AA330" s="127">
        <v>1.0</v>
      </c>
      <c r="AB330" s="127" t="s">
        <v>1602</v>
      </c>
      <c r="AC330" s="127" t="s">
        <v>70</v>
      </c>
    </row>
    <row r="331">
      <c r="A331" s="132" t="s">
        <v>3871</v>
      </c>
      <c r="B331" s="149" t="s">
        <v>1467</v>
      </c>
      <c r="C331" s="133" t="s">
        <v>80</v>
      </c>
      <c r="D331" s="133" t="s">
        <v>3872</v>
      </c>
      <c r="E331" s="133" t="s">
        <v>3750</v>
      </c>
      <c r="F331" s="133" t="s">
        <v>3751</v>
      </c>
      <c r="G331" s="153"/>
      <c r="H331" s="133" t="s">
        <v>57</v>
      </c>
      <c r="I331" s="133" t="s">
        <v>3873</v>
      </c>
      <c r="J331" s="133" t="s">
        <v>107</v>
      </c>
      <c r="K331" s="134">
        <v>0.0</v>
      </c>
      <c r="L331" s="135">
        <v>46054.0</v>
      </c>
      <c r="M331" s="153"/>
      <c r="N331" s="135">
        <v>46419.0</v>
      </c>
      <c r="O331" s="153"/>
      <c r="P331" s="153"/>
      <c r="Q331" s="153"/>
      <c r="R331" s="153"/>
      <c r="S331" s="153"/>
      <c r="T331" s="136">
        <v>1.15229E9</v>
      </c>
      <c r="U331" s="136">
        <v>1047536.36</v>
      </c>
      <c r="V331" s="137" t="s">
        <v>2598</v>
      </c>
      <c r="W331" s="134">
        <v>3.0</v>
      </c>
      <c r="X331" s="133" t="s">
        <v>147</v>
      </c>
      <c r="Y331" s="133" t="s">
        <v>1601</v>
      </c>
      <c r="Z331" s="133" t="s">
        <v>107</v>
      </c>
      <c r="AA331" s="133">
        <v>19.0</v>
      </c>
      <c r="AB331" s="133" t="s">
        <v>1565</v>
      </c>
      <c r="AC331" s="133" t="s">
        <v>70</v>
      </c>
    </row>
    <row r="332">
      <c r="A332" s="138">
        <v>7776.0</v>
      </c>
      <c r="B332" s="127" t="s">
        <v>3874</v>
      </c>
      <c r="C332" s="127" t="s">
        <v>55</v>
      </c>
      <c r="D332" s="127" t="s">
        <v>3875</v>
      </c>
      <c r="E332" s="127" t="s">
        <v>3745</v>
      </c>
      <c r="F332" s="127" t="s">
        <v>3734</v>
      </c>
      <c r="H332" s="127" t="s">
        <v>64</v>
      </c>
      <c r="I332" s="127" t="s">
        <v>1986</v>
      </c>
      <c r="J332" s="127" t="s">
        <v>58</v>
      </c>
      <c r="K332" s="128">
        <v>0.0</v>
      </c>
      <c r="L332" s="129">
        <v>45901.0</v>
      </c>
      <c r="M332" s="150"/>
      <c r="N332" s="129">
        <v>46264.0</v>
      </c>
      <c r="O332" s="150"/>
      <c r="P332" s="150"/>
      <c r="Q332" s="150"/>
      <c r="R332" s="150"/>
      <c r="S332" s="150"/>
      <c r="T332" s="130">
        <v>1.303835E10</v>
      </c>
      <c r="U332" s="130">
        <v>1.185304545E7</v>
      </c>
      <c r="V332" s="131" t="s">
        <v>2783</v>
      </c>
      <c r="W332" s="128">
        <v>3.0</v>
      </c>
      <c r="X332" s="127" t="s">
        <v>1600</v>
      </c>
      <c r="Y332" s="127" t="s">
        <v>1601</v>
      </c>
      <c r="Z332" s="127" t="s">
        <v>58</v>
      </c>
      <c r="AA332" s="127">
        <v>1.0</v>
      </c>
      <c r="AB332" s="127" t="s">
        <v>1602</v>
      </c>
      <c r="AC332" s="127" t="s">
        <v>70</v>
      </c>
    </row>
    <row r="333">
      <c r="A333" s="132" t="s">
        <v>3876</v>
      </c>
      <c r="B333" s="133" t="s">
        <v>3877</v>
      </c>
      <c r="C333" s="133" t="s">
        <v>55</v>
      </c>
      <c r="D333" s="133" t="s">
        <v>3878</v>
      </c>
      <c r="E333" s="133" t="s">
        <v>3745</v>
      </c>
      <c r="F333" s="133" t="s">
        <v>3734</v>
      </c>
      <c r="H333" s="133" t="s">
        <v>93</v>
      </c>
      <c r="I333" s="133" t="s">
        <v>1986</v>
      </c>
      <c r="J333" s="133" t="s">
        <v>58</v>
      </c>
      <c r="K333" s="134">
        <v>0.0</v>
      </c>
      <c r="L333" s="135">
        <v>45870.0</v>
      </c>
      <c r="M333" s="153"/>
      <c r="N333" s="135">
        <v>46022.0</v>
      </c>
      <c r="O333" s="153"/>
      <c r="P333" s="153"/>
      <c r="Q333" s="153"/>
      <c r="R333" s="153"/>
      <c r="S333" s="153"/>
      <c r="T333" s="136">
        <v>2.452E9</v>
      </c>
      <c r="U333" s="136">
        <v>2229090.91</v>
      </c>
      <c r="V333" s="137" t="s">
        <v>3536</v>
      </c>
      <c r="W333" s="134">
        <v>2.0</v>
      </c>
      <c r="X333" s="133" t="s">
        <v>1600</v>
      </c>
      <c r="Y333" s="133" t="s">
        <v>1601</v>
      </c>
      <c r="Z333" s="133" t="s">
        <v>58</v>
      </c>
      <c r="AA333" s="133">
        <v>1.0</v>
      </c>
      <c r="AB333" s="133" t="s">
        <v>1602</v>
      </c>
      <c r="AC333" s="133" t="s">
        <v>70</v>
      </c>
    </row>
    <row r="334">
      <c r="A334" s="138" t="s">
        <v>3879</v>
      </c>
      <c r="B334" s="127" t="s">
        <v>3880</v>
      </c>
      <c r="C334" s="127" t="s">
        <v>55</v>
      </c>
      <c r="D334" s="127" t="s">
        <v>3881</v>
      </c>
      <c r="E334" s="127" t="s">
        <v>3745</v>
      </c>
      <c r="F334" s="127" t="s">
        <v>3734</v>
      </c>
      <c r="H334" s="127" t="s">
        <v>93</v>
      </c>
      <c r="I334" s="127" t="s">
        <v>645</v>
      </c>
      <c r="J334" s="127" t="s">
        <v>408</v>
      </c>
      <c r="K334" s="128">
        <v>0.0</v>
      </c>
      <c r="L334" s="129">
        <v>45870.0</v>
      </c>
      <c r="M334" s="150"/>
      <c r="N334" s="129">
        <v>46022.0</v>
      </c>
      <c r="O334" s="150"/>
      <c r="P334" s="150"/>
      <c r="Q334" s="150"/>
      <c r="R334" s="150"/>
      <c r="S334" s="150"/>
      <c r="T334" s="130">
        <v>3.0176E8</v>
      </c>
      <c r="U334" s="130">
        <v>274327.27</v>
      </c>
      <c r="V334" s="131" t="s">
        <v>3536</v>
      </c>
      <c r="W334" s="128">
        <v>2.0</v>
      </c>
      <c r="X334" s="127" t="s">
        <v>1600</v>
      </c>
      <c r="Y334" s="127" t="s">
        <v>1601</v>
      </c>
      <c r="Z334" s="127" t="s">
        <v>408</v>
      </c>
      <c r="AA334" s="127">
        <v>15.0</v>
      </c>
      <c r="AB334" s="127" t="s">
        <v>1602</v>
      </c>
      <c r="AC334" s="127" t="s">
        <v>70</v>
      </c>
    </row>
    <row r="335">
      <c r="A335" s="132">
        <v>7777.0</v>
      </c>
      <c r="B335" s="149">
        <v>0.0</v>
      </c>
      <c r="C335" s="133" t="s">
        <v>55</v>
      </c>
      <c r="D335" s="133" t="s">
        <v>3882</v>
      </c>
      <c r="E335" s="133" t="s">
        <v>3883</v>
      </c>
      <c r="F335" s="133" t="s">
        <v>3734</v>
      </c>
      <c r="H335" s="133" t="s">
        <v>57</v>
      </c>
      <c r="I335" s="133" t="s">
        <v>677</v>
      </c>
      <c r="J335" s="133" t="s">
        <v>120</v>
      </c>
      <c r="K335" s="134">
        <v>0.0</v>
      </c>
      <c r="L335" s="135">
        <v>45962.0</v>
      </c>
      <c r="M335" s="153"/>
      <c r="N335" s="135">
        <v>46672.0</v>
      </c>
      <c r="O335" s="153"/>
      <c r="P335" s="153"/>
      <c r="Q335" s="153"/>
      <c r="R335" s="153"/>
      <c r="S335" s="153"/>
      <c r="T335" s="136">
        <v>1.5E10</v>
      </c>
      <c r="U335" s="136">
        <v>1.363636364E7</v>
      </c>
      <c r="V335" s="137" t="s">
        <v>2783</v>
      </c>
      <c r="W335" s="134">
        <v>3.0</v>
      </c>
      <c r="X335" s="133" t="s">
        <v>1600</v>
      </c>
      <c r="Y335" s="133" t="s">
        <v>1601</v>
      </c>
      <c r="Z335" s="133" t="s">
        <v>120</v>
      </c>
      <c r="AA335" s="133">
        <v>26.0</v>
      </c>
      <c r="AB335" s="133" t="s">
        <v>1602</v>
      </c>
      <c r="AC335" s="133" t="s">
        <v>70</v>
      </c>
    </row>
    <row r="336">
      <c r="A336" s="138">
        <v>7751.0</v>
      </c>
      <c r="B336" s="149">
        <v>0.0</v>
      </c>
      <c r="C336" s="127" t="s">
        <v>55</v>
      </c>
      <c r="D336" s="127" t="s">
        <v>3884</v>
      </c>
      <c r="E336" s="127" t="s">
        <v>3883</v>
      </c>
      <c r="F336" s="127" t="s">
        <v>3734</v>
      </c>
      <c r="H336" s="127" t="s">
        <v>57</v>
      </c>
      <c r="I336" s="127" t="s">
        <v>579</v>
      </c>
      <c r="J336" s="127" t="s">
        <v>161</v>
      </c>
      <c r="K336" s="128">
        <v>0.0</v>
      </c>
      <c r="L336" s="129">
        <v>45962.0</v>
      </c>
      <c r="M336" s="150"/>
      <c r="N336" s="129">
        <v>46671.0</v>
      </c>
      <c r="O336" s="150"/>
      <c r="P336" s="150"/>
      <c r="Q336" s="150"/>
      <c r="R336" s="150"/>
      <c r="S336" s="150"/>
      <c r="T336" s="130">
        <v>1.5E10</v>
      </c>
      <c r="U336" s="130">
        <v>1.363636364E7</v>
      </c>
      <c r="V336" s="131" t="s">
        <v>2598</v>
      </c>
      <c r="W336" s="128">
        <v>3.0</v>
      </c>
      <c r="X336" s="127" t="s">
        <v>1600</v>
      </c>
      <c r="Y336" s="127" t="s">
        <v>1601</v>
      </c>
      <c r="Z336" s="127" t="s">
        <v>161</v>
      </c>
      <c r="AA336" s="127">
        <v>23.0</v>
      </c>
      <c r="AB336" s="127" t="s">
        <v>1602</v>
      </c>
      <c r="AC336" s="127" t="s">
        <v>70</v>
      </c>
    </row>
    <row r="337">
      <c r="A337" s="132">
        <v>1893.0</v>
      </c>
      <c r="B337" s="133" t="s">
        <v>3885</v>
      </c>
      <c r="C337" s="133" t="s">
        <v>75</v>
      </c>
      <c r="D337" s="133" t="s">
        <v>3886</v>
      </c>
      <c r="E337" s="133" t="s">
        <v>3887</v>
      </c>
      <c r="F337" s="133" t="s">
        <v>3575</v>
      </c>
      <c r="G337" s="133" t="s">
        <v>3888</v>
      </c>
      <c r="H337" s="133" t="s">
        <v>81</v>
      </c>
      <c r="I337" s="133" t="s">
        <v>2088</v>
      </c>
      <c r="J337" s="133" t="s">
        <v>120</v>
      </c>
      <c r="K337" s="134">
        <v>0.97476</v>
      </c>
      <c r="L337" s="135">
        <v>44440.0</v>
      </c>
      <c r="M337" s="135">
        <v>44284.0</v>
      </c>
      <c r="N337" s="135">
        <v>45837.0</v>
      </c>
      <c r="O337" s="134">
        <v>1397.0</v>
      </c>
      <c r="P337" s="134">
        <v>720.0</v>
      </c>
      <c r="Q337" s="134">
        <v>2.359909581E9</v>
      </c>
      <c r="R337" s="134">
        <v>7.077173943E8</v>
      </c>
      <c r="S337" s="134">
        <v>1.021060993E10</v>
      </c>
      <c r="T337" s="136">
        <v>1.327823690469E10</v>
      </c>
      <c r="U337" s="136">
        <v>3.154372211E7</v>
      </c>
      <c r="V337" s="137" t="s">
        <v>294</v>
      </c>
      <c r="W337" s="134">
        <v>2.0</v>
      </c>
      <c r="X337" s="133" t="s">
        <v>1600</v>
      </c>
      <c r="Y337" s="133" t="s">
        <v>1601</v>
      </c>
      <c r="Z337" s="133" t="s">
        <v>120</v>
      </c>
      <c r="AA337" s="133">
        <v>26.0</v>
      </c>
      <c r="AB337" s="133" t="s">
        <v>1602</v>
      </c>
      <c r="AC337" s="133" t="s">
        <v>1603</v>
      </c>
    </row>
    <row r="338">
      <c r="A338" s="126">
        <v>3392.0</v>
      </c>
      <c r="B338" s="127" t="s">
        <v>3889</v>
      </c>
      <c r="C338" s="127" t="s">
        <v>75</v>
      </c>
      <c r="D338" s="127" t="s">
        <v>3890</v>
      </c>
      <c r="E338" s="127" t="s">
        <v>3887</v>
      </c>
      <c r="F338" s="127" t="s">
        <v>3575</v>
      </c>
      <c r="G338" s="127" t="s">
        <v>3891</v>
      </c>
      <c r="H338" s="127" t="s">
        <v>86</v>
      </c>
      <c r="I338" s="127" t="s">
        <v>657</v>
      </c>
      <c r="J338" s="127" t="s">
        <v>120</v>
      </c>
      <c r="K338" s="128">
        <v>0.928723</v>
      </c>
      <c r="L338" s="129">
        <v>44440.0</v>
      </c>
      <c r="M338" s="129">
        <v>44314.0</v>
      </c>
      <c r="N338" s="129">
        <v>45484.0</v>
      </c>
      <c r="O338" s="128">
        <v>1044.0</v>
      </c>
      <c r="P338" s="128">
        <v>540.0</v>
      </c>
      <c r="Q338" s="128">
        <v>8.223582144E8</v>
      </c>
      <c r="R338" s="128">
        <v>3.028353799E8</v>
      </c>
      <c r="S338" s="128">
        <v>1.801059694E9</v>
      </c>
      <c r="T338" s="130">
        <v>2.92625328801E9</v>
      </c>
      <c r="U338" s="130">
        <v>1.142328522E7</v>
      </c>
      <c r="V338" s="131" t="s">
        <v>294</v>
      </c>
      <c r="W338" s="128">
        <v>1.0</v>
      </c>
      <c r="X338" s="127" t="s">
        <v>1600</v>
      </c>
      <c r="Y338" s="127" t="s">
        <v>1601</v>
      </c>
      <c r="Z338" s="127" t="s">
        <v>120</v>
      </c>
      <c r="AA338" s="127">
        <v>26.0</v>
      </c>
      <c r="AB338" s="127" t="s">
        <v>1602</v>
      </c>
      <c r="AC338" s="127" t="s">
        <v>86</v>
      </c>
    </row>
    <row r="339">
      <c r="A339" s="126">
        <v>1483.0</v>
      </c>
      <c r="B339" s="133" t="s">
        <v>3892</v>
      </c>
      <c r="C339" s="133" t="s">
        <v>75</v>
      </c>
      <c r="D339" s="133" t="s">
        <v>3893</v>
      </c>
      <c r="E339" s="133" t="s">
        <v>3583</v>
      </c>
      <c r="F339" s="133" t="s">
        <v>3575</v>
      </c>
      <c r="G339" s="133" t="s">
        <v>3894</v>
      </c>
      <c r="H339" s="133" t="s">
        <v>86</v>
      </c>
      <c r="I339" s="133" t="s">
        <v>290</v>
      </c>
      <c r="J339" s="133" t="s">
        <v>107</v>
      </c>
      <c r="K339" s="134">
        <v>1.0</v>
      </c>
      <c r="L339" s="135">
        <v>44459.0</v>
      </c>
      <c r="M339" s="135">
        <v>44322.0</v>
      </c>
      <c r="N339" s="135">
        <v>45720.0</v>
      </c>
      <c r="O339" s="134">
        <v>1261.0</v>
      </c>
      <c r="P339" s="134">
        <v>720.0</v>
      </c>
      <c r="Q339" s="134">
        <v>1.237227321E9</v>
      </c>
      <c r="R339" s="134">
        <v>3.442442204E8</v>
      </c>
      <c r="S339" s="134">
        <v>1.799888253E9</v>
      </c>
      <c r="T339" s="136">
        <v>3.38135979485E9</v>
      </c>
      <c r="U339" s="136">
        <v>1.601490169E7</v>
      </c>
      <c r="V339" s="137" t="s">
        <v>294</v>
      </c>
      <c r="W339" s="134">
        <v>1.0</v>
      </c>
      <c r="X339" s="133" t="s">
        <v>147</v>
      </c>
      <c r="Y339" s="133" t="s">
        <v>1601</v>
      </c>
      <c r="Z339" s="133" t="s">
        <v>107</v>
      </c>
      <c r="AA339" s="133">
        <v>19.0</v>
      </c>
      <c r="AB339" s="133" t="s">
        <v>1565</v>
      </c>
      <c r="AC339" s="133" t="s">
        <v>86</v>
      </c>
    </row>
    <row r="340">
      <c r="A340" s="126">
        <v>1483.0</v>
      </c>
      <c r="B340" s="127" t="s">
        <v>3895</v>
      </c>
      <c r="C340" s="127" t="s">
        <v>75</v>
      </c>
      <c r="D340" s="127" t="s">
        <v>3896</v>
      </c>
      <c r="E340" s="127" t="s">
        <v>3594</v>
      </c>
      <c r="F340" s="127" t="s">
        <v>3575</v>
      </c>
      <c r="G340" s="127" t="s">
        <v>3897</v>
      </c>
      <c r="H340" s="127" t="s">
        <v>81</v>
      </c>
      <c r="I340" s="127" t="s">
        <v>608</v>
      </c>
      <c r="J340" s="127" t="s">
        <v>65</v>
      </c>
      <c r="K340" s="128">
        <v>0.85163</v>
      </c>
      <c r="L340" s="129">
        <v>43405.0</v>
      </c>
      <c r="M340" s="129">
        <v>43090.0</v>
      </c>
      <c r="N340" s="129">
        <v>45927.0</v>
      </c>
      <c r="O340" s="128">
        <v>2522.0</v>
      </c>
      <c r="P340" s="128">
        <v>540.0</v>
      </c>
      <c r="Q340" s="128">
        <v>4.055520703E8</v>
      </c>
      <c r="R340" s="128">
        <v>1.666863693E8</v>
      </c>
      <c r="S340" s="128">
        <v>1.1683354091E10</v>
      </c>
      <c r="T340" s="130">
        <v>1.225559253078E10</v>
      </c>
      <c r="U340" s="130">
        <v>3.161538341E7</v>
      </c>
      <c r="V340" s="131" t="s">
        <v>294</v>
      </c>
      <c r="W340" s="128">
        <v>2.0</v>
      </c>
      <c r="X340" s="127" t="s">
        <v>1600</v>
      </c>
      <c r="Y340" s="127" t="s">
        <v>1601</v>
      </c>
      <c r="Z340" s="127" t="s">
        <v>1664</v>
      </c>
      <c r="AA340" s="127">
        <v>3.0</v>
      </c>
      <c r="AB340" s="127" t="s">
        <v>1602</v>
      </c>
      <c r="AC340" s="127" t="s">
        <v>1603</v>
      </c>
    </row>
    <row r="341">
      <c r="A341" s="126">
        <v>3392.0</v>
      </c>
      <c r="B341" s="133" t="s">
        <v>3898</v>
      </c>
      <c r="C341" s="133" t="s">
        <v>75</v>
      </c>
      <c r="D341" s="133" t="s">
        <v>3899</v>
      </c>
      <c r="E341" s="133" t="s">
        <v>3594</v>
      </c>
      <c r="F341" s="133" t="s">
        <v>3575</v>
      </c>
      <c r="G341" s="133" t="s">
        <v>3897</v>
      </c>
      <c r="H341" s="133" t="s">
        <v>86</v>
      </c>
      <c r="I341" s="133" t="s">
        <v>324</v>
      </c>
      <c r="J341" s="133" t="s">
        <v>65</v>
      </c>
      <c r="K341" s="134">
        <v>0.999999</v>
      </c>
      <c r="L341" s="135">
        <v>43207.0</v>
      </c>
      <c r="M341" s="135">
        <v>43131.0</v>
      </c>
      <c r="N341" s="135">
        <v>45566.0</v>
      </c>
      <c r="O341" s="134">
        <v>2359.0</v>
      </c>
      <c r="P341" s="134">
        <v>540.0</v>
      </c>
      <c r="Q341" s="134">
        <v>1.51183E8</v>
      </c>
      <c r="R341" s="134">
        <v>3.206897347E7</v>
      </c>
      <c r="S341" s="134">
        <v>9.260814607E8</v>
      </c>
      <c r="T341" s="136">
        <v>1.10933343417E9</v>
      </c>
      <c r="U341" s="136">
        <v>9208641.88</v>
      </c>
      <c r="V341" s="137" t="s">
        <v>294</v>
      </c>
      <c r="W341" s="134">
        <v>1.0</v>
      </c>
      <c r="X341" s="133" t="s">
        <v>1600</v>
      </c>
      <c r="Y341" s="133" t="s">
        <v>1601</v>
      </c>
      <c r="Z341" s="133" t="s">
        <v>1664</v>
      </c>
      <c r="AA341" s="133">
        <v>3.0</v>
      </c>
      <c r="AB341" s="133" t="s">
        <v>1602</v>
      </c>
      <c r="AC341" s="133" t="s">
        <v>86</v>
      </c>
    </row>
    <row r="342">
      <c r="A342" s="138">
        <v>3819.0</v>
      </c>
      <c r="B342" s="127" t="s">
        <v>3900</v>
      </c>
      <c r="C342" s="127" t="s">
        <v>75</v>
      </c>
      <c r="D342" s="127" t="s">
        <v>3901</v>
      </c>
      <c r="E342" s="127" t="s">
        <v>3887</v>
      </c>
      <c r="F342" s="127" t="s">
        <v>3575</v>
      </c>
      <c r="G342" s="127" t="s">
        <v>3902</v>
      </c>
      <c r="H342" s="127" t="s">
        <v>86</v>
      </c>
      <c r="I342" s="127" t="s">
        <v>332</v>
      </c>
      <c r="J342" s="127" t="s">
        <v>65</v>
      </c>
      <c r="K342" s="128">
        <v>0.782423</v>
      </c>
      <c r="L342" s="129">
        <v>44440.0</v>
      </c>
      <c r="M342" s="129">
        <v>44236.0</v>
      </c>
      <c r="N342" s="129">
        <v>45453.0</v>
      </c>
      <c r="O342" s="128">
        <v>1013.0</v>
      </c>
      <c r="P342" s="128">
        <v>365.0</v>
      </c>
      <c r="Q342" s="128">
        <v>2.972730122E8</v>
      </c>
      <c r="R342" s="128">
        <v>2.327010701E7</v>
      </c>
      <c r="S342" s="128">
        <v>3.305605808E8</v>
      </c>
      <c r="T342" s="130">
        <v>6.5110369995E8</v>
      </c>
      <c r="U342" s="130">
        <v>3437459.72</v>
      </c>
      <c r="V342" s="131" t="s">
        <v>294</v>
      </c>
      <c r="W342" s="128">
        <v>1.0</v>
      </c>
      <c r="X342" s="127" t="s">
        <v>1600</v>
      </c>
      <c r="Y342" s="127" t="s">
        <v>1601</v>
      </c>
      <c r="Z342" s="127" t="s">
        <v>1664</v>
      </c>
      <c r="AA342" s="127">
        <v>3.0</v>
      </c>
      <c r="AB342" s="127" t="s">
        <v>1602</v>
      </c>
      <c r="AC342" s="127" t="s">
        <v>86</v>
      </c>
    </row>
    <row r="343">
      <c r="A343" s="126">
        <v>4841.0</v>
      </c>
      <c r="B343" s="133" t="s">
        <v>3903</v>
      </c>
      <c r="C343" s="133" t="s">
        <v>75</v>
      </c>
      <c r="D343" s="133" t="s">
        <v>3904</v>
      </c>
      <c r="E343" s="133" t="s">
        <v>3905</v>
      </c>
      <c r="F343" s="133" t="s">
        <v>3575</v>
      </c>
      <c r="G343" s="133" t="s">
        <v>3906</v>
      </c>
      <c r="H343" s="133" t="s">
        <v>86</v>
      </c>
      <c r="I343" s="133" t="s">
        <v>552</v>
      </c>
      <c r="J343" s="133" t="s">
        <v>82</v>
      </c>
      <c r="K343" s="134">
        <v>0.999999</v>
      </c>
      <c r="L343" s="135">
        <v>44531.0</v>
      </c>
      <c r="M343" s="135">
        <v>44425.0</v>
      </c>
      <c r="N343" s="135">
        <v>45703.0</v>
      </c>
      <c r="O343" s="134">
        <v>1172.0</v>
      </c>
      <c r="P343" s="134">
        <v>450.0</v>
      </c>
      <c r="Q343" s="134">
        <v>1.012764767E8</v>
      </c>
      <c r="R343" s="134">
        <v>0.0</v>
      </c>
      <c r="S343" s="134">
        <v>8.28330421E7</v>
      </c>
      <c r="T343" s="136">
        <v>1.8410951875E8</v>
      </c>
      <c r="U343" s="136">
        <v>990478.99</v>
      </c>
      <c r="V343" s="137" t="s">
        <v>294</v>
      </c>
      <c r="W343" s="134">
        <v>1.0</v>
      </c>
      <c r="X343" s="133" t="s">
        <v>1600</v>
      </c>
      <c r="Y343" s="133" t="s">
        <v>1601</v>
      </c>
      <c r="Z343" s="133" t="s">
        <v>1747</v>
      </c>
      <c r="AA343" s="133">
        <v>6.0</v>
      </c>
      <c r="AB343" s="133" t="s">
        <v>1602</v>
      </c>
      <c r="AC343" s="133" t="s">
        <v>86</v>
      </c>
    </row>
    <row r="344">
      <c r="A344" s="126">
        <v>4841.0</v>
      </c>
      <c r="B344" s="127" t="s">
        <v>3907</v>
      </c>
      <c r="C344" s="127" t="s">
        <v>75</v>
      </c>
      <c r="D344" s="127" t="s">
        <v>3908</v>
      </c>
      <c r="E344" s="127" t="s">
        <v>3905</v>
      </c>
      <c r="F344" s="127" t="s">
        <v>3575</v>
      </c>
      <c r="G344" s="127" t="s">
        <v>3906</v>
      </c>
      <c r="H344" s="127" t="s">
        <v>86</v>
      </c>
      <c r="I344" s="127" t="s">
        <v>452</v>
      </c>
      <c r="J344" s="127" t="s">
        <v>161</v>
      </c>
      <c r="K344" s="128">
        <v>1.0</v>
      </c>
      <c r="L344" s="129">
        <v>44531.0</v>
      </c>
      <c r="M344" s="129">
        <v>44287.0</v>
      </c>
      <c r="N344" s="129">
        <v>45574.0</v>
      </c>
      <c r="O344" s="128">
        <v>1043.0</v>
      </c>
      <c r="P344" s="128">
        <v>300.0</v>
      </c>
      <c r="Q344" s="128">
        <v>1.106637912E8</v>
      </c>
      <c r="R344" s="128">
        <v>0.0</v>
      </c>
      <c r="S344" s="128">
        <v>1.251665723E8</v>
      </c>
      <c r="T344" s="130">
        <v>2.3583036353E8</v>
      </c>
      <c r="U344" s="130">
        <v>1132110.4</v>
      </c>
      <c r="V344" s="131" t="s">
        <v>294</v>
      </c>
      <c r="W344" s="128">
        <v>1.0</v>
      </c>
      <c r="X344" s="127" t="s">
        <v>1600</v>
      </c>
      <c r="Y344" s="127" t="s">
        <v>1601</v>
      </c>
      <c r="Z344" s="127" t="s">
        <v>161</v>
      </c>
      <c r="AA344" s="127">
        <v>23.0</v>
      </c>
      <c r="AB344" s="127" t="s">
        <v>1602</v>
      </c>
      <c r="AC344" s="127" t="s">
        <v>86</v>
      </c>
    </row>
    <row r="345">
      <c r="A345" s="126">
        <v>4855.0</v>
      </c>
      <c r="B345" s="133" t="s">
        <v>3909</v>
      </c>
      <c r="C345" s="133" t="s">
        <v>75</v>
      </c>
      <c r="D345" s="133" t="s">
        <v>3910</v>
      </c>
      <c r="E345" s="133" t="s">
        <v>3594</v>
      </c>
      <c r="F345" s="133" t="s">
        <v>3575</v>
      </c>
      <c r="G345" s="133" t="s">
        <v>3911</v>
      </c>
      <c r="H345" s="133" t="s">
        <v>81</v>
      </c>
      <c r="I345" s="133" t="s">
        <v>257</v>
      </c>
      <c r="J345" s="133" t="s">
        <v>52</v>
      </c>
      <c r="K345" s="134">
        <v>0.979125</v>
      </c>
      <c r="L345" s="135">
        <v>44589.0</v>
      </c>
      <c r="M345" s="135">
        <v>44287.0</v>
      </c>
      <c r="N345" s="135">
        <v>45773.0</v>
      </c>
      <c r="O345" s="134">
        <v>1184.0</v>
      </c>
      <c r="P345" s="134">
        <v>540.0</v>
      </c>
      <c r="Q345" s="134">
        <v>2.119606937E8</v>
      </c>
      <c r="R345" s="134">
        <v>0.0</v>
      </c>
      <c r="S345" s="134">
        <v>2.175193947E8</v>
      </c>
      <c r="T345" s="136">
        <v>4.2948008838E8</v>
      </c>
      <c r="U345" s="136">
        <v>2168395.84</v>
      </c>
      <c r="V345" s="137" t="s">
        <v>294</v>
      </c>
      <c r="W345" s="134">
        <v>2.0</v>
      </c>
      <c r="X345" s="133" t="s">
        <v>147</v>
      </c>
      <c r="Y345" s="133" t="s">
        <v>1601</v>
      </c>
      <c r="Z345" s="133" t="s">
        <v>52</v>
      </c>
      <c r="AA345" s="133">
        <v>18.0</v>
      </c>
      <c r="AB345" s="133" t="s">
        <v>1565</v>
      </c>
      <c r="AC345" s="133" t="s">
        <v>1603</v>
      </c>
    </row>
    <row r="346">
      <c r="A346" s="126">
        <v>4840.0</v>
      </c>
      <c r="B346" s="127" t="s">
        <v>3912</v>
      </c>
      <c r="C346" s="127" t="s">
        <v>75</v>
      </c>
      <c r="D346" s="127" t="s">
        <v>3913</v>
      </c>
      <c r="E346" s="127" t="s">
        <v>3594</v>
      </c>
      <c r="F346" s="127" t="s">
        <v>3575</v>
      </c>
      <c r="G346" s="127" t="s">
        <v>3914</v>
      </c>
      <c r="H346" s="127" t="s">
        <v>81</v>
      </c>
      <c r="I346" s="127" t="s">
        <v>261</v>
      </c>
      <c r="J346" s="127" t="s">
        <v>52</v>
      </c>
      <c r="K346" s="128">
        <v>0.962789</v>
      </c>
      <c r="L346" s="129">
        <v>44593.0</v>
      </c>
      <c r="M346" s="129">
        <v>44287.0</v>
      </c>
      <c r="N346" s="129">
        <v>45768.0</v>
      </c>
      <c r="O346" s="128">
        <v>1175.0</v>
      </c>
      <c r="P346" s="128">
        <v>450.0</v>
      </c>
      <c r="Q346" s="128">
        <v>9.569688599E7</v>
      </c>
      <c r="R346" s="128">
        <v>0.0</v>
      </c>
      <c r="S346" s="128">
        <v>1.173123537E8</v>
      </c>
      <c r="T346" s="130">
        <v>2.1300923972E8</v>
      </c>
      <c r="U346" s="130">
        <v>978996.28</v>
      </c>
      <c r="V346" s="131" t="s">
        <v>294</v>
      </c>
      <c r="W346" s="128">
        <v>2.0</v>
      </c>
      <c r="X346" s="127" t="s">
        <v>147</v>
      </c>
      <c r="Y346" s="127" t="s">
        <v>1601</v>
      </c>
      <c r="Z346" s="127" t="s">
        <v>52</v>
      </c>
      <c r="AA346" s="127">
        <v>18.0</v>
      </c>
      <c r="AB346" s="127" t="s">
        <v>1565</v>
      </c>
      <c r="AC346" s="127" t="s">
        <v>1603</v>
      </c>
    </row>
    <row r="347">
      <c r="A347" s="132">
        <v>3580.0</v>
      </c>
      <c r="B347" s="133" t="s">
        <v>3915</v>
      </c>
      <c r="C347" s="133" t="s">
        <v>75</v>
      </c>
      <c r="D347" s="133" t="s">
        <v>3916</v>
      </c>
      <c r="E347" s="133" t="s">
        <v>3668</v>
      </c>
      <c r="F347" s="133" t="s">
        <v>3669</v>
      </c>
      <c r="G347" s="133" t="s">
        <v>3917</v>
      </c>
      <c r="H347" s="133" t="s">
        <v>81</v>
      </c>
      <c r="I347" s="133" t="s">
        <v>142</v>
      </c>
      <c r="J347" s="133" t="s">
        <v>154</v>
      </c>
      <c r="K347" s="134">
        <v>0.990816</v>
      </c>
      <c r="L347" s="135">
        <v>44606.0</v>
      </c>
      <c r="M347" s="135">
        <v>43598.0</v>
      </c>
      <c r="N347" s="135">
        <v>45842.0</v>
      </c>
      <c r="O347" s="134">
        <v>1236.0</v>
      </c>
      <c r="P347" s="134">
        <v>365.0</v>
      </c>
      <c r="Q347" s="134">
        <v>1.030323845E8</v>
      </c>
      <c r="R347" s="134">
        <v>3.047014807E7</v>
      </c>
      <c r="S347" s="134">
        <v>4.611999145E8</v>
      </c>
      <c r="T347" s="136">
        <v>5.9470244709E8</v>
      </c>
      <c r="U347" s="136">
        <v>2895933.46</v>
      </c>
      <c r="V347" s="137" t="s">
        <v>294</v>
      </c>
      <c r="W347" s="134">
        <v>2.0</v>
      </c>
      <c r="X347" s="133" t="s">
        <v>1600</v>
      </c>
      <c r="Y347" s="133" t="s">
        <v>1601</v>
      </c>
      <c r="Z347" s="133" t="s">
        <v>1702</v>
      </c>
      <c r="AA347" s="133">
        <v>21.0</v>
      </c>
      <c r="AB347" s="133" t="s">
        <v>1602</v>
      </c>
      <c r="AC347" s="133" t="s">
        <v>1603</v>
      </c>
    </row>
    <row r="348">
      <c r="A348" s="138">
        <v>5458.0</v>
      </c>
      <c r="B348" s="127" t="s">
        <v>3918</v>
      </c>
      <c r="C348" s="127" t="s">
        <v>75</v>
      </c>
      <c r="D348" s="127" t="s">
        <v>3919</v>
      </c>
      <c r="E348" s="127" t="s">
        <v>3668</v>
      </c>
      <c r="F348" s="127" t="s">
        <v>3669</v>
      </c>
      <c r="G348" s="127" t="s">
        <v>3920</v>
      </c>
      <c r="H348" s="127" t="s">
        <v>86</v>
      </c>
      <c r="I348" s="127" t="s">
        <v>323</v>
      </c>
      <c r="J348" s="127" t="s">
        <v>171</v>
      </c>
      <c r="K348" s="128">
        <v>1.0</v>
      </c>
      <c r="L348" s="129">
        <v>44638.0</v>
      </c>
      <c r="M348" s="129">
        <v>44553.0</v>
      </c>
      <c r="N348" s="129">
        <v>45333.0</v>
      </c>
      <c r="O348" s="128">
        <v>695.0</v>
      </c>
      <c r="P348" s="128">
        <v>365.0</v>
      </c>
      <c r="Q348" s="128">
        <v>3.189E8</v>
      </c>
      <c r="R348" s="128">
        <v>9.2689775E7</v>
      </c>
      <c r="S348" s="128">
        <v>2.562550537E8</v>
      </c>
      <c r="T348" s="130">
        <v>6.6784482873E8</v>
      </c>
      <c r="U348" s="130">
        <v>3837666.9</v>
      </c>
      <c r="V348" s="131" t="s">
        <v>294</v>
      </c>
      <c r="W348" s="128">
        <v>1.0</v>
      </c>
      <c r="X348" s="127" t="s">
        <v>1600</v>
      </c>
      <c r="Y348" s="127" t="s">
        <v>1601</v>
      </c>
      <c r="Z348" s="127" t="s">
        <v>1674</v>
      </c>
      <c r="AA348" s="127">
        <v>26.0</v>
      </c>
      <c r="AB348" s="127" t="s">
        <v>1602</v>
      </c>
      <c r="AC348" s="127" t="s">
        <v>86</v>
      </c>
    </row>
    <row r="349">
      <c r="A349" s="132">
        <v>4812.0</v>
      </c>
      <c r="B349" s="133" t="s">
        <v>3921</v>
      </c>
      <c r="C349" s="133" t="s">
        <v>75</v>
      </c>
      <c r="D349" s="133" t="s">
        <v>3922</v>
      </c>
      <c r="E349" s="133" t="s">
        <v>3923</v>
      </c>
      <c r="F349" s="133" t="s">
        <v>3575</v>
      </c>
      <c r="G349" s="133" t="s">
        <v>3906</v>
      </c>
      <c r="H349" s="133" t="s">
        <v>86</v>
      </c>
      <c r="I349" s="133" t="s">
        <v>363</v>
      </c>
      <c r="J349" s="133" t="s">
        <v>58</v>
      </c>
      <c r="K349" s="134">
        <v>1.0</v>
      </c>
      <c r="L349" s="135">
        <v>44609.0</v>
      </c>
      <c r="M349" s="135">
        <v>44488.0</v>
      </c>
      <c r="N349" s="135">
        <v>45488.0</v>
      </c>
      <c r="O349" s="134">
        <v>879.0</v>
      </c>
      <c r="P349" s="134">
        <v>180.0</v>
      </c>
      <c r="Q349" s="134">
        <v>1.089992046E8</v>
      </c>
      <c r="R349" s="134">
        <v>3.267796145E7</v>
      </c>
      <c r="S349" s="134">
        <v>3.601506802E8</v>
      </c>
      <c r="T349" s="136">
        <v>5.0182784622E8</v>
      </c>
      <c r="U349" s="136">
        <v>1352526.64</v>
      </c>
      <c r="V349" s="137" t="s">
        <v>294</v>
      </c>
      <c r="W349" s="134">
        <v>1.0</v>
      </c>
      <c r="X349" s="133" t="s">
        <v>1600</v>
      </c>
      <c r="Y349" s="133" t="s">
        <v>1601</v>
      </c>
      <c r="Z349" s="133" t="s">
        <v>58</v>
      </c>
      <c r="AA349" s="133">
        <v>1.0</v>
      </c>
      <c r="AB349" s="133" t="s">
        <v>1602</v>
      </c>
      <c r="AC349" s="133" t="s">
        <v>86</v>
      </c>
    </row>
    <row r="350">
      <c r="A350" s="138">
        <v>7601.0</v>
      </c>
      <c r="B350" s="127" t="s">
        <v>3924</v>
      </c>
      <c r="C350" s="127" t="s">
        <v>75</v>
      </c>
      <c r="D350" s="127" t="s">
        <v>3925</v>
      </c>
      <c r="E350" s="127" t="s">
        <v>3638</v>
      </c>
      <c r="F350" s="127" t="s">
        <v>3575</v>
      </c>
      <c r="G350" s="127" t="s">
        <v>3926</v>
      </c>
      <c r="H350" s="127" t="s">
        <v>86</v>
      </c>
      <c r="I350" s="127" t="s">
        <v>363</v>
      </c>
      <c r="J350" s="127" t="s">
        <v>58</v>
      </c>
      <c r="K350" s="128">
        <v>0.999999</v>
      </c>
      <c r="L350" s="129">
        <v>44616.0</v>
      </c>
      <c r="M350" s="129">
        <v>44524.0</v>
      </c>
      <c r="N350" s="129">
        <v>45573.0</v>
      </c>
      <c r="O350" s="128">
        <v>957.0</v>
      </c>
      <c r="P350" s="128">
        <v>360.0</v>
      </c>
      <c r="Q350" s="128">
        <v>3.942E8</v>
      </c>
      <c r="R350" s="128">
        <v>1.181460015E8</v>
      </c>
      <c r="S350" s="128">
        <v>5.98217925E8</v>
      </c>
      <c r="T350" s="130">
        <v>1.11056392648E9</v>
      </c>
      <c r="U350" s="130">
        <v>4844879.45</v>
      </c>
      <c r="V350" s="131" t="s">
        <v>294</v>
      </c>
      <c r="W350" s="128">
        <v>1.0</v>
      </c>
      <c r="X350" s="127" t="s">
        <v>1600</v>
      </c>
      <c r="Y350" s="127" t="s">
        <v>1601</v>
      </c>
      <c r="Z350" s="127" t="s">
        <v>58</v>
      </c>
      <c r="AA350" s="127">
        <v>1.0</v>
      </c>
      <c r="AB350" s="127" t="s">
        <v>1602</v>
      </c>
      <c r="AC350" s="127" t="s">
        <v>86</v>
      </c>
    </row>
    <row r="351">
      <c r="A351" s="132">
        <v>7602.0</v>
      </c>
      <c r="B351" s="133" t="s">
        <v>3927</v>
      </c>
      <c r="C351" s="133" t="s">
        <v>75</v>
      </c>
      <c r="D351" s="133" t="s">
        <v>3928</v>
      </c>
      <c r="E351" s="133" t="s">
        <v>3574</v>
      </c>
      <c r="F351" s="133" t="s">
        <v>3575</v>
      </c>
      <c r="G351" s="133" t="s">
        <v>3929</v>
      </c>
      <c r="H351" s="133" t="s">
        <v>86</v>
      </c>
      <c r="I351" s="133" t="s">
        <v>124</v>
      </c>
      <c r="J351" s="133" t="s">
        <v>32</v>
      </c>
      <c r="K351" s="134">
        <v>1.0</v>
      </c>
      <c r="L351" s="135">
        <v>44652.0</v>
      </c>
      <c r="M351" s="135">
        <v>44551.0</v>
      </c>
      <c r="N351" s="135">
        <v>45292.0</v>
      </c>
      <c r="O351" s="134">
        <v>640.0</v>
      </c>
      <c r="P351" s="134">
        <v>300.0</v>
      </c>
      <c r="Q351" s="134">
        <v>1.298497075E8</v>
      </c>
      <c r="R351" s="134">
        <v>2.466305945E7</v>
      </c>
      <c r="S351" s="134">
        <v>1.227669496E8</v>
      </c>
      <c r="T351" s="136">
        <v>2.7727971659E8</v>
      </c>
      <c r="U351" s="136">
        <v>1444044.55</v>
      </c>
      <c r="V351" s="137" t="s">
        <v>294</v>
      </c>
      <c r="W351" s="134">
        <v>1.0</v>
      </c>
      <c r="X351" s="133" t="s">
        <v>1600</v>
      </c>
      <c r="Y351" s="133" t="s">
        <v>1601</v>
      </c>
      <c r="Z351" s="133" t="s">
        <v>32</v>
      </c>
      <c r="AA351" s="133">
        <v>2.0</v>
      </c>
      <c r="AB351" s="133" t="s">
        <v>1602</v>
      </c>
      <c r="AC351" s="133" t="s">
        <v>86</v>
      </c>
    </row>
    <row r="352">
      <c r="A352" s="126">
        <v>6025.0</v>
      </c>
      <c r="B352" s="127" t="s">
        <v>3930</v>
      </c>
      <c r="C352" s="127" t="s">
        <v>75</v>
      </c>
      <c r="D352" s="127" t="s">
        <v>3931</v>
      </c>
      <c r="E352" s="127" t="s">
        <v>3583</v>
      </c>
      <c r="F352" s="127" t="s">
        <v>3575</v>
      </c>
      <c r="G352" s="127" t="s">
        <v>3932</v>
      </c>
      <c r="H352" s="127" t="s">
        <v>86</v>
      </c>
      <c r="I352" s="127" t="s">
        <v>285</v>
      </c>
      <c r="J352" s="127" t="s">
        <v>52</v>
      </c>
      <c r="K352" s="128">
        <v>1.0</v>
      </c>
      <c r="L352" s="129">
        <v>44683.0</v>
      </c>
      <c r="M352" s="129">
        <v>44579.0</v>
      </c>
      <c r="N352" s="129">
        <v>45443.0</v>
      </c>
      <c r="O352" s="128">
        <v>760.0</v>
      </c>
      <c r="P352" s="128">
        <v>300.0</v>
      </c>
      <c r="Q352" s="128">
        <v>1.136816423E9</v>
      </c>
      <c r="R352" s="128">
        <v>3.089393377E8</v>
      </c>
      <c r="S352" s="128">
        <v>1.090417321E9</v>
      </c>
      <c r="T352" s="130">
        <v>2.53617308179E9</v>
      </c>
      <c r="U352" s="130">
        <v>1.326381432E7</v>
      </c>
      <c r="V352" s="131" t="s">
        <v>294</v>
      </c>
      <c r="W352" s="128">
        <v>1.0</v>
      </c>
      <c r="X352" s="127" t="s">
        <v>147</v>
      </c>
      <c r="Y352" s="127" t="s">
        <v>1601</v>
      </c>
      <c r="Z352" s="127" t="s">
        <v>52</v>
      </c>
      <c r="AA352" s="127">
        <v>18.0</v>
      </c>
      <c r="AB352" s="127" t="s">
        <v>1565</v>
      </c>
      <c r="AC352" s="127" t="s">
        <v>86</v>
      </c>
    </row>
    <row r="353">
      <c r="A353" s="132">
        <v>5450.0</v>
      </c>
      <c r="B353" s="133" t="s">
        <v>3933</v>
      </c>
      <c r="C353" s="133" t="s">
        <v>75</v>
      </c>
      <c r="D353" s="133" t="s">
        <v>3934</v>
      </c>
      <c r="E353" s="133" t="s">
        <v>3594</v>
      </c>
      <c r="F353" s="133" t="s">
        <v>3575</v>
      </c>
      <c r="G353" s="133" t="s">
        <v>3897</v>
      </c>
      <c r="H353" s="133" t="s">
        <v>81</v>
      </c>
      <c r="I353" s="133" t="s">
        <v>383</v>
      </c>
      <c r="J353" s="133" t="s">
        <v>120</v>
      </c>
      <c r="K353" s="134">
        <v>0.970418</v>
      </c>
      <c r="L353" s="135">
        <v>44718.0</v>
      </c>
      <c r="M353" s="135">
        <v>44638.0</v>
      </c>
      <c r="N353" s="135">
        <v>45775.0</v>
      </c>
      <c r="O353" s="134">
        <v>1057.0</v>
      </c>
      <c r="P353" s="134">
        <v>300.0</v>
      </c>
      <c r="Q353" s="134">
        <v>1.329453689E9</v>
      </c>
      <c r="R353" s="134">
        <v>3.968861477E8</v>
      </c>
      <c r="S353" s="134">
        <v>4.374298327E9</v>
      </c>
      <c r="T353" s="136">
        <v>6.10063816325E9</v>
      </c>
      <c r="U353" s="136">
        <v>1.504435587E7</v>
      </c>
      <c r="V353" s="137" t="s">
        <v>294</v>
      </c>
      <c r="W353" s="134">
        <v>2.0</v>
      </c>
      <c r="X353" s="133" t="s">
        <v>1600</v>
      </c>
      <c r="Y353" s="133" t="s">
        <v>1601</v>
      </c>
      <c r="Z353" s="133" t="s">
        <v>120</v>
      </c>
      <c r="AA353" s="133">
        <v>26.0</v>
      </c>
      <c r="AB353" s="133" t="s">
        <v>1602</v>
      </c>
      <c r="AC353" s="133" t="s">
        <v>1603</v>
      </c>
    </row>
    <row r="354">
      <c r="A354" s="138">
        <v>4882.0</v>
      </c>
      <c r="B354" s="127" t="s">
        <v>3935</v>
      </c>
      <c r="C354" s="127" t="s">
        <v>75</v>
      </c>
      <c r="D354" s="127" t="s">
        <v>3936</v>
      </c>
      <c r="E354" s="127" t="s">
        <v>3583</v>
      </c>
      <c r="F354" s="127" t="s">
        <v>3575</v>
      </c>
      <c r="G354" s="127" t="s">
        <v>3906</v>
      </c>
      <c r="H354" s="127" t="s">
        <v>86</v>
      </c>
      <c r="I354" s="127" t="s">
        <v>3937</v>
      </c>
      <c r="J354" s="127" t="s">
        <v>115</v>
      </c>
      <c r="K354" s="128">
        <v>1.0</v>
      </c>
      <c r="L354" s="129">
        <v>44718.0</v>
      </c>
      <c r="M354" s="129">
        <v>44616.0</v>
      </c>
      <c r="N354" s="129">
        <v>45438.0</v>
      </c>
      <c r="O354" s="128">
        <v>720.0</v>
      </c>
      <c r="P354" s="128">
        <v>540.0</v>
      </c>
      <c r="Q354" s="128">
        <v>8.984257435E8</v>
      </c>
      <c r="R354" s="128">
        <v>1.345840992E8</v>
      </c>
      <c r="S354" s="128">
        <v>0.0</v>
      </c>
      <c r="T354" s="130">
        <v>1.03300984277E9</v>
      </c>
      <c r="U354" s="130">
        <v>9182309.71</v>
      </c>
      <c r="V354" s="131" t="s">
        <v>294</v>
      </c>
      <c r="W354" s="128">
        <v>1.0</v>
      </c>
      <c r="X354" s="127" t="s">
        <v>92</v>
      </c>
      <c r="Y354" s="127" t="s">
        <v>1601</v>
      </c>
      <c r="Z354" s="127" t="s">
        <v>112</v>
      </c>
      <c r="AA354" s="127">
        <v>12.0</v>
      </c>
      <c r="AB354" s="127" t="s">
        <v>1565</v>
      </c>
      <c r="AC354" s="127" t="s">
        <v>86</v>
      </c>
    </row>
    <row r="355">
      <c r="A355" s="132">
        <v>4740.0</v>
      </c>
      <c r="B355" s="133" t="s">
        <v>3938</v>
      </c>
      <c r="C355" s="133" t="s">
        <v>75</v>
      </c>
      <c r="D355" s="133" t="s">
        <v>3939</v>
      </c>
      <c r="E355" s="133" t="s">
        <v>3887</v>
      </c>
      <c r="F355" s="133" t="s">
        <v>3575</v>
      </c>
      <c r="G355" s="133" t="s">
        <v>3940</v>
      </c>
      <c r="H355" s="133" t="s">
        <v>86</v>
      </c>
      <c r="I355" s="133" t="s">
        <v>125</v>
      </c>
      <c r="J355" s="133" t="s">
        <v>125</v>
      </c>
      <c r="K355" s="134">
        <v>0.999999</v>
      </c>
      <c r="L355" s="135">
        <v>44749.0</v>
      </c>
      <c r="M355" s="135">
        <v>44663.0</v>
      </c>
      <c r="N355" s="135">
        <v>45354.0</v>
      </c>
      <c r="O355" s="134">
        <v>605.0</v>
      </c>
      <c r="P355" s="134">
        <v>240.0</v>
      </c>
      <c r="Q355" s="134">
        <v>2.595558268E8</v>
      </c>
      <c r="R355" s="134">
        <v>6.278027211E7</v>
      </c>
      <c r="S355" s="134">
        <v>3.005521064E8</v>
      </c>
      <c r="T355" s="136">
        <v>6.2288820529E8</v>
      </c>
      <c r="U355" s="136">
        <v>2737461.56</v>
      </c>
      <c r="V355" s="137" t="s">
        <v>294</v>
      </c>
      <c r="W355" s="134">
        <v>1.0</v>
      </c>
      <c r="X355" s="133" t="s">
        <v>1600</v>
      </c>
      <c r="Y355" s="133" t="s">
        <v>1601</v>
      </c>
      <c r="Z355" s="133" t="s">
        <v>1646</v>
      </c>
      <c r="AA355" s="133">
        <v>14.0</v>
      </c>
      <c r="AB355" s="133" t="s">
        <v>1602</v>
      </c>
      <c r="AC355" s="133" t="s">
        <v>86</v>
      </c>
    </row>
    <row r="356">
      <c r="A356" s="138">
        <v>5661.0</v>
      </c>
      <c r="B356" s="127" t="s">
        <v>3941</v>
      </c>
      <c r="C356" s="127" t="s">
        <v>75</v>
      </c>
      <c r="D356" s="127" t="s">
        <v>3942</v>
      </c>
      <c r="E356" s="127" t="s">
        <v>3668</v>
      </c>
      <c r="F356" s="127" t="s">
        <v>3669</v>
      </c>
      <c r="G356" s="127" t="s">
        <v>3943</v>
      </c>
      <c r="H356" s="127" t="s">
        <v>81</v>
      </c>
      <c r="I356" s="127" t="s">
        <v>454</v>
      </c>
      <c r="J356" s="127" t="s">
        <v>2937</v>
      </c>
      <c r="K356" s="128">
        <v>0.798553</v>
      </c>
      <c r="L356" s="129">
        <v>44762.0</v>
      </c>
      <c r="M356" s="129">
        <v>44655.0</v>
      </c>
      <c r="N356" s="129">
        <v>45812.0</v>
      </c>
      <c r="O356" s="128">
        <v>1050.0</v>
      </c>
      <c r="P356" s="128">
        <v>300.0</v>
      </c>
      <c r="Q356" s="128">
        <v>1.189978E8</v>
      </c>
      <c r="R356" s="128">
        <v>3.53423466E7</v>
      </c>
      <c r="S356" s="128">
        <v>3.079936612E8</v>
      </c>
      <c r="T356" s="130">
        <v>4.6233380779E8</v>
      </c>
      <c r="U356" s="130">
        <v>1321971.28</v>
      </c>
      <c r="V356" s="131" t="s">
        <v>294</v>
      </c>
      <c r="W356" s="128">
        <v>2.0</v>
      </c>
      <c r="X356" s="127" t="s">
        <v>1600</v>
      </c>
      <c r="Y356" s="127" t="s">
        <v>1601</v>
      </c>
      <c r="Z356" s="127" t="s">
        <v>94</v>
      </c>
      <c r="AA356" s="127">
        <v>8.0</v>
      </c>
      <c r="AB356" s="127" t="s">
        <v>1602</v>
      </c>
      <c r="AC356" s="127" t="s">
        <v>1603</v>
      </c>
    </row>
    <row r="357">
      <c r="A357" s="132">
        <v>5668.0</v>
      </c>
      <c r="B357" s="133" t="s">
        <v>3944</v>
      </c>
      <c r="C357" s="133" t="s">
        <v>75</v>
      </c>
      <c r="D357" s="133" t="s">
        <v>3945</v>
      </c>
      <c r="E357" s="133" t="s">
        <v>3668</v>
      </c>
      <c r="F357" s="133" t="s">
        <v>3669</v>
      </c>
      <c r="G357" s="133" t="s">
        <v>3943</v>
      </c>
      <c r="H357" s="133" t="s">
        <v>81</v>
      </c>
      <c r="I357" s="133" t="s">
        <v>269</v>
      </c>
      <c r="J357" s="133" t="s">
        <v>125</v>
      </c>
      <c r="K357" s="134">
        <v>0.877083</v>
      </c>
      <c r="L357" s="135">
        <v>44760.0</v>
      </c>
      <c r="M357" s="135">
        <v>44655.0</v>
      </c>
      <c r="N357" s="135">
        <v>45810.0</v>
      </c>
      <c r="O357" s="134">
        <v>1050.0</v>
      </c>
      <c r="P357" s="134">
        <v>300.0</v>
      </c>
      <c r="Q357" s="134">
        <v>1.200935E8</v>
      </c>
      <c r="R357" s="134">
        <v>3.546361055E7</v>
      </c>
      <c r="S357" s="134">
        <v>3.024828376E8</v>
      </c>
      <c r="T357" s="136">
        <v>4.5803994811E8</v>
      </c>
      <c r="U357" s="136">
        <v>1332394.95</v>
      </c>
      <c r="V357" s="137" t="s">
        <v>294</v>
      </c>
      <c r="W357" s="134">
        <v>2.0</v>
      </c>
      <c r="X357" s="133" t="s">
        <v>1600</v>
      </c>
      <c r="Y357" s="133" t="s">
        <v>1601</v>
      </c>
      <c r="Z357" s="133" t="s">
        <v>1646</v>
      </c>
      <c r="AA357" s="133">
        <v>14.0</v>
      </c>
      <c r="AB357" s="133" t="s">
        <v>1602</v>
      </c>
      <c r="AC357" s="133" t="s">
        <v>1603</v>
      </c>
    </row>
    <row r="358">
      <c r="A358" s="138">
        <v>2397.0</v>
      </c>
      <c r="B358" s="127" t="s">
        <v>3946</v>
      </c>
      <c r="C358" s="127" t="s">
        <v>75</v>
      </c>
      <c r="D358" s="127" t="s">
        <v>3947</v>
      </c>
      <c r="E358" s="127" t="s">
        <v>3594</v>
      </c>
      <c r="F358" s="127" t="s">
        <v>3575</v>
      </c>
      <c r="G358" s="127" t="s">
        <v>3932</v>
      </c>
      <c r="H358" s="127" t="s">
        <v>81</v>
      </c>
      <c r="I358" s="127" t="s">
        <v>644</v>
      </c>
      <c r="J358" s="127" t="s">
        <v>32</v>
      </c>
      <c r="K358" s="128">
        <v>0.678107</v>
      </c>
      <c r="L358" s="129">
        <v>44784.0</v>
      </c>
      <c r="M358" s="129">
        <v>44582.0</v>
      </c>
      <c r="N358" s="129">
        <v>45789.0</v>
      </c>
      <c r="O358" s="128">
        <v>1005.0</v>
      </c>
      <c r="P358" s="128">
        <v>900.0</v>
      </c>
      <c r="Q358" s="128">
        <v>1.690982175E9</v>
      </c>
      <c r="R358" s="128">
        <v>0.0</v>
      </c>
      <c r="S358" s="128">
        <v>2.367741232E9</v>
      </c>
      <c r="T358" s="130">
        <v>4.05872340741E9</v>
      </c>
      <c r="U358" s="130">
        <v>1.547809771E7</v>
      </c>
      <c r="V358" s="131" t="s">
        <v>294</v>
      </c>
      <c r="W358" s="128">
        <v>2.0</v>
      </c>
      <c r="X358" s="127" t="s">
        <v>1600</v>
      </c>
      <c r="Y358" s="127" t="s">
        <v>1601</v>
      </c>
      <c r="Z358" s="127" t="s">
        <v>32</v>
      </c>
      <c r="AA358" s="127">
        <v>2.0</v>
      </c>
      <c r="AB358" s="127" t="s">
        <v>1602</v>
      </c>
      <c r="AC358" s="127" t="s">
        <v>1603</v>
      </c>
    </row>
    <row r="359">
      <c r="A359" s="132">
        <v>5752.0</v>
      </c>
      <c r="B359" s="133" t="s">
        <v>3948</v>
      </c>
      <c r="C359" s="133" t="s">
        <v>75</v>
      </c>
      <c r="D359" s="133" t="s">
        <v>3949</v>
      </c>
      <c r="E359" s="133" t="s">
        <v>3668</v>
      </c>
      <c r="F359" s="133" t="s">
        <v>3669</v>
      </c>
      <c r="G359" s="133" t="s">
        <v>3917</v>
      </c>
      <c r="H359" s="133" t="s">
        <v>86</v>
      </c>
      <c r="I359" s="133" t="s">
        <v>265</v>
      </c>
      <c r="J359" s="133" t="s">
        <v>65</v>
      </c>
      <c r="K359" s="134">
        <v>1.0</v>
      </c>
      <c r="L359" s="135">
        <v>44803.0</v>
      </c>
      <c r="M359" s="135">
        <v>44715.0</v>
      </c>
      <c r="N359" s="135">
        <v>45313.0</v>
      </c>
      <c r="O359" s="134">
        <v>510.0</v>
      </c>
      <c r="P359" s="134">
        <v>210.0</v>
      </c>
      <c r="Q359" s="134">
        <v>5.011854936E7</v>
      </c>
      <c r="R359" s="134">
        <v>1.411282898E7</v>
      </c>
      <c r="S359" s="134">
        <v>3.586776451E7</v>
      </c>
      <c r="T359" s="136">
        <v>1.0009914285E8</v>
      </c>
      <c r="U359" s="136">
        <v>509772.84</v>
      </c>
      <c r="V359" s="137" t="s">
        <v>294</v>
      </c>
      <c r="W359" s="134">
        <v>1.0</v>
      </c>
      <c r="X359" s="133" t="s">
        <v>1600</v>
      </c>
      <c r="Y359" s="133" t="s">
        <v>1601</v>
      </c>
      <c r="Z359" s="133" t="s">
        <v>1664</v>
      </c>
      <c r="AA359" s="133">
        <v>3.0</v>
      </c>
      <c r="AB359" s="133" t="s">
        <v>1602</v>
      </c>
      <c r="AC359" s="133" t="s">
        <v>86</v>
      </c>
    </row>
    <row r="360">
      <c r="A360" s="138">
        <v>5506.0</v>
      </c>
      <c r="B360" s="127" t="s">
        <v>3950</v>
      </c>
      <c r="C360" s="127" t="s">
        <v>75</v>
      </c>
      <c r="D360" s="127" t="s">
        <v>3951</v>
      </c>
      <c r="E360" s="127" t="s">
        <v>3668</v>
      </c>
      <c r="F360" s="127" t="s">
        <v>3669</v>
      </c>
      <c r="G360" s="127" t="s">
        <v>3917</v>
      </c>
      <c r="H360" s="127" t="s">
        <v>86</v>
      </c>
      <c r="I360" s="127" t="s">
        <v>435</v>
      </c>
      <c r="J360" s="127" t="s">
        <v>150</v>
      </c>
      <c r="K360" s="128">
        <v>0.999999</v>
      </c>
      <c r="L360" s="129">
        <v>44803.0</v>
      </c>
      <c r="M360" s="129">
        <v>44715.0</v>
      </c>
      <c r="N360" s="129">
        <v>45363.0</v>
      </c>
      <c r="O360" s="128">
        <v>560.0</v>
      </c>
      <c r="P360" s="128">
        <v>210.0</v>
      </c>
      <c r="Q360" s="128">
        <v>1.107269347E7</v>
      </c>
      <c r="R360" s="128">
        <v>3186721.18</v>
      </c>
      <c r="S360" s="128">
        <v>1.411589577E7</v>
      </c>
      <c r="T360" s="130">
        <v>2.837531042E7</v>
      </c>
      <c r="U360" s="130">
        <v>113169.96</v>
      </c>
      <c r="V360" s="131" t="s">
        <v>294</v>
      </c>
      <c r="W360" s="128">
        <v>1.0</v>
      </c>
      <c r="X360" s="127" t="s">
        <v>1600</v>
      </c>
      <c r="Y360" s="127" t="s">
        <v>1601</v>
      </c>
      <c r="Z360" s="127" t="s">
        <v>150</v>
      </c>
      <c r="AA360" s="127">
        <v>20.0</v>
      </c>
      <c r="AB360" s="127" t="s">
        <v>1602</v>
      </c>
      <c r="AC360" s="127" t="s">
        <v>86</v>
      </c>
    </row>
    <row r="361">
      <c r="A361" s="126">
        <v>3148.0</v>
      </c>
      <c r="B361" s="133" t="s">
        <v>3952</v>
      </c>
      <c r="C361" s="133" t="s">
        <v>75</v>
      </c>
      <c r="D361" s="133" t="s">
        <v>3953</v>
      </c>
      <c r="E361" s="133" t="s">
        <v>3668</v>
      </c>
      <c r="F361" s="133" t="s">
        <v>3669</v>
      </c>
      <c r="G361" s="133" t="s">
        <v>3917</v>
      </c>
      <c r="H361" s="133" t="s">
        <v>86</v>
      </c>
      <c r="I361" s="133" t="s">
        <v>561</v>
      </c>
      <c r="J361" s="133" t="s">
        <v>136</v>
      </c>
      <c r="K361" s="134">
        <v>1.0</v>
      </c>
      <c r="L361" s="135">
        <v>44803.0</v>
      </c>
      <c r="M361" s="135">
        <v>44715.0</v>
      </c>
      <c r="N361" s="135">
        <v>45463.0</v>
      </c>
      <c r="O361" s="134">
        <v>660.0</v>
      </c>
      <c r="P361" s="134">
        <v>210.0</v>
      </c>
      <c r="Q361" s="134">
        <v>1.099416655E7</v>
      </c>
      <c r="R361" s="134">
        <v>3106951.47</v>
      </c>
      <c r="S361" s="134">
        <v>1.301333777E7</v>
      </c>
      <c r="T361" s="136">
        <v>2.711445579E7</v>
      </c>
      <c r="U361" s="136">
        <v>111913.64</v>
      </c>
      <c r="V361" s="137" t="s">
        <v>294</v>
      </c>
      <c r="W361" s="134">
        <v>1.0</v>
      </c>
      <c r="X361" s="133" t="s">
        <v>1600</v>
      </c>
      <c r="Y361" s="133" t="s">
        <v>1601</v>
      </c>
      <c r="Z361" s="133" t="s">
        <v>1839</v>
      </c>
      <c r="AA361" s="133">
        <v>17.0</v>
      </c>
      <c r="AB361" s="133" t="s">
        <v>1602</v>
      </c>
      <c r="AC361" s="133" t="s">
        <v>86</v>
      </c>
    </row>
    <row r="362">
      <c r="A362" s="126">
        <v>3148.0</v>
      </c>
      <c r="B362" s="127" t="s">
        <v>3954</v>
      </c>
      <c r="C362" s="127" t="s">
        <v>75</v>
      </c>
      <c r="D362" s="127" t="s">
        <v>3955</v>
      </c>
      <c r="E362" s="127" t="s">
        <v>3668</v>
      </c>
      <c r="F362" s="127" t="s">
        <v>3669</v>
      </c>
      <c r="G362" s="127" t="s">
        <v>3917</v>
      </c>
      <c r="H362" s="127" t="s">
        <v>86</v>
      </c>
      <c r="I362" s="127" t="s">
        <v>662</v>
      </c>
      <c r="J362" s="127" t="s">
        <v>154</v>
      </c>
      <c r="K362" s="128">
        <v>1.0</v>
      </c>
      <c r="L362" s="129">
        <v>44803.0</v>
      </c>
      <c r="M362" s="129">
        <v>44715.0</v>
      </c>
      <c r="N362" s="129">
        <v>45363.0</v>
      </c>
      <c r="O362" s="128">
        <v>560.0</v>
      </c>
      <c r="P362" s="128">
        <v>210.0</v>
      </c>
      <c r="Q362" s="128">
        <v>4122031.76</v>
      </c>
      <c r="R362" s="128">
        <v>1173954.65</v>
      </c>
      <c r="S362" s="128">
        <v>3671624.91</v>
      </c>
      <c r="T362" s="130">
        <v>8967611.32</v>
      </c>
      <c r="U362" s="130">
        <v>42031.64</v>
      </c>
      <c r="V362" s="131" t="s">
        <v>294</v>
      </c>
      <c r="W362" s="128">
        <v>1.0</v>
      </c>
      <c r="X362" s="127" t="s">
        <v>1600</v>
      </c>
      <c r="Y362" s="127" t="s">
        <v>1601</v>
      </c>
      <c r="Z362" s="127" t="s">
        <v>1702</v>
      </c>
      <c r="AA362" s="127">
        <v>21.0</v>
      </c>
      <c r="AB362" s="127" t="s">
        <v>1602</v>
      </c>
      <c r="AC362" s="127" t="s">
        <v>86</v>
      </c>
    </row>
    <row r="363">
      <c r="A363" s="126">
        <v>7604.0</v>
      </c>
      <c r="B363" s="133" t="s">
        <v>3956</v>
      </c>
      <c r="C363" s="133" t="s">
        <v>75</v>
      </c>
      <c r="D363" s="133" t="s">
        <v>3957</v>
      </c>
      <c r="E363" s="133" t="s">
        <v>3668</v>
      </c>
      <c r="F363" s="133" t="s">
        <v>3669</v>
      </c>
      <c r="G363" s="133" t="s">
        <v>3917</v>
      </c>
      <c r="H363" s="133" t="s">
        <v>86</v>
      </c>
      <c r="I363" s="133" t="s">
        <v>134</v>
      </c>
      <c r="J363" s="133" t="s">
        <v>39</v>
      </c>
      <c r="K363" s="134">
        <v>1.0</v>
      </c>
      <c r="L363" s="135">
        <v>44803.0</v>
      </c>
      <c r="M363" s="135">
        <v>44715.0</v>
      </c>
      <c r="N363" s="135">
        <v>45463.0</v>
      </c>
      <c r="O363" s="134">
        <v>660.0</v>
      </c>
      <c r="P363" s="134">
        <v>210.0</v>
      </c>
      <c r="Q363" s="134">
        <v>1.081255886E7</v>
      </c>
      <c r="R363" s="134">
        <v>3101041.88</v>
      </c>
      <c r="S363" s="134">
        <v>3.516293758E7</v>
      </c>
      <c r="T363" s="136">
        <v>4.907653832E7</v>
      </c>
      <c r="U363" s="136">
        <v>110425.4</v>
      </c>
      <c r="V363" s="137" t="s">
        <v>294</v>
      </c>
      <c r="W363" s="134">
        <v>1.0</v>
      </c>
      <c r="X363" s="133" t="s">
        <v>147</v>
      </c>
      <c r="Y363" s="133" t="s">
        <v>1601</v>
      </c>
      <c r="Z363" s="133" t="s">
        <v>39</v>
      </c>
      <c r="AA363" s="133">
        <v>4.0</v>
      </c>
      <c r="AB363" s="133" t="s">
        <v>1565</v>
      </c>
      <c r="AC363" s="133" t="s">
        <v>86</v>
      </c>
    </row>
    <row r="364">
      <c r="A364" s="138">
        <v>3581.0</v>
      </c>
      <c r="B364" s="127" t="s">
        <v>3958</v>
      </c>
      <c r="C364" s="127" t="s">
        <v>75</v>
      </c>
      <c r="D364" s="127" t="s">
        <v>3959</v>
      </c>
      <c r="E364" s="127" t="s">
        <v>3668</v>
      </c>
      <c r="F364" s="127" t="s">
        <v>3669</v>
      </c>
      <c r="G364" s="127" t="s">
        <v>3914</v>
      </c>
      <c r="H364" s="127" t="s">
        <v>81</v>
      </c>
      <c r="I364" s="127" t="s">
        <v>604</v>
      </c>
      <c r="J364" s="127" t="s">
        <v>136</v>
      </c>
      <c r="K364" s="128">
        <v>0.999645</v>
      </c>
      <c r="L364" s="129">
        <v>44617.0</v>
      </c>
      <c r="M364" s="129">
        <v>43577.0</v>
      </c>
      <c r="N364" s="129">
        <v>45830.0</v>
      </c>
      <c r="O364" s="128">
        <v>1213.0</v>
      </c>
      <c r="P364" s="128">
        <v>365.0</v>
      </c>
      <c r="Q364" s="128">
        <v>7.497255184E7</v>
      </c>
      <c r="R364" s="128">
        <v>2.185331617E7</v>
      </c>
      <c r="S364" s="128">
        <v>5.672922332E8</v>
      </c>
      <c r="T364" s="130">
        <v>6.6411810118E8</v>
      </c>
      <c r="U364" s="130">
        <v>2225882.02</v>
      </c>
      <c r="V364" s="131" t="s">
        <v>294</v>
      </c>
      <c r="W364" s="128">
        <v>2.0</v>
      </c>
      <c r="X364" s="127" t="s">
        <v>1600</v>
      </c>
      <c r="Y364" s="127" t="s">
        <v>1601</v>
      </c>
      <c r="Z364" s="127" t="s">
        <v>1839</v>
      </c>
      <c r="AA364" s="127">
        <v>17.0</v>
      </c>
      <c r="AB364" s="127" t="s">
        <v>1602</v>
      </c>
      <c r="AC364" s="127" t="s">
        <v>1603</v>
      </c>
    </row>
    <row r="365">
      <c r="A365" s="132">
        <v>3799.0</v>
      </c>
      <c r="B365" s="133" t="s">
        <v>3960</v>
      </c>
      <c r="C365" s="133" t="s">
        <v>75</v>
      </c>
      <c r="D365" s="133" t="s">
        <v>3961</v>
      </c>
      <c r="E365" s="133" t="s">
        <v>3668</v>
      </c>
      <c r="F365" s="133" t="s">
        <v>3669</v>
      </c>
      <c r="G365" s="133" t="s">
        <v>3914</v>
      </c>
      <c r="H365" s="133" t="s">
        <v>81</v>
      </c>
      <c r="I365" s="133" t="s">
        <v>304</v>
      </c>
      <c r="J365" s="133" t="s">
        <v>58</v>
      </c>
      <c r="K365" s="134">
        <v>0.957507</v>
      </c>
      <c r="L365" s="135">
        <v>44617.0</v>
      </c>
      <c r="M365" s="135">
        <v>43585.0</v>
      </c>
      <c r="N365" s="135">
        <v>45832.0</v>
      </c>
      <c r="O365" s="134">
        <v>1215.0</v>
      </c>
      <c r="P365" s="134">
        <v>365.0</v>
      </c>
      <c r="Q365" s="134">
        <v>3.75E7</v>
      </c>
      <c r="R365" s="134">
        <v>1.051875E7</v>
      </c>
      <c r="S365" s="134">
        <v>2.94496455E8</v>
      </c>
      <c r="T365" s="136">
        <v>3.4251520496E8</v>
      </c>
      <c r="U365" s="136">
        <v>1062361.73</v>
      </c>
      <c r="V365" s="137" t="s">
        <v>294</v>
      </c>
      <c r="W365" s="134">
        <v>2.0</v>
      </c>
      <c r="X365" s="133" t="s">
        <v>1600</v>
      </c>
      <c r="Y365" s="133" t="s">
        <v>1601</v>
      </c>
      <c r="Z365" s="133" t="s">
        <v>58</v>
      </c>
      <c r="AA365" s="133">
        <v>1.0</v>
      </c>
      <c r="AB365" s="133" t="s">
        <v>1602</v>
      </c>
      <c r="AC365" s="133" t="s">
        <v>1603</v>
      </c>
    </row>
    <row r="366">
      <c r="A366" s="126">
        <v>3148.0</v>
      </c>
      <c r="B366" s="127" t="s">
        <v>3962</v>
      </c>
      <c r="C366" s="127" t="s">
        <v>75</v>
      </c>
      <c r="D366" s="127" t="s">
        <v>3963</v>
      </c>
      <c r="E366" s="127" t="s">
        <v>3668</v>
      </c>
      <c r="F366" s="127" t="s">
        <v>3669</v>
      </c>
      <c r="G366" s="127" t="s">
        <v>3964</v>
      </c>
      <c r="H366" s="127" t="s">
        <v>86</v>
      </c>
      <c r="I366" s="127" t="s">
        <v>99</v>
      </c>
      <c r="J366" s="127" t="s">
        <v>99</v>
      </c>
      <c r="K366" s="128">
        <v>1.0</v>
      </c>
      <c r="L366" s="129">
        <v>44866.0</v>
      </c>
      <c r="M366" s="129">
        <v>44781.0</v>
      </c>
      <c r="N366" s="129">
        <v>45437.0</v>
      </c>
      <c r="O366" s="128">
        <v>571.0</v>
      </c>
      <c r="P366" s="128">
        <v>120.0</v>
      </c>
      <c r="Q366" s="128">
        <v>3.69894E7</v>
      </c>
      <c r="R366" s="128">
        <v>1.04680002E7</v>
      </c>
      <c r="S366" s="128">
        <v>5.148641076E7</v>
      </c>
      <c r="T366" s="130">
        <v>9.894381096E7</v>
      </c>
      <c r="U366" s="130">
        <v>339587.84</v>
      </c>
      <c r="V366" s="131" t="s">
        <v>294</v>
      </c>
      <c r="W366" s="128">
        <v>1.0</v>
      </c>
      <c r="X366" s="127" t="s">
        <v>1600</v>
      </c>
      <c r="Y366" s="127" t="s">
        <v>1601</v>
      </c>
      <c r="Z366" s="127" t="s">
        <v>1683</v>
      </c>
      <c r="AA366" s="127">
        <v>9.0</v>
      </c>
      <c r="AB366" s="127" t="s">
        <v>1602</v>
      </c>
      <c r="AC366" s="127" t="s">
        <v>86</v>
      </c>
    </row>
    <row r="367">
      <c r="A367" s="132">
        <v>5819.0</v>
      </c>
      <c r="B367" s="133" t="s">
        <v>3965</v>
      </c>
      <c r="C367" s="133" t="s">
        <v>75</v>
      </c>
      <c r="D367" s="133" t="s">
        <v>3966</v>
      </c>
      <c r="E367" s="133" t="s">
        <v>3967</v>
      </c>
      <c r="F367" s="133" t="s">
        <v>3575</v>
      </c>
      <c r="G367" s="133" t="s">
        <v>2318</v>
      </c>
      <c r="H367" s="133" t="s">
        <v>86</v>
      </c>
      <c r="I367" s="133" t="s">
        <v>363</v>
      </c>
      <c r="J367" s="133" t="s">
        <v>58</v>
      </c>
      <c r="K367" s="134">
        <v>1.0</v>
      </c>
      <c r="L367" s="135">
        <v>44896.0</v>
      </c>
      <c r="M367" s="135">
        <v>44798.0</v>
      </c>
      <c r="N367" s="135">
        <v>45484.0</v>
      </c>
      <c r="O367" s="134">
        <v>588.0</v>
      </c>
      <c r="P367" s="134">
        <v>240.0</v>
      </c>
      <c r="Q367" s="134">
        <v>8.647541624E8</v>
      </c>
      <c r="R367" s="134">
        <v>2.58147342E8</v>
      </c>
      <c r="S367" s="134">
        <v>1.830646338E9</v>
      </c>
      <c r="T367" s="136">
        <v>2.9535478426E9</v>
      </c>
      <c r="U367" s="136">
        <v>7797927.11</v>
      </c>
      <c r="V367" s="137" t="s">
        <v>294</v>
      </c>
      <c r="W367" s="134">
        <v>1.0</v>
      </c>
      <c r="X367" s="133" t="s">
        <v>1600</v>
      </c>
      <c r="Y367" s="133" t="s">
        <v>1601</v>
      </c>
      <c r="Z367" s="133" t="s">
        <v>58</v>
      </c>
      <c r="AA367" s="133">
        <v>1.0</v>
      </c>
      <c r="AB367" s="133" t="s">
        <v>1602</v>
      </c>
      <c r="AC367" s="133" t="s">
        <v>86</v>
      </c>
    </row>
    <row r="368">
      <c r="A368" s="126">
        <v>6025.0</v>
      </c>
      <c r="B368" s="127" t="s">
        <v>3968</v>
      </c>
      <c r="C368" s="127" t="s">
        <v>75</v>
      </c>
      <c r="D368" s="127" t="s">
        <v>3969</v>
      </c>
      <c r="E368" s="127" t="s">
        <v>3970</v>
      </c>
      <c r="F368" s="127" t="s">
        <v>3575</v>
      </c>
      <c r="G368" s="127" t="s">
        <v>2003</v>
      </c>
      <c r="H368" s="127" t="s">
        <v>86</v>
      </c>
      <c r="I368" s="127" t="s">
        <v>363</v>
      </c>
      <c r="J368" s="127" t="s">
        <v>58</v>
      </c>
      <c r="K368" s="128">
        <v>1.0</v>
      </c>
      <c r="L368" s="129">
        <v>44914.0</v>
      </c>
      <c r="M368" s="129">
        <v>44804.0</v>
      </c>
      <c r="N368" s="129">
        <v>45454.0</v>
      </c>
      <c r="O368" s="128">
        <v>540.0</v>
      </c>
      <c r="P368" s="128">
        <v>240.0</v>
      </c>
      <c r="Q368" s="128">
        <v>9.120079536E8</v>
      </c>
      <c r="R368" s="128">
        <v>2.639052684E8</v>
      </c>
      <c r="S368" s="128">
        <v>2.319784859E9</v>
      </c>
      <c r="T368" s="130">
        <v>3.49569808112E9</v>
      </c>
      <c r="U368" s="130">
        <v>8109746.36</v>
      </c>
      <c r="V368" s="131" t="s">
        <v>294</v>
      </c>
      <c r="W368" s="128">
        <v>1.0</v>
      </c>
      <c r="X368" s="127" t="s">
        <v>1600</v>
      </c>
      <c r="Y368" s="127" t="s">
        <v>1601</v>
      </c>
      <c r="Z368" s="127" t="s">
        <v>58</v>
      </c>
      <c r="AA368" s="127">
        <v>1.0</v>
      </c>
      <c r="AB368" s="127" t="s">
        <v>1602</v>
      </c>
      <c r="AC368" s="127" t="s">
        <v>86</v>
      </c>
    </row>
    <row r="369">
      <c r="A369" s="132">
        <v>5822.0</v>
      </c>
      <c r="B369" s="133" t="s">
        <v>3971</v>
      </c>
      <c r="C369" s="133" t="s">
        <v>75</v>
      </c>
      <c r="D369" s="133" t="s">
        <v>3972</v>
      </c>
      <c r="E369" s="133" t="s">
        <v>3594</v>
      </c>
      <c r="F369" s="133" t="s">
        <v>3575</v>
      </c>
      <c r="G369" s="133" t="s">
        <v>3973</v>
      </c>
      <c r="H369" s="133" t="s">
        <v>86</v>
      </c>
      <c r="I369" s="133" t="s">
        <v>203</v>
      </c>
      <c r="J369" s="133" t="s">
        <v>154</v>
      </c>
      <c r="K369" s="134">
        <v>0.999999</v>
      </c>
      <c r="L369" s="135">
        <v>44901.0</v>
      </c>
      <c r="M369" s="135">
        <v>44820.0</v>
      </c>
      <c r="N369" s="135">
        <v>45752.0</v>
      </c>
      <c r="O369" s="134">
        <v>851.0</v>
      </c>
      <c r="P369" s="134">
        <v>360.0</v>
      </c>
      <c r="Q369" s="134">
        <v>2.1980007E9</v>
      </c>
      <c r="R369" s="134">
        <v>3.786941071E8</v>
      </c>
      <c r="S369" s="134">
        <v>4.586091125E9</v>
      </c>
      <c r="T369" s="136">
        <v>7.16278593199E9</v>
      </c>
      <c r="U369" s="136">
        <v>1.729325374E7</v>
      </c>
      <c r="V369" s="137" t="s">
        <v>294</v>
      </c>
      <c r="W369" s="134">
        <v>1.0</v>
      </c>
      <c r="X369" s="133" t="s">
        <v>1600</v>
      </c>
      <c r="Y369" s="133" t="s">
        <v>1601</v>
      </c>
      <c r="Z369" s="133" t="s">
        <v>1702</v>
      </c>
      <c r="AA369" s="133">
        <v>21.0</v>
      </c>
      <c r="AB369" s="133" t="s">
        <v>1602</v>
      </c>
      <c r="AC369" s="133" t="s">
        <v>86</v>
      </c>
    </row>
    <row r="370">
      <c r="A370" s="126">
        <v>4846.0</v>
      </c>
      <c r="B370" s="127" t="s">
        <v>3974</v>
      </c>
      <c r="C370" s="127" t="s">
        <v>75</v>
      </c>
      <c r="D370" s="127" t="s">
        <v>3975</v>
      </c>
      <c r="E370" s="127" t="s">
        <v>3594</v>
      </c>
      <c r="F370" s="127" t="s">
        <v>3575</v>
      </c>
      <c r="G370" s="127" t="s">
        <v>3976</v>
      </c>
      <c r="H370" s="127" t="s">
        <v>81</v>
      </c>
      <c r="I370" s="127" t="s">
        <v>2726</v>
      </c>
      <c r="J370" s="127" t="s">
        <v>150</v>
      </c>
      <c r="K370" s="128">
        <v>0.673582</v>
      </c>
      <c r="L370" s="129">
        <v>44946.0</v>
      </c>
      <c r="M370" s="129">
        <v>44652.0</v>
      </c>
      <c r="N370" s="129">
        <v>45818.0</v>
      </c>
      <c r="O370" s="128">
        <v>872.0</v>
      </c>
      <c r="P370" s="128">
        <v>540.0</v>
      </c>
      <c r="Q370" s="128">
        <v>6.454421035E8</v>
      </c>
      <c r="R370" s="128">
        <v>2.07613535E8</v>
      </c>
      <c r="S370" s="128">
        <v>1.587578723E9</v>
      </c>
      <c r="T370" s="130">
        <v>2.44063436125E9</v>
      </c>
      <c r="U370" s="130">
        <v>7338113.02</v>
      </c>
      <c r="V370" s="131" t="s">
        <v>294</v>
      </c>
      <c r="W370" s="128">
        <v>2.0</v>
      </c>
      <c r="X370" s="127" t="s">
        <v>1600</v>
      </c>
      <c r="Y370" s="127" t="s">
        <v>1601</v>
      </c>
      <c r="Z370" s="127" t="s">
        <v>150</v>
      </c>
      <c r="AA370" s="127">
        <v>20.0</v>
      </c>
      <c r="AB370" s="127" t="s">
        <v>1602</v>
      </c>
      <c r="AC370" s="127" t="s">
        <v>1603</v>
      </c>
    </row>
    <row r="371">
      <c r="A371" s="132">
        <v>4856.0</v>
      </c>
      <c r="B371" s="133" t="s">
        <v>3977</v>
      </c>
      <c r="C371" s="133" t="s">
        <v>75</v>
      </c>
      <c r="D371" s="133" t="s">
        <v>3978</v>
      </c>
      <c r="E371" s="133" t="s">
        <v>3887</v>
      </c>
      <c r="F371" s="133" t="s">
        <v>3575</v>
      </c>
      <c r="G371" s="133" t="s">
        <v>3979</v>
      </c>
      <c r="H371" s="133" t="s">
        <v>86</v>
      </c>
      <c r="I371" s="133" t="s">
        <v>110</v>
      </c>
      <c r="J371" s="133" t="s">
        <v>154</v>
      </c>
      <c r="K371" s="134">
        <v>1.0</v>
      </c>
      <c r="L371" s="135">
        <v>44862.0</v>
      </c>
      <c r="M371" s="135">
        <v>44652.0</v>
      </c>
      <c r="N371" s="135">
        <v>45636.0</v>
      </c>
      <c r="O371" s="134">
        <v>774.0</v>
      </c>
      <c r="P371" s="134">
        <v>261.0</v>
      </c>
      <c r="Q371" s="134">
        <v>1.084273015E8</v>
      </c>
      <c r="R371" s="134">
        <v>0.0</v>
      </c>
      <c r="S371" s="134">
        <v>3.516233959E8</v>
      </c>
      <c r="T371" s="136">
        <v>4.600506973E8</v>
      </c>
      <c r="U371" s="136">
        <v>932707.97</v>
      </c>
      <c r="V371" s="137" t="s">
        <v>294</v>
      </c>
      <c r="W371" s="134">
        <v>1.0</v>
      </c>
      <c r="X371" s="133" t="s">
        <v>1600</v>
      </c>
      <c r="Y371" s="133" t="s">
        <v>1601</v>
      </c>
      <c r="Z371" s="133" t="s">
        <v>1702</v>
      </c>
      <c r="AA371" s="133">
        <v>21.0</v>
      </c>
      <c r="AB371" s="133" t="s">
        <v>1602</v>
      </c>
      <c r="AC371" s="133" t="s">
        <v>86</v>
      </c>
    </row>
    <row r="372">
      <c r="A372" s="138">
        <v>4865.0</v>
      </c>
      <c r="B372" s="127" t="s">
        <v>3980</v>
      </c>
      <c r="C372" s="127" t="s">
        <v>75</v>
      </c>
      <c r="D372" s="127" t="s">
        <v>3981</v>
      </c>
      <c r="E372" s="127" t="s">
        <v>3887</v>
      </c>
      <c r="F372" s="127" t="s">
        <v>3575</v>
      </c>
      <c r="G372" s="127" t="s">
        <v>3976</v>
      </c>
      <c r="H372" s="127" t="s">
        <v>86</v>
      </c>
      <c r="I372" s="127" t="s">
        <v>116</v>
      </c>
      <c r="J372" s="127" t="s">
        <v>171</v>
      </c>
      <c r="K372" s="128">
        <v>1.0</v>
      </c>
      <c r="L372" s="129">
        <v>44862.0</v>
      </c>
      <c r="M372" s="129">
        <v>44652.0</v>
      </c>
      <c r="N372" s="129">
        <v>45447.0</v>
      </c>
      <c r="O372" s="128">
        <v>585.0</v>
      </c>
      <c r="P372" s="128">
        <v>180.0</v>
      </c>
      <c r="Q372" s="128">
        <v>1.870486276E7</v>
      </c>
      <c r="R372" s="128">
        <v>0.0</v>
      </c>
      <c r="S372" s="128">
        <v>1.011144934E8</v>
      </c>
      <c r="T372" s="130">
        <v>1.1981935616E8</v>
      </c>
      <c r="U372" s="130">
        <v>160902.05</v>
      </c>
      <c r="V372" s="131" t="s">
        <v>294</v>
      </c>
      <c r="W372" s="128">
        <v>1.0</v>
      </c>
      <c r="X372" s="127" t="s">
        <v>1600</v>
      </c>
      <c r="Y372" s="127" t="s">
        <v>1601</v>
      </c>
      <c r="Z372" s="127" t="s">
        <v>1674</v>
      </c>
      <c r="AA372" s="127">
        <v>26.0</v>
      </c>
      <c r="AB372" s="127" t="s">
        <v>1602</v>
      </c>
      <c r="AC372" s="127" t="s">
        <v>86</v>
      </c>
    </row>
    <row r="373">
      <c r="A373" s="132">
        <v>5991.0</v>
      </c>
      <c r="B373" s="133" t="s">
        <v>3982</v>
      </c>
      <c r="C373" s="133" t="s">
        <v>75</v>
      </c>
      <c r="D373" s="133" t="s">
        <v>3983</v>
      </c>
      <c r="E373" s="133" t="s">
        <v>3594</v>
      </c>
      <c r="F373" s="133" t="s">
        <v>3575</v>
      </c>
      <c r="G373" s="133" t="s">
        <v>3897</v>
      </c>
      <c r="H373" s="133" t="s">
        <v>86</v>
      </c>
      <c r="I373" s="133" t="s">
        <v>363</v>
      </c>
      <c r="J373" s="133" t="s">
        <v>58</v>
      </c>
      <c r="K373" s="134">
        <v>1.0</v>
      </c>
      <c r="L373" s="135">
        <v>44986.0</v>
      </c>
      <c r="M373" s="135">
        <v>44931.0</v>
      </c>
      <c r="N373" s="135">
        <v>45768.0</v>
      </c>
      <c r="O373" s="134">
        <v>782.0</v>
      </c>
      <c r="P373" s="134">
        <v>360.0</v>
      </c>
      <c r="Q373" s="134">
        <v>5.580129987E9</v>
      </c>
      <c r="R373" s="134">
        <v>1.646832212E9</v>
      </c>
      <c r="S373" s="134">
        <v>1.0132178125E10</v>
      </c>
      <c r="T373" s="136">
        <v>1.735914032436E10</v>
      </c>
      <c r="U373" s="136">
        <v>3.890692974E7</v>
      </c>
      <c r="V373" s="137" t="s">
        <v>294</v>
      </c>
      <c r="W373" s="134">
        <v>1.0</v>
      </c>
      <c r="X373" s="133" t="s">
        <v>1600</v>
      </c>
      <c r="Y373" s="133" t="s">
        <v>1601</v>
      </c>
      <c r="Z373" s="133" t="s">
        <v>58</v>
      </c>
      <c r="AA373" s="133">
        <v>1.0</v>
      </c>
      <c r="AB373" s="133" t="s">
        <v>1602</v>
      </c>
      <c r="AC373" s="133" t="s">
        <v>86</v>
      </c>
    </row>
    <row r="374">
      <c r="A374" s="126">
        <v>4855.0</v>
      </c>
      <c r="B374" s="127" t="s">
        <v>3984</v>
      </c>
      <c r="C374" s="127" t="s">
        <v>75</v>
      </c>
      <c r="D374" s="127" t="s">
        <v>3985</v>
      </c>
      <c r="E374" s="127" t="s">
        <v>3594</v>
      </c>
      <c r="F374" s="127" t="s">
        <v>3575</v>
      </c>
      <c r="G374" s="127" t="s">
        <v>3911</v>
      </c>
      <c r="H374" s="127" t="s">
        <v>81</v>
      </c>
      <c r="I374" s="127" t="s">
        <v>276</v>
      </c>
      <c r="J374" s="127" t="s">
        <v>52</v>
      </c>
      <c r="K374" s="128">
        <v>0.972741</v>
      </c>
      <c r="L374" s="129">
        <v>44994.0</v>
      </c>
      <c r="M374" s="129">
        <v>44287.0</v>
      </c>
      <c r="N374" s="129">
        <v>45773.0</v>
      </c>
      <c r="O374" s="128">
        <v>779.0</v>
      </c>
      <c r="P374" s="128">
        <v>60.0</v>
      </c>
      <c r="Q374" s="128">
        <v>6.355567621E7</v>
      </c>
      <c r="R374" s="128">
        <v>0.0</v>
      </c>
      <c r="S374" s="128">
        <v>2.138626585E8</v>
      </c>
      <c r="T374" s="130">
        <v>2.7741833468E8</v>
      </c>
      <c r="U374" s="130">
        <v>650185.95</v>
      </c>
      <c r="V374" s="131" t="s">
        <v>294</v>
      </c>
      <c r="W374" s="128">
        <v>2.0</v>
      </c>
      <c r="X374" s="127" t="s">
        <v>147</v>
      </c>
      <c r="Y374" s="127" t="s">
        <v>1601</v>
      </c>
      <c r="Z374" s="127" t="s">
        <v>52</v>
      </c>
      <c r="AA374" s="127">
        <v>18.0</v>
      </c>
      <c r="AB374" s="127" t="s">
        <v>1565</v>
      </c>
      <c r="AC374" s="127" t="s">
        <v>1603</v>
      </c>
    </row>
    <row r="375">
      <c r="A375" s="126">
        <v>4840.0</v>
      </c>
      <c r="B375" s="133" t="s">
        <v>3986</v>
      </c>
      <c r="C375" s="133" t="s">
        <v>75</v>
      </c>
      <c r="D375" s="133" t="s">
        <v>3987</v>
      </c>
      <c r="E375" s="133" t="s">
        <v>3594</v>
      </c>
      <c r="F375" s="133" t="s">
        <v>3575</v>
      </c>
      <c r="G375" s="133" t="s">
        <v>3914</v>
      </c>
      <c r="H375" s="133" t="s">
        <v>81</v>
      </c>
      <c r="I375" s="133" t="s">
        <v>261</v>
      </c>
      <c r="J375" s="133" t="s">
        <v>52</v>
      </c>
      <c r="K375" s="134">
        <v>0.962429</v>
      </c>
      <c r="L375" s="135">
        <v>44998.0</v>
      </c>
      <c r="M375" s="135">
        <v>44287.0</v>
      </c>
      <c r="N375" s="135">
        <v>45768.0</v>
      </c>
      <c r="O375" s="134">
        <v>770.0</v>
      </c>
      <c r="P375" s="134">
        <v>120.0</v>
      </c>
      <c r="Q375" s="134">
        <v>2.84281715E7</v>
      </c>
      <c r="R375" s="134">
        <v>0.0</v>
      </c>
      <c r="S375" s="134">
        <v>1.017254749E8</v>
      </c>
      <c r="T375" s="136">
        <v>1.3015364637E8</v>
      </c>
      <c r="U375" s="136">
        <v>290825.28</v>
      </c>
      <c r="V375" s="137" t="s">
        <v>294</v>
      </c>
      <c r="W375" s="134">
        <v>2.0</v>
      </c>
      <c r="X375" s="133" t="s">
        <v>147</v>
      </c>
      <c r="Y375" s="133" t="s">
        <v>1601</v>
      </c>
      <c r="Z375" s="133" t="s">
        <v>52</v>
      </c>
      <c r="AA375" s="133">
        <v>18.0</v>
      </c>
      <c r="AB375" s="133" t="s">
        <v>1565</v>
      </c>
      <c r="AC375" s="133" t="s">
        <v>1603</v>
      </c>
    </row>
    <row r="376">
      <c r="A376" s="126">
        <v>4841.0</v>
      </c>
      <c r="B376" s="127" t="s">
        <v>3988</v>
      </c>
      <c r="C376" s="127" t="s">
        <v>75</v>
      </c>
      <c r="D376" s="127" t="s">
        <v>3989</v>
      </c>
      <c r="E376" s="127" t="s">
        <v>3905</v>
      </c>
      <c r="F376" s="127" t="s">
        <v>3575</v>
      </c>
      <c r="G376" s="127" t="s">
        <v>3906</v>
      </c>
      <c r="H376" s="127" t="s">
        <v>86</v>
      </c>
      <c r="I376" s="127" t="s">
        <v>552</v>
      </c>
      <c r="J376" s="127" t="s">
        <v>82</v>
      </c>
      <c r="K376" s="128">
        <v>1.0</v>
      </c>
      <c r="L376" s="129">
        <v>44999.0</v>
      </c>
      <c r="M376" s="129">
        <v>44287.0</v>
      </c>
      <c r="N376" s="129">
        <v>45703.0</v>
      </c>
      <c r="O376" s="128">
        <v>704.0</v>
      </c>
      <c r="P376" s="128">
        <v>45.0</v>
      </c>
      <c r="Q376" s="128">
        <v>2.005274212E7</v>
      </c>
      <c r="R376" s="128">
        <v>0.0</v>
      </c>
      <c r="S376" s="128">
        <v>4.879494412E7</v>
      </c>
      <c r="T376" s="130">
        <v>6.884768624E7</v>
      </c>
      <c r="U376" s="130">
        <v>205143.14</v>
      </c>
      <c r="V376" s="131" t="s">
        <v>294</v>
      </c>
      <c r="W376" s="128">
        <v>1.0</v>
      </c>
      <c r="X376" s="127" t="s">
        <v>1600</v>
      </c>
      <c r="Y376" s="127" t="s">
        <v>1601</v>
      </c>
      <c r="Z376" s="127" t="s">
        <v>1747</v>
      </c>
      <c r="AA376" s="127">
        <v>6.0</v>
      </c>
      <c r="AB376" s="127" t="s">
        <v>1602</v>
      </c>
      <c r="AC376" s="127" t="s">
        <v>86</v>
      </c>
    </row>
    <row r="377">
      <c r="A377" s="132">
        <v>5899.0</v>
      </c>
      <c r="B377" s="133" t="s">
        <v>3990</v>
      </c>
      <c r="C377" s="133" t="s">
        <v>75</v>
      </c>
      <c r="D377" s="133" t="s">
        <v>3991</v>
      </c>
      <c r="E377" s="133" t="s">
        <v>3887</v>
      </c>
      <c r="F377" s="133" t="s">
        <v>3575</v>
      </c>
      <c r="G377" s="133" t="s">
        <v>3897</v>
      </c>
      <c r="H377" s="133" t="s">
        <v>86</v>
      </c>
      <c r="I377" s="133" t="s">
        <v>363</v>
      </c>
      <c r="J377" s="133" t="s">
        <v>58</v>
      </c>
      <c r="K377" s="134">
        <v>1.0</v>
      </c>
      <c r="L377" s="135">
        <v>45007.0</v>
      </c>
      <c r="M377" s="135">
        <v>44860.0</v>
      </c>
      <c r="N377" s="135">
        <v>45660.0</v>
      </c>
      <c r="O377" s="134">
        <v>653.0</v>
      </c>
      <c r="P377" s="134">
        <v>240.0</v>
      </c>
      <c r="Q377" s="134">
        <v>1.538364544E9</v>
      </c>
      <c r="R377" s="134">
        <v>0.0</v>
      </c>
      <c r="S377" s="134">
        <v>8.195415936E9</v>
      </c>
      <c r="T377" s="136">
        <v>9.73378048E9</v>
      </c>
      <c r="U377" s="136">
        <v>9525477.05</v>
      </c>
      <c r="V377" s="137" t="s">
        <v>294</v>
      </c>
      <c r="W377" s="134">
        <v>1.0</v>
      </c>
      <c r="X377" s="133" t="s">
        <v>1600</v>
      </c>
      <c r="Y377" s="133" t="s">
        <v>1601</v>
      </c>
      <c r="Z377" s="133" t="s">
        <v>58</v>
      </c>
      <c r="AA377" s="133">
        <v>1.0</v>
      </c>
      <c r="AB377" s="133" t="s">
        <v>1602</v>
      </c>
      <c r="AC377" s="133" t="s">
        <v>86</v>
      </c>
    </row>
    <row r="378">
      <c r="A378" s="126">
        <v>6019.0</v>
      </c>
      <c r="B378" s="127" t="s">
        <v>3992</v>
      </c>
      <c r="C378" s="127" t="s">
        <v>75</v>
      </c>
      <c r="D378" s="127" t="s">
        <v>3993</v>
      </c>
      <c r="E378" s="127" t="s">
        <v>3967</v>
      </c>
      <c r="F378" s="127" t="s">
        <v>3575</v>
      </c>
      <c r="G378" s="127" t="s">
        <v>3994</v>
      </c>
      <c r="H378" s="127" t="s">
        <v>86</v>
      </c>
      <c r="I378" s="127" t="s">
        <v>117</v>
      </c>
      <c r="J378" s="127" t="s">
        <v>117</v>
      </c>
      <c r="K378" s="128">
        <v>1.0</v>
      </c>
      <c r="L378" s="129">
        <v>45034.0</v>
      </c>
      <c r="M378" s="129">
        <v>44922.0</v>
      </c>
      <c r="N378" s="129">
        <v>45399.0</v>
      </c>
      <c r="O378" s="128">
        <v>365.0</v>
      </c>
      <c r="P378" s="128">
        <v>365.0</v>
      </c>
      <c r="Q378" s="128">
        <v>1.648861492E8</v>
      </c>
      <c r="R378" s="128">
        <v>0.0</v>
      </c>
      <c r="S378" s="128">
        <v>1.099698786E8</v>
      </c>
      <c r="T378" s="130">
        <v>2.7485602782E8</v>
      </c>
      <c r="U378" s="130">
        <v>903485.75</v>
      </c>
      <c r="V378" s="131" t="s">
        <v>294</v>
      </c>
      <c r="W378" s="128">
        <v>1.0</v>
      </c>
      <c r="X378" s="127" t="s">
        <v>1600</v>
      </c>
      <c r="Y378" s="127" t="s">
        <v>1601</v>
      </c>
      <c r="Z378" s="127" t="s">
        <v>408</v>
      </c>
      <c r="AA378" s="127">
        <v>15.0</v>
      </c>
      <c r="AB378" s="127" t="s">
        <v>1602</v>
      </c>
      <c r="AC378" s="127" t="s">
        <v>86</v>
      </c>
    </row>
    <row r="379">
      <c r="A379" s="126">
        <v>6502.0</v>
      </c>
      <c r="B379" s="133" t="s">
        <v>3995</v>
      </c>
      <c r="C379" s="133" t="s">
        <v>75</v>
      </c>
      <c r="D379" s="133" t="s">
        <v>3996</v>
      </c>
      <c r="E379" s="133" t="s">
        <v>3967</v>
      </c>
      <c r="F379" s="133" t="s">
        <v>3575</v>
      </c>
      <c r="G379" s="133" t="s">
        <v>2003</v>
      </c>
      <c r="H379" s="133" t="s">
        <v>86</v>
      </c>
      <c r="I379" s="133" t="s">
        <v>99</v>
      </c>
      <c r="J379" s="133" t="s">
        <v>125</v>
      </c>
      <c r="K379" s="134">
        <v>0.999999</v>
      </c>
      <c r="L379" s="135">
        <v>45055.0</v>
      </c>
      <c r="M379" s="135">
        <v>44922.0</v>
      </c>
      <c r="N379" s="135">
        <v>45420.0</v>
      </c>
      <c r="O379" s="134">
        <v>365.0</v>
      </c>
      <c r="P379" s="134">
        <v>365.0</v>
      </c>
      <c r="Q379" s="134">
        <v>3.103735665E8</v>
      </c>
      <c r="R379" s="134">
        <v>0.0</v>
      </c>
      <c r="S379" s="134">
        <v>3.210050611E8</v>
      </c>
      <c r="T379" s="136">
        <v>6.3137862759E8</v>
      </c>
      <c r="U379" s="136">
        <v>1700677.08</v>
      </c>
      <c r="V379" s="137" t="s">
        <v>294</v>
      </c>
      <c r="W379" s="134">
        <v>1.0</v>
      </c>
      <c r="X379" s="133" t="s">
        <v>1600</v>
      </c>
      <c r="Y379" s="133" t="s">
        <v>1601</v>
      </c>
      <c r="Z379" s="133" t="s">
        <v>1646</v>
      </c>
      <c r="AA379" s="133">
        <v>14.0</v>
      </c>
      <c r="AB379" s="133" t="s">
        <v>1602</v>
      </c>
      <c r="AC379" s="133" t="s">
        <v>86</v>
      </c>
    </row>
    <row r="380">
      <c r="A380" s="126">
        <v>6635.0</v>
      </c>
      <c r="B380" s="127" t="s">
        <v>3997</v>
      </c>
      <c r="C380" s="127" t="s">
        <v>80</v>
      </c>
      <c r="D380" s="127" t="s">
        <v>3998</v>
      </c>
      <c r="E380" s="127" t="s">
        <v>3999</v>
      </c>
      <c r="F380" s="127" t="s">
        <v>3751</v>
      </c>
      <c r="G380" s="127" t="s">
        <v>4000</v>
      </c>
      <c r="H380" s="127" t="s">
        <v>81</v>
      </c>
      <c r="I380" s="127" t="s">
        <v>363</v>
      </c>
      <c r="J380" s="127" t="s">
        <v>58</v>
      </c>
      <c r="K380" s="128">
        <v>0.99997</v>
      </c>
      <c r="L380" s="129">
        <v>45058.0</v>
      </c>
      <c r="M380" s="129">
        <v>44957.0</v>
      </c>
      <c r="N380" s="129">
        <v>45815.0</v>
      </c>
      <c r="O380" s="128">
        <v>757.0</v>
      </c>
      <c r="P380" s="128">
        <v>180.0</v>
      </c>
      <c r="Q380" s="128">
        <v>3.87E8</v>
      </c>
      <c r="R380" s="128">
        <v>0.0</v>
      </c>
      <c r="S380" s="128">
        <v>1.644811413E8</v>
      </c>
      <c r="T380" s="130">
        <v>5.5148114128E8</v>
      </c>
      <c r="U380" s="130">
        <v>1994845.36</v>
      </c>
      <c r="V380" s="131" t="s">
        <v>294</v>
      </c>
      <c r="W380" s="128">
        <v>2.0</v>
      </c>
      <c r="X380" s="127" t="s">
        <v>1600</v>
      </c>
      <c r="Y380" s="127" t="s">
        <v>1601</v>
      </c>
      <c r="Z380" s="127" t="s">
        <v>58</v>
      </c>
      <c r="AA380" s="127">
        <v>1.0</v>
      </c>
      <c r="AB380" s="127" t="s">
        <v>1602</v>
      </c>
      <c r="AC380" s="127" t="s">
        <v>1603</v>
      </c>
    </row>
    <row r="381">
      <c r="A381" s="132">
        <v>4848.0</v>
      </c>
      <c r="B381" s="133" t="s">
        <v>4001</v>
      </c>
      <c r="C381" s="133" t="s">
        <v>75</v>
      </c>
      <c r="D381" s="133" t="s">
        <v>4002</v>
      </c>
      <c r="E381" s="133" t="s">
        <v>3594</v>
      </c>
      <c r="F381" s="133" t="s">
        <v>3575</v>
      </c>
      <c r="G381" s="133" t="s">
        <v>4003</v>
      </c>
      <c r="H381" s="133" t="s">
        <v>81</v>
      </c>
      <c r="I381" s="133" t="s">
        <v>622</v>
      </c>
      <c r="J381" s="133" t="s">
        <v>32</v>
      </c>
      <c r="K381" s="134">
        <v>0.455381</v>
      </c>
      <c r="L381" s="135">
        <v>45054.0</v>
      </c>
      <c r="M381" s="135">
        <v>44682.0</v>
      </c>
      <c r="N381" s="135">
        <v>45867.0</v>
      </c>
      <c r="O381" s="134">
        <v>813.0</v>
      </c>
      <c r="P381" s="134">
        <v>540.0</v>
      </c>
      <c r="Q381" s="134">
        <v>4.526923525E8</v>
      </c>
      <c r="R381" s="134">
        <v>0.0</v>
      </c>
      <c r="S381" s="134">
        <v>0.0</v>
      </c>
      <c r="T381" s="136">
        <v>4.5269235246E8</v>
      </c>
      <c r="U381" s="136">
        <v>3756783.01</v>
      </c>
      <c r="V381" s="137" t="s">
        <v>294</v>
      </c>
      <c r="W381" s="134">
        <v>2.0</v>
      </c>
      <c r="X381" s="133" t="s">
        <v>1600</v>
      </c>
      <c r="Y381" s="133" t="s">
        <v>1601</v>
      </c>
      <c r="Z381" s="133" t="s">
        <v>32</v>
      </c>
      <c r="AA381" s="133">
        <v>2.0</v>
      </c>
      <c r="AB381" s="133" t="s">
        <v>1602</v>
      </c>
      <c r="AC381" s="133" t="s">
        <v>1603</v>
      </c>
    </row>
    <row r="382">
      <c r="A382" s="126">
        <v>6015.0</v>
      </c>
      <c r="B382" s="127" t="s">
        <v>4004</v>
      </c>
      <c r="C382" s="127" t="s">
        <v>75</v>
      </c>
      <c r="D382" s="127" t="s">
        <v>4005</v>
      </c>
      <c r="E382" s="127" t="s">
        <v>3967</v>
      </c>
      <c r="F382" s="127" t="s">
        <v>3575</v>
      </c>
      <c r="G382" s="127" t="s">
        <v>4006</v>
      </c>
      <c r="H382" s="127" t="s">
        <v>86</v>
      </c>
      <c r="I382" s="127" t="s">
        <v>391</v>
      </c>
      <c r="J382" s="127" t="s">
        <v>115</v>
      </c>
      <c r="K382" s="128">
        <v>1.0</v>
      </c>
      <c r="L382" s="129">
        <v>45069.0</v>
      </c>
      <c r="M382" s="129">
        <v>44922.0</v>
      </c>
      <c r="N382" s="129">
        <v>45434.0</v>
      </c>
      <c r="O382" s="128">
        <v>365.0</v>
      </c>
      <c r="P382" s="128">
        <v>365.0</v>
      </c>
      <c r="Q382" s="128">
        <v>2.933899523E8</v>
      </c>
      <c r="R382" s="128">
        <v>0.0</v>
      </c>
      <c r="S382" s="128">
        <v>2.3142219E8</v>
      </c>
      <c r="T382" s="130">
        <v>5.2481214232E8</v>
      </c>
      <c r="U382" s="130">
        <v>1607616.18</v>
      </c>
      <c r="V382" s="131" t="s">
        <v>294</v>
      </c>
      <c r="W382" s="128">
        <v>1.0</v>
      </c>
      <c r="X382" s="127" t="s">
        <v>92</v>
      </c>
      <c r="Y382" s="127" t="s">
        <v>1601</v>
      </c>
      <c r="Z382" s="127" t="s">
        <v>112</v>
      </c>
      <c r="AA382" s="127">
        <v>12.0</v>
      </c>
      <c r="AB382" s="127" t="s">
        <v>1565</v>
      </c>
      <c r="AC382" s="127" t="s">
        <v>86</v>
      </c>
    </row>
    <row r="383">
      <c r="A383" s="132">
        <v>4852.0</v>
      </c>
      <c r="B383" s="133" t="s">
        <v>4007</v>
      </c>
      <c r="C383" s="133" t="s">
        <v>75</v>
      </c>
      <c r="D383" s="133" t="s">
        <v>4008</v>
      </c>
      <c r="E383" s="133" t="s">
        <v>3594</v>
      </c>
      <c r="F383" s="133" t="s">
        <v>3575</v>
      </c>
      <c r="G383" s="133" t="s">
        <v>4009</v>
      </c>
      <c r="H383" s="133" t="s">
        <v>81</v>
      </c>
      <c r="I383" s="133" t="s">
        <v>590</v>
      </c>
      <c r="J383" s="133" t="s">
        <v>136</v>
      </c>
      <c r="K383" s="134">
        <v>0.687075</v>
      </c>
      <c r="L383" s="135">
        <v>45069.0</v>
      </c>
      <c r="M383" s="135">
        <v>44652.0</v>
      </c>
      <c r="N383" s="135">
        <v>45807.0</v>
      </c>
      <c r="O383" s="134">
        <v>738.0</v>
      </c>
      <c r="P383" s="134">
        <v>540.0</v>
      </c>
      <c r="Q383" s="134">
        <v>1.595480464E8</v>
      </c>
      <c r="R383" s="134">
        <v>0.0</v>
      </c>
      <c r="S383" s="134">
        <v>1.05040125E9</v>
      </c>
      <c r="T383" s="136">
        <v>1.20994929657E9</v>
      </c>
      <c r="U383" s="136">
        <v>1372456.31</v>
      </c>
      <c r="V383" s="137" t="s">
        <v>294</v>
      </c>
      <c r="W383" s="134">
        <v>2.0</v>
      </c>
      <c r="X383" s="133" t="s">
        <v>1600</v>
      </c>
      <c r="Y383" s="133" t="s">
        <v>1601</v>
      </c>
      <c r="Z383" s="133" t="s">
        <v>1839</v>
      </c>
      <c r="AA383" s="133">
        <v>17.0</v>
      </c>
      <c r="AB383" s="133" t="s">
        <v>1602</v>
      </c>
      <c r="AC383" s="133" t="s">
        <v>1603</v>
      </c>
    </row>
    <row r="384">
      <c r="A384" s="138">
        <v>6016.0</v>
      </c>
      <c r="B384" s="127" t="s">
        <v>4010</v>
      </c>
      <c r="C384" s="127" t="s">
        <v>75</v>
      </c>
      <c r="D384" s="127" t="s">
        <v>4011</v>
      </c>
      <c r="E384" s="127" t="s">
        <v>3967</v>
      </c>
      <c r="F384" s="127" t="s">
        <v>3575</v>
      </c>
      <c r="G384" s="127" t="s">
        <v>4012</v>
      </c>
      <c r="H384" s="127" t="s">
        <v>86</v>
      </c>
      <c r="I384" s="127" t="s">
        <v>172</v>
      </c>
      <c r="J384" s="127" t="s">
        <v>82</v>
      </c>
      <c r="K384" s="128">
        <v>0.999999</v>
      </c>
      <c r="L384" s="129">
        <v>45083.0</v>
      </c>
      <c r="M384" s="129">
        <v>44922.0</v>
      </c>
      <c r="N384" s="129">
        <v>45448.0</v>
      </c>
      <c r="O384" s="128">
        <v>365.0</v>
      </c>
      <c r="P384" s="128">
        <v>365.0</v>
      </c>
      <c r="Q384" s="128">
        <v>2.818610302E8</v>
      </c>
      <c r="R384" s="128">
        <v>0.0</v>
      </c>
      <c r="S384" s="128">
        <v>3.264037215E8</v>
      </c>
      <c r="T384" s="130">
        <v>6.082647517E8</v>
      </c>
      <c r="U384" s="130">
        <v>1544444.0</v>
      </c>
      <c r="V384" s="131" t="s">
        <v>294</v>
      </c>
      <c r="W384" s="128">
        <v>1.0</v>
      </c>
      <c r="X384" s="127" t="s">
        <v>1600</v>
      </c>
      <c r="Y384" s="127" t="s">
        <v>1601</v>
      </c>
      <c r="Z384" s="127" t="s">
        <v>1747</v>
      </c>
      <c r="AA384" s="127">
        <v>6.0</v>
      </c>
      <c r="AB384" s="127" t="s">
        <v>1602</v>
      </c>
      <c r="AC384" s="127" t="s">
        <v>86</v>
      </c>
    </row>
    <row r="385">
      <c r="A385" s="132">
        <v>6144.0</v>
      </c>
      <c r="B385" s="133" t="s">
        <v>4013</v>
      </c>
      <c r="C385" s="133" t="s">
        <v>75</v>
      </c>
      <c r="D385" s="133" t="s">
        <v>4014</v>
      </c>
      <c r="E385" s="133" t="s">
        <v>3574</v>
      </c>
      <c r="F385" s="133" t="s">
        <v>3575</v>
      </c>
      <c r="G385" s="133" t="s">
        <v>4015</v>
      </c>
      <c r="H385" s="133" t="s">
        <v>86</v>
      </c>
      <c r="I385" s="133" t="s">
        <v>489</v>
      </c>
      <c r="J385" s="133" t="s">
        <v>120</v>
      </c>
      <c r="K385" s="134">
        <v>1.0</v>
      </c>
      <c r="L385" s="135">
        <v>45112.0</v>
      </c>
      <c r="M385" s="135">
        <v>44950.0</v>
      </c>
      <c r="N385" s="135">
        <v>45324.0</v>
      </c>
      <c r="O385" s="134">
        <v>212.0</v>
      </c>
      <c r="P385" s="134">
        <v>150.0</v>
      </c>
      <c r="Q385" s="134">
        <v>8.957128491E7</v>
      </c>
      <c r="R385" s="134">
        <v>2.492151759E7</v>
      </c>
      <c r="S385" s="134">
        <v>1.123260637E8</v>
      </c>
      <c r="T385" s="136">
        <v>2.2681886621E8</v>
      </c>
      <c r="U385" s="136">
        <v>597873.64</v>
      </c>
      <c r="V385" s="137" t="s">
        <v>294</v>
      </c>
      <c r="W385" s="134">
        <v>1.0</v>
      </c>
      <c r="X385" s="133" t="s">
        <v>1600</v>
      </c>
      <c r="Y385" s="133" t="s">
        <v>1601</v>
      </c>
      <c r="Z385" s="133" t="s">
        <v>120</v>
      </c>
      <c r="AA385" s="133">
        <v>26.0</v>
      </c>
      <c r="AB385" s="133" t="s">
        <v>1602</v>
      </c>
      <c r="AC385" s="133" t="s">
        <v>86</v>
      </c>
    </row>
    <row r="386">
      <c r="A386" s="138">
        <v>4867.0</v>
      </c>
      <c r="B386" s="127" t="s">
        <v>4016</v>
      </c>
      <c r="C386" s="127" t="s">
        <v>75</v>
      </c>
      <c r="D386" s="127" t="s">
        <v>4017</v>
      </c>
      <c r="E386" s="127" t="s">
        <v>3887</v>
      </c>
      <c r="F386" s="127" t="s">
        <v>3575</v>
      </c>
      <c r="G386" s="127" t="s">
        <v>3976</v>
      </c>
      <c r="H386" s="127" t="s">
        <v>86</v>
      </c>
      <c r="I386" s="127" t="s">
        <v>666</v>
      </c>
      <c r="J386" s="127" t="s">
        <v>150</v>
      </c>
      <c r="K386" s="128">
        <v>1.0</v>
      </c>
      <c r="L386" s="129">
        <v>45125.0</v>
      </c>
      <c r="M386" s="129">
        <v>44652.0</v>
      </c>
      <c r="N386" s="129">
        <v>45417.0</v>
      </c>
      <c r="O386" s="128">
        <v>292.0</v>
      </c>
      <c r="P386" s="128">
        <v>120.0</v>
      </c>
      <c r="Q386" s="128">
        <v>2.208757065E7</v>
      </c>
      <c r="R386" s="128">
        <v>0.0</v>
      </c>
      <c r="S386" s="128">
        <v>1.118140012E8</v>
      </c>
      <c r="T386" s="130">
        <v>1.3390157184E8</v>
      </c>
      <c r="U386" s="130">
        <v>190000.61</v>
      </c>
      <c r="V386" s="131" t="s">
        <v>294</v>
      </c>
      <c r="W386" s="128">
        <v>1.0</v>
      </c>
      <c r="X386" s="127" t="s">
        <v>1600</v>
      </c>
      <c r="Y386" s="127" t="s">
        <v>1601</v>
      </c>
      <c r="Z386" s="127" t="s">
        <v>150</v>
      </c>
      <c r="AA386" s="127">
        <v>20.0</v>
      </c>
      <c r="AB386" s="127" t="s">
        <v>1602</v>
      </c>
      <c r="AC386" s="127" t="s">
        <v>86</v>
      </c>
    </row>
    <row r="387">
      <c r="A387" s="132">
        <v>6160.0</v>
      </c>
      <c r="B387" s="133" t="s">
        <v>4018</v>
      </c>
      <c r="C387" s="133" t="s">
        <v>75</v>
      </c>
      <c r="D387" s="133" t="s">
        <v>4019</v>
      </c>
      <c r="E387" s="133" t="s">
        <v>3594</v>
      </c>
      <c r="F387" s="133" t="s">
        <v>3575</v>
      </c>
      <c r="G387" s="133" t="s">
        <v>4020</v>
      </c>
      <c r="H387" s="133" t="s">
        <v>86</v>
      </c>
      <c r="I387" s="133" t="s">
        <v>594</v>
      </c>
      <c r="J387" s="133" t="s">
        <v>150</v>
      </c>
      <c r="K387" s="134">
        <v>1.0</v>
      </c>
      <c r="L387" s="135">
        <v>45125.0</v>
      </c>
      <c r="M387" s="135">
        <v>44743.0</v>
      </c>
      <c r="N387" s="135">
        <v>45697.0</v>
      </c>
      <c r="O387" s="134">
        <v>572.0</v>
      </c>
      <c r="P387" s="134">
        <v>180.0</v>
      </c>
      <c r="Q387" s="134">
        <v>6.539107661E7</v>
      </c>
      <c r="R387" s="134">
        <v>0.0</v>
      </c>
      <c r="S387" s="134">
        <v>3.336374758E8</v>
      </c>
      <c r="T387" s="136">
        <v>3.990285524E8</v>
      </c>
      <c r="U387" s="136">
        <v>502042.81</v>
      </c>
      <c r="V387" s="137" t="s">
        <v>294</v>
      </c>
      <c r="W387" s="134">
        <v>1.0</v>
      </c>
      <c r="X387" s="133" t="s">
        <v>1600</v>
      </c>
      <c r="Y387" s="133" t="s">
        <v>1601</v>
      </c>
      <c r="Z387" s="133" t="s">
        <v>150</v>
      </c>
      <c r="AA387" s="133">
        <v>20.0</v>
      </c>
      <c r="AB387" s="133" t="s">
        <v>1602</v>
      </c>
      <c r="AC387" s="133" t="s">
        <v>86</v>
      </c>
    </row>
    <row r="388">
      <c r="A388" s="138">
        <v>4847.0</v>
      </c>
      <c r="B388" s="127" t="s">
        <v>4021</v>
      </c>
      <c r="C388" s="127" t="s">
        <v>75</v>
      </c>
      <c r="D388" s="127" t="s">
        <v>4022</v>
      </c>
      <c r="E388" s="127" t="s">
        <v>3594</v>
      </c>
      <c r="F388" s="127" t="s">
        <v>3575</v>
      </c>
      <c r="G388" s="127" t="s">
        <v>3976</v>
      </c>
      <c r="H388" s="127" t="s">
        <v>81</v>
      </c>
      <c r="I388" s="127" t="s">
        <v>666</v>
      </c>
      <c r="J388" s="127" t="s">
        <v>150</v>
      </c>
      <c r="K388" s="128">
        <v>0.679383</v>
      </c>
      <c r="L388" s="129">
        <v>45125.0</v>
      </c>
      <c r="M388" s="129">
        <v>44682.0</v>
      </c>
      <c r="N388" s="129">
        <v>45842.0</v>
      </c>
      <c r="O388" s="128">
        <v>717.0</v>
      </c>
      <c r="P388" s="128">
        <v>540.0</v>
      </c>
      <c r="Q388" s="128">
        <v>4.056623908E8</v>
      </c>
      <c r="R388" s="128">
        <v>0.0</v>
      </c>
      <c r="S388" s="128">
        <v>0.0</v>
      </c>
      <c r="T388" s="130">
        <v>4.0566239076E8</v>
      </c>
      <c r="U388" s="130">
        <v>3366492.87</v>
      </c>
      <c r="V388" s="131" t="s">
        <v>294</v>
      </c>
      <c r="W388" s="128">
        <v>2.0</v>
      </c>
      <c r="X388" s="127" t="s">
        <v>1600</v>
      </c>
      <c r="Y388" s="127" t="s">
        <v>1601</v>
      </c>
      <c r="Z388" s="127" t="s">
        <v>150</v>
      </c>
      <c r="AA388" s="127">
        <v>20.0</v>
      </c>
      <c r="AB388" s="127" t="s">
        <v>1602</v>
      </c>
      <c r="AC388" s="127" t="s">
        <v>1603</v>
      </c>
    </row>
    <row r="389">
      <c r="A389" s="132">
        <v>6157.0</v>
      </c>
      <c r="B389" s="133" t="s">
        <v>4023</v>
      </c>
      <c r="C389" s="133" t="s">
        <v>75</v>
      </c>
      <c r="D389" s="133" t="s">
        <v>4024</v>
      </c>
      <c r="E389" s="133" t="s">
        <v>3594</v>
      </c>
      <c r="F389" s="133" t="s">
        <v>3575</v>
      </c>
      <c r="G389" s="133" t="s">
        <v>3976</v>
      </c>
      <c r="H389" s="133" t="s">
        <v>81</v>
      </c>
      <c r="I389" s="133" t="s">
        <v>510</v>
      </c>
      <c r="J389" s="133" t="s">
        <v>82</v>
      </c>
      <c r="K389" s="134">
        <v>0.546727</v>
      </c>
      <c r="L389" s="135">
        <v>45125.0</v>
      </c>
      <c r="M389" s="135">
        <v>44713.0</v>
      </c>
      <c r="N389" s="135">
        <v>45842.0</v>
      </c>
      <c r="O389" s="134">
        <v>717.0</v>
      </c>
      <c r="P389" s="134">
        <v>540.0</v>
      </c>
      <c r="Q389" s="134">
        <v>3.741873699E8</v>
      </c>
      <c r="R389" s="134">
        <v>0.0</v>
      </c>
      <c r="S389" s="134">
        <v>2.235015667E9</v>
      </c>
      <c r="T389" s="136">
        <v>2.60920303689E9</v>
      </c>
      <c r="U389" s="136">
        <v>2987523.91</v>
      </c>
      <c r="V389" s="137" t="s">
        <v>294</v>
      </c>
      <c r="W389" s="134">
        <v>2.0</v>
      </c>
      <c r="X389" s="133" t="s">
        <v>1600</v>
      </c>
      <c r="Y389" s="133" t="s">
        <v>1601</v>
      </c>
      <c r="Z389" s="133" t="s">
        <v>1747</v>
      </c>
      <c r="AA389" s="133">
        <v>6.0</v>
      </c>
      <c r="AB389" s="133" t="s">
        <v>1602</v>
      </c>
      <c r="AC389" s="133" t="s">
        <v>1603</v>
      </c>
    </row>
    <row r="390">
      <c r="A390" s="138">
        <v>4869.0</v>
      </c>
      <c r="B390" s="127" t="s">
        <v>4025</v>
      </c>
      <c r="C390" s="127" t="s">
        <v>75</v>
      </c>
      <c r="D390" s="127" t="s">
        <v>4026</v>
      </c>
      <c r="E390" s="127" t="s">
        <v>3887</v>
      </c>
      <c r="F390" s="127" t="s">
        <v>3575</v>
      </c>
      <c r="G390" s="127" t="s">
        <v>4009</v>
      </c>
      <c r="H390" s="127" t="s">
        <v>81</v>
      </c>
      <c r="I390" s="127" t="s">
        <v>581</v>
      </c>
      <c r="J390" s="127" t="s">
        <v>136</v>
      </c>
      <c r="K390" s="128">
        <v>0.819029</v>
      </c>
      <c r="L390" s="129">
        <v>45142.0</v>
      </c>
      <c r="M390" s="129">
        <v>44652.0</v>
      </c>
      <c r="N390" s="129">
        <v>45752.0</v>
      </c>
      <c r="O390" s="128">
        <v>610.0</v>
      </c>
      <c r="P390" s="128">
        <v>180.0</v>
      </c>
      <c r="Q390" s="128">
        <v>1.519253276E8</v>
      </c>
      <c r="R390" s="128">
        <v>0.0</v>
      </c>
      <c r="S390" s="128">
        <v>1.006236962E9</v>
      </c>
      <c r="T390" s="130">
        <v>1.15816228964E9</v>
      </c>
      <c r="U390" s="130">
        <v>1306884.54</v>
      </c>
      <c r="V390" s="131" t="s">
        <v>294</v>
      </c>
      <c r="W390" s="128">
        <v>2.0</v>
      </c>
      <c r="X390" s="127" t="s">
        <v>1600</v>
      </c>
      <c r="Y390" s="127" t="s">
        <v>1601</v>
      </c>
      <c r="Z390" s="127" t="s">
        <v>1839</v>
      </c>
      <c r="AA390" s="127">
        <v>17.0</v>
      </c>
      <c r="AB390" s="127" t="s">
        <v>1602</v>
      </c>
      <c r="AC390" s="127" t="s">
        <v>1603</v>
      </c>
    </row>
    <row r="391">
      <c r="A391" s="132">
        <v>6158.0</v>
      </c>
      <c r="B391" s="133" t="s">
        <v>4027</v>
      </c>
      <c r="C391" s="133" t="s">
        <v>75</v>
      </c>
      <c r="D391" s="133" t="s">
        <v>1465</v>
      </c>
      <c r="E391" s="133" t="s">
        <v>3574</v>
      </c>
      <c r="F391" s="133" t="s">
        <v>3575</v>
      </c>
      <c r="G391" s="133" t="s">
        <v>2318</v>
      </c>
      <c r="H391" s="133" t="s">
        <v>86</v>
      </c>
      <c r="I391" s="133" t="s">
        <v>361</v>
      </c>
      <c r="J391" s="133" t="s">
        <v>96</v>
      </c>
      <c r="K391" s="134">
        <v>0.999999</v>
      </c>
      <c r="L391" s="135">
        <v>45166.0</v>
      </c>
      <c r="M391" s="135">
        <v>44865.0</v>
      </c>
      <c r="N391" s="135">
        <v>45680.0</v>
      </c>
      <c r="O391" s="134">
        <v>514.0</v>
      </c>
      <c r="P391" s="134">
        <v>180.0</v>
      </c>
      <c r="Q391" s="134">
        <v>4.652504859E8</v>
      </c>
      <c r="R391" s="134">
        <v>1.293931498E8</v>
      </c>
      <c r="S391" s="134">
        <v>1.324302917E9</v>
      </c>
      <c r="T391" s="136">
        <v>1.91894655254E9</v>
      </c>
      <c r="U391" s="136">
        <v>3659345.45</v>
      </c>
      <c r="V391" s="137" t="s">
        <v>294</v>
      </c>
      <c r="W391" s="134">
        <v>1.0</v>
      </c>
      <c r="X391" s="133" t="s">
        <v>147</v>
      </c>
      <c r="Y391" s="133" t="s">
        <v>1601</v>
      </c>
      <c r="Z391" s="133" t="s">
        <v>96</v>
      </c>
      <c r="AA391" s="133">
        <v>25.0</v>
      </c>
      <c r="AB391" s="133" t="s">
        <v>1565</v>
      </c>
      <c r="AC391" s="133" t="s">
        <v>86</v>
      </c>
    </row>
    <row r="392">
      <c r="A392" s="138">
        <v>6155.0</v>
      </c>
      <c r="B392" s="127" t="s">
        <v>4028</v>
      </c>
      <c r="C392" s="127" t="s">
        <v>75</v>
      </c>
      <c r="D392" s="127" t="s">
        <v>4029</v>
      </c>
      <c r="E392" s="127" t="s">
        <v>3574</v>
      </c>
      <c r="F392" s="127" t="s">
        <v>3575</v>
      </c>
      <c r="G392" s="127" t="s">
        <v>3964</v>
      </c>
      <c r="H392" s="127" t="s">
        <v>81</v>
      </c>
      <c r="I392" s="127" t="s">
        <v>557</v>
      </c>
      <c r="J392" s="127" t="s">
        <v>136</v>
      </c>
      <c r="K392" s="128">
        <v>0.854016</v>
      </c>
      <c r="L392" s="129">
        <v>45180.0</v>
      </c>
      <c r="M392" s="129">
        <v>44743.0</v>
      </c>
      <c r="N392" s="129">
        <v>45812.0</v>
      </c>
      <c r="O392" s="128">
        <v>632.0</v>
      </c>
      <c r="P392" s="128">
        <v>180.0</v>
      </c>
      <c r="Q392" s="128">
        <v>1.210962108E8</v>
      </c>
      <c r="R392" s="128">
        <v>0.0</v>
      </c>
      <c r="S392" s="128">
        <v>2.628877639E8</v>
      </c>
      <c r="T392" s="130">
        <v>3.839839747E8</v>
      </c>
      <c r="U392" s="130">
        <v>929721.39</v>
      </c>
      <c r="V392" s="131" t="s">
        <v>294</v>
      </c>
      <c r="W392" s="128">
        <v>2.0</v>
      </c>
      <c r="X392" s="127" t="s">
        <v>1600</v>
      </c>
      <c r="Y392" s="127" t="s">
        <v>1601</v>
      </c>
      <c r="Z392" s="127" t="s">
        <v>1839</v>
      </c>
      <c r="AA392" s="127">
        <v>17.0</v>
      </c>
      <c r="AB392" s="127" t="s">
        <v>1602</v>
      </c>
      <c r="AC392" s="127" t="s">
        <v>1603</v>
      </c>
    </row>
    <row r="393">
      <c r="A393" s="132">
        <v>6154.0</v>
      </c>
      <c r="B393" s="133" t="s">
        <v>4030</v>
      </c>
      <c r="C393" s="133" t="s">
        <v>75</v>
      </c>
      <c r="D393" s="133" t="s">
        <v>4031</v>
      </c>
      <c r="E393" s="133" t="s">
        <v>3574</v>
      </c>
      <c r="F393" s="133" t="s">
        <v>3575</v>
      </c>
      <c r="G393" s="133" t="s">
        <v>3964</v>
      </c>
      <c r="H393" s="133" t="s">
        <v>81</v>
      </c>
      <c r="I393" s="133" t="s">
        <v>51</v>
      </c>
      <c r="J393" s="133" t="s">
        <v>125</v>
      </c>
      <c r="K393" s="134">
        <v>0.222032</v>
      </c>
      <c r="L393" s="135">
        <v>45180.0</v>
      </c>
      <c r="M393" s="135">
        <v>44743.0</v>
      </c>
      <c r="N393" s="135">
        <v>45872.0</v>
      </c>
      <c r="O393" s="134">
        <v>692.0</v>
      </c>
      <c r="P393" s="134">
        <v>300.0</v>
      </c>
      <c r="Q393" s="134">
        <v>2.248343155E8</v>
      </c>
      <c r="R393" s="134">
        <v>0.0</v>
      </c>
      <c r="S393" s="134">
        <v>0.0</v>
      </c>
      <c r="T393" s="136">
        <v>2.2483431545E8</v>
      </c>
      <c r="U393" s="136">
        <v>1726175.17</v>
      </c>
      <c r="V393" s="137" t="s">
        <v>294</v>
      </c>
      <c r="W393" s="134">
        <v>2.0</v>
      </c>
      <c r="X393" s="133" t="s">
        <v>1600</v>
      </c>
      <c r="Y393" s="133" t="s">
        <v>1601</v>
      </c>
      <c r="Z393" s="133" t="s">
        <v>1646</v>
      </c>
      <c r="AA393" s="133">
        <v>14.0</v>
      </c>
      <c r="AB393" s="133" t="s">
        <v>1602</v>
      </c>
      <c r="AC393" s="133" t="s">
        <v>1603</v>
      </c>
    </row>
    <row r="394">
      <c r="A394" s="126">
        <v>0.0</v>
      </c>
      <c r="B394" s="127" t="s">
        <v>4032</v>
      </c>
      <c r="C394" s="127" t="s">
        <v>75</v>
      </c>
      <c r="D394" s="127" t="s">
        <v>4033</v>
      </c>
      <c r="E394" s="127" t="s">
        <v>3905</v>
      </c>
      <c r="F394" s="127" t="s">
        <v>3575</v>
      </c>
      <c r="G394" s="127" t="s">
        <v>4034</v>
      </c>
      <c r="H394" s="127" t="s">
        <v>86</v>
      </c>
      <c r="I394" s="127" t="s">
        <v>363</v>
      </c>
      <c r="J394" s="127" t="s">
        <v>58</v>
      </c>
      <c r="K394" s="128">
        <v>1.0</v>
      </c>
      <c r="L394" s="129">
        <v>45208.0</v>
      </c>
      <c r="M394" s="129">
        <v>45098.0</v>
      </c>
      <c r="N394" s="129">
        <v>45316.0</v>
      </c>
      <c r="O394" s="128">
        <v>108.0</v>
      </c>
      <c r="P394" s="128">
        <v>74.0</v>
      </c>
      <c r="Q394" s="128">
        <v>2.425487456E7</v>
      </c>
      <c r="R394" s="128">
        <v>0.0</v>
      </c>
      <c r="S394" s="128">
        <v>0.0</v>
      </c>
      <c r="T394" s="130">
        <v>2.425487456E7</v>
      </c>
      <c r="U394" s="130">
        <v>92399.52</v>
      </c>
      <c r="V394" s="131" t="s">
        <v>294</v>
      </c>
      <c r="W394" s="128">
        <v>1.0</v>
      </c>
      <c r="X394" s="127" t="s">
        <v>1600</v>
      </c>
      <c r="Y394" s="127" t="s">
        <v>1601</v>
      </c>
      <c r="Z394" s="127" t="s">
        <v>58</v>
      </c>
      <c r="AA394" s="127">
        <v>1.0</v>
      </c>
      <c r="AB394" s="127" t="s">
        <v>1602</v>
      </c>
      <c r="AC394" s="127" t="s">
        <v>86</v>
      </c>
    </row>
    <row r="395">
      <c r="A395" s="132">
        <v>3578.0</v>
      </c>
      <c r="B395" s="133" t="s">
        <v>4035</v>
      </c>
      <c r="C395" s="133" t="s">
        <v>75</v>
      </c>
      <c r="D395" s="133" t="s">
        <v>4036</v>
      </c>
      <c r="E395" s="133" t="s">
        <v>3583</v>
      </c>
      <c r="F395" s="133" t="s">
        <v>3575</v>
      </c>
      <c r="G395" s="133" t="s">
        <v>4037</v>
      </c>
      <c r="H395" s="133" t="s">
        <v>81</v>
      </c>
      <c r="I395" s="133" t="s">
        <v>443</v>
      </c>
      <c r="J395" s="133" t="s">
        <v>150</v>
      </c>
      <c r="K395" s="134">
        <v>0.182325</v>
      </c>
      <c r="L395" s="135">
        <v>45233.0</v>
      </c>
      <c r="M395" s="135">
        <v>44951.0</v>
      </c>
      <c r="N395" s="135">
        <v>45953.0</v>
      </c>
      <c r="O395" s="134">
        <v>720.0</v>
      </c>
      <c r="P395" s="134">
        <v>720.0</v>
      </c>
      <c r="Q395" s="134">
        <v>1.7324007593E10</v>
      </c>
      <c r="R395" s="134">
        <v>0.0</v>
      </c>
      <c r="S395" s="134">
        <v>1.4258207734E10</v>
      </c>
      <c r="T395" s="136">
        <v>3.158221532662E10</v>
      </c>
      <c r="U395" s="136">
        <v>9.046479161E7</v>
      </c>
      <c r="V395" s="137" t="s">
        <v>294</v>
      </c>
      <c r="W395" s="134">
        <v>2.0</v>
      </c>
      <c r="X395" s="133" t="s">
        <v>1600</v>
      </c>
      <c r="Y395" s="133" t="s">
        <v>1601</v>
      </c>
      <c r="Z395" s="133" t="s">
        <v>150</v>
      </c>
      <c r="AA395" s="133">
        <v>20.0</v>
      </c>
      <c r="AB395" s="133" t="s">
        <v>1602</v>
      </c>
      <c r="AC395" s="133" t="s">
        <v>1603</v>
      </c>
    </row>
    <row r="396">
      <c r="A396" s="138">
        <v>6156.0</v>
      </c>
      <c r="B396" s="127" t="s">
        <v>4038</v>
      </c>
      <c r="C396" s="127" t="s">
        <v>75</v>
      </c>
      <c r="D396" s="127" t="s">
        <v>4039</v>
      </c>
      <c r="E396" s="127" t="s">
        <v>3594</v>
      </c>
      <c r="F396" s="127" t="s">
        <v>3575</v>
      </c>
      <c r="G396" s="127" t="s">
        <v>2318</v>
      </c>
      <c r="H396" s="127" t="s">
        <v>81</v>
      </c>
      <c r="I396" s="127" t="s">
        <v>658</v>
      </c>
      <c r="J396" s="127" t="s">
        <v>82</v>
      </c>
      <c r="K396" s="128">
        <v>0.378921</v>
      </c>
      <c r="L396" s="129">
        <v>45198.0</v>
      </c>
      <c r="M396" s="129">
        <v>44682.0</v>
      </c>
      <c r="N396" s="129">
        <v>45897.0</v>
      </c>
      <c r="O396" s="128">
        <v>699.0</v>
      </c>
      <c r="P396" s="128">
        <v>360.0</v>
      </c>
      <c r="Q396" s="128">
        <v>2.575464017E8</v>
      </c>
      <c r="R396" s="128">
        <v>0.0</v>
      </c>
      <c r="S396" s="128">
        <v>0.0</v>
      </c>
      <c r="T396" s="130">
        <v>2.5754640172E8</v>
      </c>
      <c r="U396" s="130">
        <v>2137314.54</v>
      </c>
      <c r="V396" s="131" t="s">
        <v>294</v>
      </c>
      <c r="W396" s="128">
        <v>2.0</v>
      </c>
      <c r="X396" s="127" t="s">
        <v>1600</v>
      </c>
      <c r="Y396" s="127" t="s">
        <v>1601</v>
      </c>
      <c r="Z396" s="127" t="s">
        <v>1747</v>
      </c>
      <c r="AA396" s="127">
        <v>6.0</v>
      </c>
      <c r="AB396" s="127" t="s">
        <v>1602</v>
      </c>
      <c r="AC396" s="127" t="s">
        <v>1603</v>
      </c>
    </row>
    <row r="397">
      <c r="A397" s="126">
        <v>0.0</v>
      </c>
      <c r="B397" s="133" t="s">
        <v>4040</v>
      </c>
      <c r="C397" s="133" t="s">
        <v>75</v>
      </c>
      <c r="D397" s="133" t="s">
        <v>4041</v>
      </c>
      <c r="E397" s="133" t="s">
        <v>3905</v>
      </c>
      <c r="F397" s="133" t="s">
        <v>3575</v>
      </c>
      <c r="G397" s="133" t="s">
        <v>4042</v>
      </c>
      <c r="H397" s="133" t="s">
        <v>86</v>
      </c>
      <c r="I397" s="133" t="s">
        <v>363</v>
      </c>
      <c r="J397" s="133" t="s">
        <v>58</v>
      </c>
      <c r="K397" s="134">
        <v>0.999999</v>
      </c>
      <c r="L397" s="135">
        <v>45251.0</v>
      </c>
      <c r="M397" s="135">
        <v>45197.0</v>
      </c>
      <c r="N397" s="135">
        <v>45326.0</v>
      </c>
      <c r="O397" s="134">
        <v>75.0</v>
      </c>
      <c r="P397" s="134">
        <v>75.0</v>
      </c>
      <c r="Q397" s="134">
        <v>1.799675293E7</v>
      </c>
      <c r="R397" s="134">
        <v>0.0</v>
      </c>
      <c r="S397" s="134">
        <v>0.0</v>
      </c>
      <c r="T397" s="136">
        <v>1.799675293E7</v>
      </c>
      <c r="U397" s="136">
        <v>49238.72</v>
      </c>
      <c r="V397" s="137" t="s">
        <v>294</v>
      </c>
      <c r="W397" s="134">
        <v>1.0</v>
      </c>
      <c r="X397" s="133" t="s">
        <v>1600</v>
      </c>
      <c r="Y397" s="133" t="s">
        <v>1601</v>
      </c>
      <c r="Z397" s="133" t="s">
        <v>58</v>
      </c>
      <c r="AA397" s="133">
        <v>1.0</v>
      </c>
      <c r="AB397" s="133" t="s">
        <v>1602</v>
      </c>
      <c r="AC397" s="133" t="s">
        <v>86</v>
      </c>
    </row>
    <row r="398">
      <c r="A398" s="138">
        <v>6159.0</v>
      </c>
      <c r="B398" s="127" t="s">
        <v>4043</v>
      </c>
      <c r="C398" s="127" t="s">
        <v>75</v>
      </c>
      <c r="D398" s="127" t="s">
        <v>4044</v>
      </c>
      <c r="E398" s="127" t="s">
        <v>3594</v>
      </c>
      <c r="F398" s="127" t="s">
        <v>3575</v>
      </c>
      <c r="G398" s="127" t="s">
        <v>3976</v>
      </c>
      <c r="H398" s="127" t="s">
        <v>81</v>
      </c>
      <c r="I398" s="127" t="s">
        <v>391</v>
      </c>
      <c r="J398" s="127" t="s">
        <v>115</v>
      </c>
      <c r="K398" s="128">
        <v>0.581744</v>
      </c>
      <c r="L398" s="129">
        <v>45229.0</v>
      </c>
      <c r="M398" s="129">
        <v>44835.0</v>
      </c>
      <c r="N398" s="129">
        <v>45838.0</v>
      </c>
      <c r="O398" s="128">
        <v>609.0</v>
      </c>
      <c r="P398" s="128">
        <v>540.0</v>
      </c>
      <c r="Q398" s="128">
        <v>7.59452262E8</v>
      </c>
      <c r="R398" s="128">
        <v>0.0</v>
      </c>
      <c r="S398" s="128">
        <v>3.725385073E9</v>
      </c>
      <c r="T398" s="130">
        <v>4.48483733507E9</v>
      </c>
      <c r="U398" s="130">
        <v>4923515.48</v>
      </c>
      <c r="V398" s="131" t="s">
        <v>294</v>
      </c>
      <c r="W398" s="128">
        <v>2.0</v>
      </c>
      <c r="X398" s="127" t="s">
        <v>92</v>
      </c>
      <c r="Y398" s="127" t="s">
        <v>1601</v>
      </c>
      <c r="Z398" s="127" t="s">
        <v>112</v>
      </c>
      <c r="AA398" s="127">
        <v>12.0</v>
      </c>
      <c r="AB398" s="127" t="s">
        <v>1565</v>
      </c>
      <c r="AC398" s="127" t="s">
        <v>1603</v>
      </c>
    </row>
    <row r="399">
      <c r="A399" s="132">
        <v>6123.0</v>
      </c>
      <c r="B399" s="133" t="s">
        <v>888</v>
      </c>
      <c r="C399" s="133" t="s">
        <v>75</v>
      </c>
      <c r="D399" s="133" t="s">
        <v>887</v>
      </c>
      <c r="E399" s="133" t="s">
        <v>3583</v>
      </c>
      <c r="F399" s="133" t="s">
        <v>3575</v>
      </c>
      <c r="G399" s="133" t="s">
        <v>4045</v>
      </c>
      <c r="H399" s="133" t="s">
        <v>81</v>
      </c>
      <c r="I399" s="133" t="s">
        <v>235</v>
      </c>
      <c r="J399" s="133" t="s">
        <v>84</v>
      </c>
      <c r="K399" s="134">
        <v>0.898386</v>
      </c>
      <c r="L399" s="135">
        <v>45385.0</v>
      </c>
      <c r="M399" s="135">
        <v>44966.0</v>
      </c>
      <c r="N399" s="135">
        <v>45925.0</v>
      </c>
      <c r="O399" s="134">
        <v>540.0</v>
      </c>
      <c r="P399" s="134">
        <v>540.0</v>
      </c>
      <c r="Q399" s="134">
        <v>1.548946485E9</v>
      </c>
      <c r="R399" s="134">
        <v>2.455003505E8</v>
      </c>
      <c r="S399" s="134">
        <v>6.965864248E9</v>
      </c>
      <c r="T399" s="136">
        <v>8.76031108311E9</v>
      </c>
      <c r="U399" s="136">
        <v>9143678.14</v>
      </c>
      <c r="V399" s="137" t="s">
        <v>294</v>
      </c>
      <c r="W399" s="134">
        <v>2.0</v>
      </c>
      <c r="X399" s="133" t="s">
        <v>147</v>
      </c>
      <c r="Y399" s="133" t="s">
        <v>1601</v>
      </c>
      <c r="Z399" s="133" t="s">
        <v>215</v>
      </c>
      <c r="AA399" s="133">
        <v>16.0</v>
      </c>
      <c r="AB399" s="133" t="s">
        <v>1565</v>
      </c>
      <c r="AC399" s="133" t="s">
        <v>1603</v>
      </c>
    </row>
    <row r="400">
      <c r="A400" s="138">
        <v>6148.0</v>
      </c>
      <c r="B400" s="127" t="s">
        <v>4046</v>
      </c>
      <c r="C400" s="127" t="s">
        <v>75</v>
      </c>
      <c r="D400" s="127" t="s">
        <v>4047</v>
      </c>
      <c r="E400" s="127" t="s">
        <v>3923</v>
      </c>
      <c r="F400" s="127" t="s">
        <v>3575</v>
      </c>
      <c r="G400" s="127" t="s">
        <v>2318</v>
      </c>
      <c r="H400" s="127" t="s">
        <v>86</v>
      </c>
      <c r="I400" s="127" t="s">
        <v>609</v>
      </c>
      <c r="J400" s="127" t="s">
        <v>32</v>
      </c>
      <c r="K400" s="128">
        <v>1.0</v>
      </c>
      <c r="L400" s="129">
        <v>45295.0</v>
      </c>
      <c r="M400" s="129">
        <v>45218.0</v>
      </c>
      <c r="N400" s="129">
        <v>45716.0</v>
      </c>
      <c r="O400" s="128">
        <v>421.0</v>
      </c>
      <c r="P400" s="128">
        <v>120.0</v>
      </c>
      <c r="Q400" s="128">
        <v>2.378328418E8</v>
      </c>
      <c r="R400" s="128">
        <v>4.098396966E7</v>
      </c>
      <c r="S400" s="128">
        <v>3.226041983E8</v>
      </c>
      <c r="T400" s="130">
        <v>6.0142100978E8</v>
      </c>
      <c r="U400" s="130">
        <v>762836.69</v>
      </c>
      <c r="V400" s="131" t="s">
        <v>294</v>
      </c>
      <c r="W400" s="128">
        <v>1.0</v>
      </c>
      <c r="X400" s="127" t="s">
        <v>1600</v>
      </c>
      <c r="Y400" s="127" t="s">
        <v>1601</v>
      </c>
      <c r="Z400" s="127" t="s">
        <v>32</v>
      </c>
      <c r="AA400" s="127">
        <v>2.0</v>
      </c>
      <c r="AB400" s="127" t="s">
        <v>1602</v>
      </c>
      <c r="AC400" s="127" t="s">
        <v>86</v>
      </c>
    </row>
    <row r="401">
      <c r="A401" s="132">
        <v>6179.0</v>
      </c>
      <c r="B401" s="133" t="s">
        <v>4048</v>
      </c>
      <c r="C401" s="133" t="s">
        <v>75</v>
      </c>
      <c r="D401" s="133" t="s">
        <v>4049</v>
      </c>
      <c r="E401" s="133" t="s">
        <v>3887</v>
      </c>
      <c r="F401" s="133" t="s">
        <v>3575</v>
      </c>
      <c r="G401" s="133" t="s">
        <v>2318</v>
      </c>
      <c r="H401" s="133" t="s">
        <v>81</v>
      </c>
      <c r="I401" s="133" t="s">
        <v>363</v>
      </c>
      <c r="J401" s="133" t="s">
        <v>58</v>
      </c>
      <c r="K401" s="134">
        <v>0.999632</v>
      </c>
      <c r="L401" s="135">
        <v>45293.0</v>
      </c>
      <c r="M401" s="135">
        <v>45194.0</v>
      </c>
      <c r="N401" s="135">
        <v>45800.0</v>
      </c>
      <c r="O401" s="134">
        <v>507.0</v>
      </c>
      <c r="P401" s="134">
        <v>240.0</v>
      </c>
      <c r="Q401" s="134">
        <v>4.387207044E9</v>
      </c>
      <c r="R401" s="134">
        <v>1.270762437E9</v>
      </c>
      <c r="S401" s="134">
        <v>9.883319648E9</v>
      </c>
      <c r="T401" s="136">
        <v>1.554128912886E10</v>
      </c>
      <c r="U401" s="136">
        <v>1.548008066E7</v>
      </c>
      <c r="V401" s="137" t="s">
        <v>294</v>
      </c>
      <c r="W401" s="134">
        <v>2.0</v>
      </c>
      <c r="X401" s="133" t="s">
        <v>1600</v>
      </c>
      <c r="Y401" s="133" t="s">
        <v>1601</v>
      </c>
      <c r="Z401" s="133" t="s">
        <v>58</v>
      </c>
      <c r="AA401" s="133">
        <v>1.0</v>
      </c>
      <c r="AB401" s="133" t="s">
        <v>1602</v>
      </c>
      <c r="AC401" s="133" t="s">
        <v>1603</v>
      </c>
    </row>
    <row r="402">
      <c r="A402" s="138">
        <v>5505.0</v>
      </c>
      <c r="B402" s="127" t="s">
        <v>4050</v>
      </c>
      <c r="C402" s="127" t="s">
        <v>75</v>
      </c>
      <c r="D402" s="127" t="s">
        <v>4051</v>
      </c>
      <c r="E402" s="127" t="s">
        <v>3967</v>
      </c>
      <c r="F402" s="127" t="s">
        <v>3575</v>
      </c>
      <c r="G402" s="127" t="s">
        <v>2318</v>
      </c>
      <c r="H402" s="127" t="s">
        <v>86</v>
      </c>
      <c r="I402" s="127" t="s">
        <v>363</v>
      </c>
      <c r="J402" s="127" t="s">
        <v>58</v>
      </c>
      <c r="K402" s="128">
        <v>0.999999</v>
      </c>
      <c r="L402" s="129">
        <v>45300.0</v>
      </c>
      <c r="M402" s="129">
        <v>45210.0</v>
      </c>
      <c r="N402" s="129">
        <v>45665.0</v>
      </c>
      <c r="O402" s="128">
        <v>365.0</v>
      </c>
      <c r="P402" s="128">
        <v>365.0</v>
      </c>
      <c r="Q402" s="128">
        <v>2.928457989E8</v>
      </c>
      <c r="R402" s="128">
        <v>0.0</v>
      </c>
      <c r="S402" s="128">
        <v>3.350426026E8</v>
      </c>
      <c r="T402" s="130">
        <v>6.2788840157E8</v>
      </c>
      <c r="U402" s="130">
        <v>801219.7</v>
      </c>
      <c r="V402" s="131" t="s">
        <v>294</v>
      </c>
      <c r="W402" s="128">
        <v>1.0</v>
      </c>
      <c r="X402" s="127" t="s">
        <v>1600</v>
      </c>
      <c r="Y402" s="127" t="s">
        <v>1601</v>
      </c>
      <c r="Z402" s="127" t="s">
        <v>58</v>
      </c>
      <c r="AA402" s="127">
        <v>1.0</v>
      </c>
      <c r="AB402" s="127" t="s">
        <v>1602</v>
      </c>
      <c r="AC402" s="127" t="s">
        <v>86</v>
      </c>
    </row>
    <row r="403">
      <c r="A403" s="126">
        <v>6025.0</v>
      </c>
      <c r="B403" s="133" t="s">
        <v>4052</v>
      </c>
      <c r="C403" s="133" t="s">
        <v>75</v>
      </c>
      <c r="D403" s="133" t="s">
        <v>4053</v>
      </c>
      <c r="E403" s="133" t="s">
        <v>3967</v>
      </c>
      <c r="F403" s="133" t="s">
        <v>3575</v>
      </c>
      <c r="G403" s="133" t="s">
        <v>2003</v>
      </c>
      <c r="H403" s="133" t="s">
        <v>86</v>
      </c>
      <c r="I403" s="133" t="s">
        <v>363</v>
      </c>
      <c r="J403" s="133" t="s">
        <v>58</v>
      </c>
      <c r="K403" s="134">
        <v>1.0</v>
      </c>
      <c r="L403" s="135">
        <v>45301.0</v>
      </c>
      <c r="M403" s="135">
        <v>45222.0</v>
      </c>
      <c r="N403" s="135">
        <v>45661.0</v>
      </c>
      <c r="O403" s="134">
        <v>360.0</v>
      </c>
      <c r="P403" s="134">
        <v>360.0</v>
      </c>
      <c r="Q403" s="134">
        <v>2.479884955E8</v>
      </c>
      <c r="R403" s="134">
        <v>0.0</v>
      </c>
      <c r="S403" s="134">
        <v>3.202559088E8</v>
      </c>
      <c r="T403" s="136">
        <v>5.6824440427E8</v>
      </c>
      <c r="U403" s="136">
        <v>678491.1</v>
      </c>
      <c r="V403" s="137" t="s">
        <v>294</v>
      </c>
      <c r="W403" s="134">
        <v>1.0</v>
      </c>
      <c r="X403" s="133" t="s">
        <v>1600</v>
      </c>
      <c r="Y403" s="133" t="s">
        <v>1601</v>
      </c>
      <c r="Z403" s="133" t="s">
        <v>58</v>
      </c>
      <c r="AA403" s="133">
        <v>1.0</v>
      </c>
      <c r="AB403" s="133" t="s">
        <v>1602</v>
      </c>
      <c r="AC403" s="133" t="s">
        <v>86</v>
      </c>
    </row>
    <row r="404">
      <c r="A404" s="126">
        <v>6022.0</v>
      </c>
      <c r="B404" s="127" t="s">
        <v>4054</v>
      </c>
      <c r="C404" s="127" t="s">
        <v>75</v>
      </c>
      <c r="D404" s="127" t="s">
        <v>4055</v>
      </c>
      <c r="E404" s="127" t="s">
        <v>3967</v>
      </c>
      <c r="F404" s="127" t="s">
        <v>3575</v>
      </c>
      <c r="G404" s="127" t="s">
        <v>4056</v>
      </c>
      <c r="H404" s="127" t="s">
        <v>86</v>
      </c>
      <c r="I404" s="127" t="s">
        <v>363</v>
      </c>
      <c r="J404" s="127" t="s">
        <v>58</v>
      </c>
      <c r="K404" s="128">
        <v>1.0</v>
      </c>
      <c r="L404" s="129">
        <v>45301.0</v>
      </c>
      <c r="M404" s="129">
        <v>45222.0</v>
      </c>
      <c r="N404" s="129">
        <v>45661.0</v>
      </c>
      <c r="O404" s="128">
        <v>360.0</v>
      </c>
      <c r="P404" s="128">
        <v>360.0</v>
      </c>
      <c r="Q404" s="128">
        <v>2.541872958E8</v>
      </c>
      <c r="R404" s="128">
        <v>0.0</v>
      </c>
      <c r="S404" s="128">
        <v>3.200699508E8</v>
      </c>
      <c r="T404" s="130">
        <v>5.7425724659E8</v>
      </c>
      <c r="U404" s="130">
        <v>695450.88</v>
      </c>
      <c r="V404" s="131" t="s">
        <v>294</v>
      </c>
      <c r="W404" s="128">
        <v>1.0</v>
      </c>
      <c r="X404" s="127" t="s">
        <v>1600</v>
      </c>
      <c r="Y404" s="127" t="s">
        <v>1601</v>
      </c>
      <c r="Z404" s="127" t="s">
        <v>58</v>
      </c>
      <c r="AA404" s="127">
        <v>1.0</v>
      </c>
      <c r="AB404" s="127" t="s">
        <v>1602</v>
      </c>
      <c r="AC404" s="127" t="s">
        <v>86</v>
      </c>
    </row>
    <row r="405">
      <c r="A405" s="132">
        <v>5524.0</v>
      </c>
      <c r="B405" s="133" t="s">
        <v>4057</v>
      </c>
      <c r="C405" s="133" t="s">
        <v>75</v>
      </c>
      <c r="D405" s="133" t="s">
        <v>4058</v>
      </c>
      <c r="E405" s="133" t="s">
        <v>3967</v>
      </c>
      <c r="F405" s="133" t="s">
        <v>3575</v>
      </c>
      <c r="G405" s="133" t="s">
        <v>4015</v>
      </c>
      <c r="H405" s="133" t="s">
        <v>86</v>
      </c>
      <c r="I405" s="133" t="s">
        <v>363</v>
      </c>
      <c r="J405" s="133" t="s">
        <v>58</v>
      </c>
      <c r="K405" s="134">
        <v>1.0</v>
      </c>
      <c r="L405" s="135">
        <v>45302.0</v>
      </c>
      <c r="M405" s="135">
        <v>45210.0</v>
      </c>
      <c r="N405" s="135">
        <v>45662.0</v>
      </c>
      <c r="O405" s="134">
        <v>360.0</v>
      </c>
      <c r="P405" s="134">
        <v>360.0</v>
      </c>
      <c r="Q405" s="134">
        <v>3.068314816E8</v>
      </c>
      <c r="R405" s="134">
        <v>0.0</v>
      </c>
      <c r="S405" s="134">
        <v>3.697300924E8</v>
      </c>
      <c r="T405" s="136">
        <v>6.7656157397E8</v>
      </c>
      <c r="U405" s="136">
        <v>839484.22</v>
      </c>
      <c r="V405" s="137" t="s">
        <v>294</v>
      </c>
      <c r="W405" s="134">
        <v>1.0</v>
      </c>
      <c r="X405" s="133" t="s">
        <v>1600</v>
      </c>
      <c r="Y405" s="133" t="s">
        <v>1601</v>
      </c>
      <c r="Z405" s="133" t="s">
        <v>58</v>
      </c>
      <c r="AA405" s="133">
        <v>1.0</v>
      </c>
      <c r="AB405" s="133" t="s">
        <v>1602</v>
      </c>
      <c r="AC405" s="133" t="s">
        <v>86</v>
      </c>
    </row>
    <row r="406">
      <c r="A406" s="138">
        <v>5517.0</v>
      </c>
      <c r="B406" s="127" t="s">
        <v>4059</v>
      </c>
      <c r="C406" s="127" t="s">
        <v>75</v>
      </c>
      <c r="D406" s="127" t="s">
        <v>4060</v>
      </c>
      <c r="E406" s="127" t="s">
        <v>3967</v>
      </c>
      <c r="F406" s="127" t="s">
        <v>3575</v>
      </c>
      <c r="G406" s="127" t="s">
        <v>4006</v>
      </c>
      <c r="H406" s="127" t="s">
        <v>86</v>
      </c>
      <c r="I406" s="127" t="s">
        <v>363</v>
      </c>
      <c r="J406" s="127" t="s">
        <v>58</v>
      </c>
      <c r="K406" s="128">
        <v>1.0</v>
      </c>
      <c r="L406" s="129">
        <v>45302.0</v>
      </c>
      <c r="M406" s="129">
        <v>45211.0</v>
      </c>
      <c r="N406" s="129">
        <v>45662.0</v>
      </c>
      <c r="O406" s="128">
        <v>360.0</v>
      </c>
      <c r="P406" s="128">
        <v>360.0</v>
      </c>
      <c r="Q406" s="128">
        <v>3.26398426E8</v>
      </c>
      <c r="R406" s="128">
        <v>0.0</v>
      </c>
      <c r="S406" s="128">
        <v>4.317564207E8</v>
      </c>
      <c r="T406" s="130">
        <v>7.5815484665E8</v>
      </c>
      <c r="U406" s="130">
        <v>893018.95</v>
      </c>
      <c r="V406" s="131" t="s">
        <v>294</v>
      </c>
      <c r="W406" s="128">
        <v>1.0</v>
      </c>
      <c r="X406" s="127" t="s">
        <v>1600</v>
      </c>
      <c r="Y406" s="127" t="s">
        <v>1601</v>
      </c>
      <c r="Z406" s="127" t="s">
        <v>58</v>
      </c>
      <c r="AA406" s="127">
        <v>1.0</v>
      </c>
      <c r="AB406" s="127" t="s">
        <v>1602</v>
      </c>
      <c r="AC406" s="127" t="s">
        <v>86</v>
      </c>
    </row>
    <row r="407">
      <c r="A407" s="132">
        <v>6980.0</v>
      </c>
      <c r="B407" s="133" t="s">
        <v>4061</v>
      </c>
      <c r="C407" s="133" t="s">
        <v>75</v>
      </c>
      <c r="D407" s="133" t="s">
        <v>4062</v>
      </c>
      <c r="E407" s="133" t="s">
        <v>3574</v>
      </c>
      <c r="F407" s="133" t="s">
        <v>3575</v>
      </c>
      <c r="G407" s="133" t="s">
        <v>4020</v>
      </c>
      <c r="H407" s="133" t="s">
        <v>86</v>
      </c>
      <c r="I407" s="133" t="s">
        <v>706</v>
      </c>
      <c r="J407" s="133" t="s">
        <v>154</v>
      </c>
      <c r="K407" s="134">
        <v>0.999999</v>
      </c>
      <c r="L407" s="135">
        <v>45303.0</v>
      </c>
      <c r="M407" s="135">
        <v>45223.0</v>
      </c>
      <c r="N407" s="135">
        <v>45708.0</v>
      </c>
      <c r="O407" s="134">
        <v>405.0</v>
      </c>
      <c r="P407" s="134">
        <v>180.0</v>
      </c>
      <c r="Q407" s="134">
        <v>2.288020998E8</v>
      </c>
      <c r="R407" s="134">
        <v>3.664436688E7</v>
      </c>
      <c r="S407" s="134">
        <v>3.094889988E8</v>
      </c>
      <c r="T407" s="136">
        <v>5.7493546551E8</v>
      </c>
      <c r="U407" s="136">
        <v>726255.72</v>
      </c>
      <c r="V407" s="137" t="s">
        <v>294</v>
      </c>
      <c r="W407" s="134">
        <v>1.0</v>
      </c>
      <c r="X407" s="133" t="s">
        <v>1600</v>
      </c>
      <c r="Y407" s="133" t="s">
        <v>1601</v>
      </c>
      <c r="Z407" s="133" t="s">
        <v>1702</v>
      </c>
      <c r="AA407" s="133">
        <v>21.0</v>
      </c>
      <c r="AB407" s="133" t="s">
        <v>1602</v>
      </c>
      <c r="AC407" s="133" t="s">
        <v>86</v>
      </c>
    </row>
    <row r="408">
      <c r="A408" s="126">
        <v>6500.0</v>
      </c>
      <c r="B408" s="127" t="s">
        <v>4063</v>
      </c>
      <c r="C408" s="127" t="s">
        <v>75</v>
      </c>
      <c r="D408" s="127" t="s">
        <v>4064</v>
      </c>
      <c r="E408" s="127" t="s">
        <v>3967</v>
      </c>
      <c r="F408" s="127" t="s">
        <v>3575</v>
      </c>
      <c r="G408" s="127" t="s">
        <v>1636</v>
      </c>
      <c r="H408" s="127" t="s">
        <v>86</v>
      </c>
      <c r="I408" s="127" t="s">
        <v>100</v>
      </c>
      <c r="J408" s="127" t="s">
        <v>161</v>
      </c>
      <c r="K408" s="128">
        <v>1.0</v>
      </c>
      <c r="L408" s="129">
        <v>45306.0</v>
      </c>
      <c r="M408" s="129">
        <v>45208.0</v>
      </c>
      <c r="N408" s="129">
        <v>45671.0</v>
      </c>
      <c r="O408" s="128">
        <v>365.0</v>
      </c>
      <c r="P408" s="128">
        <v>365.0</v>
      </c>
      <c r="Q408" s="128">
        <v>6.701434081E8</v>
      </c>
      <c r="R408" s="128">
        <v>0.0</v>
      </c>
      <c r="S408" s="128">
        <v>8.294159412E8</v>
      </c>
      <c r="T408" s="130">
        <v>1.49955934928E9</v>
      </c>
      <c r="U408" s="130">
        <v>1833497.7</v>
      </c>
      <c r="V408" s="131" t="s">
        <v>294</v>
      </c>
      <c r="W408" s="128">
        <v>1.0</v>
      </c>
      <c r="X408" s="127" t="s">
        <v>1600</v>
      </c>
      <c r="Y408" s="127" t="s">
        <v>1601</v>
      </c>
      <c r="Z408" s="127" t="s">
        <v>161</v>
      </c>
      <c r="AA408" s="127">
        <v>23.0</v>
      </c>
      <c r="AB408" s="127" t="s">
        <v>1602</v>
      </c>
      <c r="AC408" s="127" t="s">
        <v>86</v>
      </c>
    </row>
    <row r="409">
      <c r="A409" s="132">
        <v>6014.0</v>
      </c>
      <c r="B409" s="133" t="s">
        <v>4065</v>
      </c>
      <c r="C409" s="133" t="s">
        <v>75</v>
      </c>
      <c r="D409" s="133" t="s">
        <v>4066</v>
      </c>
      <c r="E409" s="133" t="s">
        <v>3967</v>
      </c>
      <c r="F409" s="133" t="s">
        <v>3575</v>
      </c>
      <c r="G409" s="133" t="s">
        <v>4015</v>
      </c>
      <c r="H409" s="133" t="s">
        <v>86</v>
      </c>
      <c r="I409" s="133" t="s">
        <v>610</v>
      </c>
      <c r="J409" s="133" t="s">
        <v>161</v>
      </c>
      <c r="K409" s="134">
        <v>0.999999</v>
      </c>
      <c r="L409" s="135">
        <v>45306.0</v>
      </c>
      <c r="M409" s="135">
        <v>45208.0</v>
      </c>
      <c r="N409" s="135">
        <v>45671.0</v>
      </c>
      <c r="O409" s="134">
        <v>365.0</v>
      </c>
      <c r="P409" s="134">
        <v>365.0</v>
      </c>
      <c r="Q409" s="134">
        <v>7.437516582E8</v>
      </c>
      <c r="R409" s="134">
        <v>0.0</v>
      </c>
      <c r="S409" s="134">
        <v>9.513158164E8</v>
      </c>
      <c r="T409" s="136">
        <v>1.69506747468E9</v>
      </c>
      <c r="U409" s="136">
        <v>2034888.26</v>
      </c>
      <c r="V409" s="137" t="s">
        <v>294</v>
      </c>
      <c r="W409" s="134">
        <v>1.0</v>
      </c>
      <c r="X409" s="133" t="s">
        <v>1600</v>
      </c>
      <c r="Y409" s="133" t="s">
        <v>1601</v>
      </c>
      <c r="Z409" s="133" t="s">
        <v>161</v>
      </c>
      <c r="AA409" s="133">
        <v>23.0</v>
      </c>
      <c r="AB409" s="133" t="s">
        <v>1602</v>
      </c>
      <c r="AC409" s="133" t="s">
        <v>86</v>
      </c>
    </row>
    <row r="410">
      <c r="A410" s="126">
        <v>6015.0</v>
      </c>
      <c r="B410" s="127" t="s">
        <v>4067</v>
      </c>
      <c r="C410" s="127" t="s">
        <v>75</v>
      </c>
      <c r="D410" s="127" t="s">
        <v>4068</v>
      </c>
      <c r="E410" s="127" t="s">
        <v>3967</v>
      </c>
      <c r="F410" s="127" t="s">
        <v>3575</v>
      </c>
      <c r="G410" s="127" t="s">
        <v>4006</v>
      </c>
      <c r="H410" s="127" t="s">
        <v>86</v>
      </c>
      <c r="I410" s="127" t="s">
        <v>391</v>
      </c>
      <c r="J410" s="127" t="s">
        <v>115</v>
      </c>
      <c r="K410" s="128">
        <v>0.999999</v>
      </c>
      <c r="L410" s="129">
        <v>45307.0</v>
      </c>
      <c r="M410" s="129">
        <v>45208.0</v>
      </c>
      <c r="N410" s="129">
        <v>45672.0</v>
      </c>
      <c r="O410" s="128">
        <v>365.0</v>
      </c>
      <c r="P410" s="128">
        <v>365.0</v>
      </c>
      <c r="Q410" s="128">
        <v>6.398884639E8</v>
      </c>
      <c r="R410" s="128">
        <v>0.0</v>
      </c>
      <c r="S410" s="128">
        <v>7.80426695E8</v>
      </c>
      <c r="T410" s="130">
        <v>1.42031515894E9</v>
      </c>
      <c r="U410" s="130">
        <v>1750720.83</v>
      </c>
      <c r="V410" s="131" t="s">
        <v>294</v>
      </c>
      <c r="W410" s="128">
        <v>1.0</v>
      </c>
      <c r="X410" s="127" t="s">
        <v>92</v>
      </c>
      <c r="Y410" s="127" t="s">
        <v>1601</v>
      </c>
      <c r="Z410" s="127" t="s">
        <v>112</v>
      </c>
      <c r="AA410" s="127">
        <v>12.0</v>
      </c>
      <c r="AB410" s="127" t="s">
        <v>1565</v>
      </c>
      <c r="AC410" s="127" t="s">
        <v>86</v>
      </c>
    </row>
    <row r="411">
      <c r="A411" s="126">
        <v>6019.0</v>
      </c>
      <c r="B411" s="133" t="s">
        <v>4069</v>
      </c>
      <c r="C411" s="133" t="s">
        <v>75</v>
      </c>
      <c r="D411" s="133" t="s">
        <v>4070</v>
      </c>
      <c r="E411" s="133" t="s">
        <v>3967</v>
      </c>
      <c r="F411" s="133" t="s">
        <v>3575</v>
      </c>
      <c r="G411" s="133" t="s">
        <v>4012</v>
      </c>
      <c r="H411" s="133" t="s">
        <v>86</v>
      </c>
      <c r="I411" s="133" t="s">
        <v>39</v>
      </c>
      <c r="J411" s="133" t="s">
        <v>72</v>
      </c>
      <c r="K411" s="134">
        <v>0.999999</v>
      </c>
      <c r="L411" s="135">
        <v>45308.0</v>
      </c>
      <c r="M411" s="135">
        <v>45208.0</v>
      </c>
      <c r="N411" s="135">
        <v>45673.0</v>
      </c>
      <c r="O411" s="134">
        <v>365.0</v>
      </c>
      <c r="P411" s="134">
        <v>365.0</v>
      </c>
      <c r="Q411" s="134">
        <v>3.94928538E8</v>
      </c>
      <c r="R411" s="134">
        <v>0.0</v>
      </c>
      <c r="S411" s="134">
        <v>4.650586179E8</v>
      </c>
      <c r="T411" s="136">
        <v>8.5998715584E8</v>
      </c>
      <c r="U411" s="136">
        <v>1080515.84</v>
      </c>
      <c r="V411" s="137" t="s">
        <v>294</v>
      </c>
      <c r="W411" s="134">
        <v>1.0</v>
      </c>
      <c r="X411" s="133" t="s">
        <v>147</v>
      </c>
      <c r="Y411" s="133" t="s">
        <v>1601</v>
      </c>
      <c r="Z411" s="133" t="s">
        <v>72</v>
      </c>
      <c r="AA411" s="133">
        <v>22.0</v>
      </c>
      <c r="AB411" s="133" t="s">
        <v>1565</v>
      </c>
      <c r="AC411" s="133" t="s">
        <v>86</v>
      </c>
    </row>
    <row r="412">
      <c r="A412" s="138">
        <v>6568.0</v>
      </c>
      <c r="B412" s="127" t="s">
        <v>4071</v>
      </c>
      <c r="C412" s="127" t="s">
        <v>55</v>
      </c>
      <c r="D412" s="127" t="s">
        <v>4072</v>
      </c>
      <c r="E412" s="127" t="s">
        <v>3745</v>
      </c>
      <c r="F412" s="127" t="s">
        <v>3734</v>
      </c>
      <c r="G412" s="127" t="s">
        <v>4073</v>
      </c>
      <c r="H412" s="127" t="s">
        <v>81</v>
      </c>
      <c r="I412" s="127" t="s">
        <v>203</v>
      </c>
      <c r="J412" s="127" t="s">
        <v>154</v>
      </c>
      <c r="K412" s="128">
        <v>0.81527</v>
      </c>
      <c r="L412" s="129">
        <v>45275.0</v>
      </c>
      <c r="M412" s="129">
        <v>45240.0</v>
      </c>
      <c r="N412" s="129">
        <v>46065.0</v>
      </c>
      <c r="O412" s="128">
        <v>790.0</v>
      </c>
      <c r="P412" s="128">
        <v>730.0</v>
      </c>
      <c r="Q412" s="128">
        <v>3.951044728E10</v>
      </c>
      <c r="R412" s="128">
        <v>0.0</v>
      </c>
      <c r="S412" s="128">
        <v>4.6035654061E10</v>
      </c>
      <c r="T412" s="130">
        <v>8.554610134162E10</v>
      </c>
      <c r="U412" s="130">
        <v>1.0809971896E8</v>
      </c>
      <c r="V412" s="131" t="s">
        <v>294</v>
      </c>
      <c r="W412" s="128">
        <v>2.0</v>
      </c>
      <c r="X412" s="127" t="s">
        <v>1600</v>
      </c>
      <c r="Y412" s="127" t="s">
        <v>1601</v>
      </c>
      <c r="Z412" s="127" t="s">
        <v>1702</v>
      </c>
      <c r="AA412" s="127">
        <v>21.0</v>
      </c>
      <c r="AB412" s="127" t="s">
        <v>1602</v>
      </c>
      <c r="AC412" s="127" t="s">
        <v>1603</v>
      </c>
    </row>
    <row r="413">
      <c r="A413" s="126">
        <v>6510.0</v>
      </c>
      <c r="B413" s="133" t="s">
        <v>4074</v>
      </c>
      <c r="C413" s="133" t="s">
        <v>75</v>
      </c>
      <c r="D413" s="133" t="s">
        <v>4075</v>
      </c>
      <c r="E413" s="133" t="s">
        <v>3967</v>
      </c>
      <c r="F413" s="133" t="s">
        <v>3575</v>
      </c>
      <c r="G413" s="133" t="s">
        <v>4076</v>
      </c>
      <c r="H413" s="133" t="s">
        <v>86</v>
      </c>
      <c r="I413" s="133" t="s">
        <v>39</v>
      </c>
      <c r="J413" s="133" t="s">
        <v>39</v>
      </c>
      <c r="K413" s="134">
        <v>1.0</v>
      </c>
      <c r="L413" s="135">
        <v>45366.0</v>
      </c>
      <c r="M413" s="135">
        <v>45272.0</v>
      </c>
      <c r="N413" s="135">
        <v>45731.0</v>
      </c>
      <c r="O413" s="134">
        <v>365.0</v>
      </c>
      <c r="P413" s="134">
        <v>365.0</v>
      </c>
      <c r="Q413" s="134">
        <v>4.838410871E8</v>
      </c>
      <c r="R413" s="134">
        <v>0.0</v>
      </c>
      <c r="S413" s="134">
        <v>5.181691012E8</v>
      </c>
      <c r="T413" s="136">
        <v>1.00201018833E9</v>
      </c>
      <c r="U413" s="136">
        <v>1208092.6</v>
      </c>
      <c r="V413" s="137" t="s">
        <v>294</v>
      </c>
      <c r="W413" s="134">
        <v>1.0</v>
      </c>
      <c r="X413" s="133" t="s">
        <v>147</v>
      </c>
      <c r="Y413" s="133" t="s">
        <v>1601</v>
      </c>
      <c r="Z413" s="133" t="s">
        <v>39</v>
      </c>
      <c r="AA413" s="133">
        <v>4.0</v>
      </c>
      <c r="AB413" s="133" t="s">
        <v>1565</v>
      </c>
      <c r="AC413" s="133" t="s">
        <v>86</v>
      </c>
    </row>
    <row r="414">
      <c r="A414" s="138">
        <v>6198.0</v>
      </c>
      <c r="B414" s="127" t="s">
        <v>4077</v>
      </c>
      <c r="C414" s="127" t="s">
        <v>55</v>
      </c>
      <c r="D414" s="127" t="s">
        <v>4078</v>
      </c>
      <c r="E414" s="127" t="s">
        <v>3883</v>
      </c>
      <c r="F414" s="127" t="s">
        <v>3734</v>
      </c>
      <c r="G414" s="127" t="s">
        <v>4079</v>
      </c>
      <c r="H414" s="127" t="s">
        <v>81</v>
      </c>
      <c r="I414" s="127" t="s">
        <v>188</v>
      </c>
      <c r="J414" s="127" t="s">
        <v>171</v>
      </c>
      <c r="K414" s="128">
        <v>0.04755</v>
      </c>
      <c r="L414" s="129">
        <v>45446.0</v>
      </c>
      <c r="M414" s="129">
        <v>45191.0</v>
      </c>
      <c r="N414" s="129">
        <v>46076.0</v>
      </c>
      <c r="O414" s="128">
        <v>630.0</v>
      </c>
      <c r="P414" s="128">
        <v>360.0</v>
      </c>
      <c r="Q414" s="128">
        <v>7.06196915E9</v>
      </c>
      <c r="R414" s="128">
        <v>0.0</v>
      </c>
      <c r="S414" s="128">
        <v>1.2710065325E10</v>
      </c>
      <c r="T414" s="130">
        <v>1.977203447482E10</v>
      </c>
      <c r="U414" s="130">
        <v>1.932139302E7</v>
      </c>
      <c r="V414" s="131" t="s">
        <v>294</v>
      </c>
      <c r="W414" s="128">
        <v>2.0</v>
      </c>
      <c r="X414" s="127" t="s">
        <v>1600</v>
      </c>
      <c r="Y414" s="127" t="s">
        <v>1601</v>
      </c>
      <c r="Z414" s="127" t="s">
        <v>1674</v>
      </c>
      <c r="AA414" s="127">
        <v>26.0</v>
      </c>
      <c r="AB414" s="127" t="s">
        <v>1602</v>
      </c>
      <c r="AC414" s="127" t="s">
        <v>1603</v>
      </c>
    </row>
    <row r="415">
      <c r="A415" s="126">
        <v>6635.0</v>
      </c>
      <c r="B415" s="133" t="s">
        <v>4080</v>
      </c>
      <c r="C415" s="133" t="s">
        <v>80</v>
      </c>
      <c r="D415" s="133" t="s">
        <v>4081</v>
      </c>
      <c r="E415" s="133" t="s">
        <v>3999</v>
      </c>
      <c r="F415" s="133" t="s">
        <v>3751</v>
      </c>
      <c r="G415" s="133" t="s">
        <v>4000</v>
      </c>
      <c r="H415" s="133" t="s">
        <v>86</v>
      </c>
      <c r="I415" s="133" t="s">
        <v>464</v>
      </c>
      <c r="J415" s="133" t="s">
        <v>99</v>
      </c>
      <c r="K415" s="134">
        <v>1.0</v>
      </c>
      <c r="L415" s="135">
        <v>45455.0</v>
      </c>
      <c r="M415" s="135">
        <v>45231.0</v>
      </c>
      <c r="N415" s="135">
        <v>45775.0</v>
      </c>
      <c r="O415" s="134">
        <v>320.0</v>
      </c>
      <c r="P415" s="134">
        <v>120.0</v>
      </c>
      <c r="Q415" s="134">
        <v>1.432244392E8</v>
      </c>
      <c r="R415" s="134">
        <v>0.0</v>
      </c>
      <c r="S415" s="134">
        <v>0.0</v>
      </c>
      <c r="T415" s="136">
        <v>1.4322443917E8</v>
      </c>
      <c r="U415" s="136">
        <v>391858.93</v>
      </c>
      <c r="V415" s="137" t="s">
        <v>294</v>
      </c>
      <c r="W415" s="134">
        <v>1.0</v>
      </c>
      <c r="X415" s="133" t="s">
        <v>1600</v>
      </c>
      <c r="Y415" s="133" t="s">
        <v>1601</v>
      </c>
      <c r="Z415" s="133" t="s">
        <v>1683</v>
      </c>
      <c r="AA415" s="133">
        <v>9.0</v>
      </c>
      <c r="AB415" s="133" t="s">
        <v>1602</v>
      </c>
      <c r="AC415" s="133" t="s">
        <v>86</v>
      </c>
    </row>
    <row r="416">
      <c r="A416" s="138">
        <v>7020.0</v>
      </c>
      <c r="B416" s="127" t="s">
        <v>4082</v>
      </c>
      <c r="C416" s="127" t="s">
        <v>75</v>
      </c>
      <c r="D416" s="127" t="s">
        <v>4083</v>
      </c>
      <c r="E416" s="127" t="s">
        <v>3574</v>
      </c>
      <c r="F416" s="127" t="s">
        <v>3575</v>
      </c>
      <c r="G416" s="127" t="s">
        <v>3897</v>
      </c>
      <c r="H416" s="127" t="s">
        <v>81</v>
      </c>
      <c r="I416" s="127" t="s">
        <v>363</v>
      </c>
      <c r="J416" s="127" t="s">
        <v>58</v>
      </c>
      <c r="K416" s="128">
        <v>0.295641</v>
      </c>
      <c r="L416" s="129">
        <v>45496.0</v>
      </c>
      <c r="M416" s="129">
        <v>45483.0</v>
      </c>
      <c r="N416" s="129">
        <v>46576.0</v>
      </c>
      <c r="O416" s="128">
        <v>1080.0</v>
      </c>
      <c r="P416" s="128">
        <v>1080.0</v>
      </c>
      <c r="Q416" s="128">
        <v>3.5216580873E10</v>
      </c>
      <c r="R416" s="128">
        <v>0.0</v>
      </c>
      <c r="S416" s="128">
        <v>4.189163817E9</v>
      </c>
      <c r="T416" s="130">
        <v>3.940574469045E10</v>
      </c>
      <c r="U416" s="130">
        <v>3.756435293E7</v>
      </c>
      <c r="V416" s="131" t="s">
        <v>294</v>
      </c>
      <c r="W416" s="128">
        <v>2.0</v>
      </c>
      <c r="X416" s="127" t="s">
        <v>1600</v>
      </c>
      <c r="Y416" s="127" t="s">
        <v>1601</v>
      </c>
      <c r="Z416" s="127" t="s">
        <v>58</v>
      </c>
      <c r="AA416" s="127">
        <v>1.0</v>
      </c>
      <c r="AB416" s="127" t="s">
        <v>1602</v>
      </c>
      <c r="AC416" s="127" t="s">
        <v>1603</v>
      </c>
    </row>
    <row r="417">
      <c r="A417" s="132">
        <v>7000.0</v>
      </c>
      <c r="B417" s="133" t="s">
        <v>4084</v>
      </c>
      <c r="C417" s="133" t="s">
        <v>75</v>
      </c>
      <c r="D417" s="133" t="s">
        <v>4085</v>
      </c>
      <c r="E417" s="133" t="s">
        <v>3574</v>
      </c>
      <c r="F417" s="133" t="s">
        <v>3575</v>
      </c>
      <c r="G417" s="133" t="s">
        <v>2318</v>
      </c>
      <c r="H417" s="133" t="s">
        <v>81</v>
      </c>
      <c r="I417" s="133" t="s">
        <v>2088</v>
      </c>
      <c r="J417" s="133" t="s">
        <v>120</v>
      </c>
      <c r="K417" s="134">
        <v>0.98762</v>
      </c>
      <c r="L417" s="135">
        <v>45506.0</v>
      </c>
      <c r="M417" s="135">
        <v>45441.0</v>
      </c>
      <c r="N417" s="135">
        <v>45836.0</v>
      </c>
      <c r="O417" s="134">
        <v>330.0</v>
      </c>
      <c r="P417" s="134">
        <v>180.0</v>
      </c>
      <c r="Q417" s="134">
        <v>7.3E8</v>
      </c>
      <c r="R417" s="134">
        <v>0.0</v>
      </c>
      <c r="S417" s="134">
        <v>9.615416711E7</v>
      </c>
      <c r="T417" s="136">
        <v>8.2615416711E8</v>
      </c>
      <c r="U417" s="136">
        <v>799561.88</v>
      </c>
      <c r="V417" s="137" t="s">
        <v>294</v>
      </c>
      <c r="W417" s="134">
        <v>2.0</v>
      </c>
      <c r="X417" s="133" t="s">
        <v>1600</v>
      </c>
      <c r="Y417" s="133" t="s">
        <v>1601</v>
      </c>
      <c r="Z417" s="133" t="s">
        <v>120</v>
      </c>
      <c r="AA417" s="133">
        <v>26.0</v>
      </c>
      <c r="AB417" s="133" t="s">
        <v>1602</v>
      </c>
      <c r="AC417" s="133" t="s">
        <v>1603</v>
      </c>
    </row>
    <row r="418">
      <c r="A418" s="138">
        <v>7015.0</v>
      </c>
      <c r="B418" s="127" t="s">
        <v>4086</v>
      </c>
      <c r="C418" s="127" t="s">
        <v>75</v>
      </c>
      <c r="D418" s="127" t="s">
        <v>4087</v>
      </c>
      <c r="E418" s="127" t="s">
        <v>3574</v>
      </c>
      <c r="F418" s="127" t="s">
        <v>3575</v>
      </c>
      <c r="G418" s="127" t="s">
        <v>4015</v>
      </c>
      <c r="H418" s="127" t="s">
        <v>81</v>
      </c>
      <c r="I418" s="127" t="s">
        <v>288</v>
      </c>
      <c r="J418" s="127" t="s">
        <v>65</v>
      </c>
      <c r="K418" s="128">
        <v>0.008357</v>
      </c>
      <c r="L418" s="129">
        <v>45586.0</v>
      </c>
      <c r="M418" s="129">
        <v>45512.0</v>
      </c>
      <c r="N418" s="129">
        <v>45856.0</v>
      </c>
      <c r="O418" s="128">
        <v>270.0</v>
      </c>
      <c r="P418" s="128">
        <v>210.0</v>
      </c>
      <c r="Q418" s="128">
        <v>4.595094173E8</v>
      </c>
      <c r="R418" s="128">
        <v>0.0</v>
      </c>
      <c r="S418" s="128">
        <v>3.614867561E7</v>
      </c>
      <c r="T418" s="130">
        <v>4.9565809291E8</v>
      </c>
      <c r="U418" s="130">
        <v>480909.91</v>
      </c>
      <c r="V418" s="131" t="s">
        <v>294</v>
      </c>
      <c r="W418" s="128">
        <v>2.0</v>
      </c>
      <c r="X418" s="127" t="s">
        <v>1600</v>
      </c>
      <c r="Y418" s="127" t="s">
        <v>1601</v>
      </c>
      <c r="Z418" s="127" t="s">
        <v>1664</v>
      </c>
      <c r="AA418" s="127">
        <v>3.0</v>
      </c>
      <c r="AB418" s="127" t="s">
        <v>1602</v>
      </c>
      <c r="AC418" s="127" t="s">
        <v>1603</v>
      </c>
    </row>
    <row r="419">
      <c r="A419" s="132">
        <v>7024.0</v>
      </c>
      <c r="B419" s="133" t="s">
        <v>4088</v>
      </c>
      <c r="C419" s="133" t="s">
        <v>75</v>
      </c>
      <c r="D419" s="133" t="s">
        <v>4089</v>
      </c>
      <c r="E419" s="133" t="s">
        <v>3574</v>
      </c>
      <c r="F419" s="133" t="s">
        <v>3575</v>
      </c>
      <c r="G419" s="133" t="s">
        <v>4020</v>
      </c>
      <c r="H419" s="133" t="s">
        <v>86</v>
      </c>
      <c r="I419" s="133" t="s">
        <v>345</v>
      </c>
      <c r="J419" s="133" t="s">
        <v>65</v>
      </c>
      <c r="K419" s="134">
        <v>0.999999</v>
      </c>
      <c r="L419" s="135">
        <v>45589.0</v>
      </c>
      <c r="M419" s="135">
        <v>45513.0</v>
      </c>
      <c r="N419" s="135">
        <v>45799.0</v>
      </c>
      <c r="O419" s="134">
        <v>210.0</v>
      </c>
      <c r="P419" s="134">
        <v>210.0</v>
      </c>
      <c r="Q419" s="134">
        <v>1.459332707E8</v>
      </c>
      <c r="R419" s="134">
        <v>0.0</v>
      </c>
      <c r="S419" s="134">
        <v>0.0</v>
      </c>
      <c r="T419" s="136">
        <v>1.459332707E8</v>
      </c>
      <c r="U419" s="136">
        <v>152410.73</v>
      </c>
      <c r="V419" s="137" t="s">
        <v>294</v>
      </c>
      <c r="W419" s="134">
        <v>1.0</v>
      </c>
      <c r="X419" s="133" t="s">
        <v>1600</v>
      </c>
      <c r="Y419" s="133" t="s">
        <v>1601</v>
      </c>
      <c r="Z419" s="133" t="s">
        <v>1664</v>
      </c>
      <c r="AA419" s="133">
        <v>3.0</v>
      </c>
      <c r="AB419" s="133" t="s">
        <v>1602</v>
      </c>
      <c r="AC419" s="133" t="s">
        <v>86</v>
      </c>
    </row>
    <row r="420">
      <c r="A420" s="138">
        <v>7014.0</v>
      </c>
      <c r="B420" s="127" t="s">
        <v>4090</v>
      </c>
      <c r="C420" s="127" t="s">
        <v>75</v>
      </c>
      <c r="D420" s="127" t="s">
        <v>4091</v>
      </c>
      <c r="E420" s="127" t="s">
        <v>3594</v>
      </c>
      <c r="F420" s="127" t="s">
        <v>3575</v>
      </c>
      <c r="G420" s="127" t="s">
        <v>1735</v>
      </c>
      <c r="H420" s="127" t="s">
        <v>81</v>
      </c>
      <c r="I420" s="127" t="s">
        <v>100</v>
      </c>
      <c r="J420" s="127" t="s">
        <v>161</v>
      </c>
      <c r="K420" s="128">
        <v>0.438731</v>
      </c>
      <c r="L420" s="129">
        <v>45593.0</v>
      </c>
      <c r="M420" s="129">
        <v>45518.0</v>
      </c>
      <c r="N420" s="129">
        <v>46133.0</v>
      </c>
      <c r="O420" s="128">
        <v>540.0</v>
      </c>
      <c r="P420" s="128">
        <v>540.0</v>
      </c>
      <c r="Q420" s="128">
        <v>3.811578639E9</v>
      </c>
      <c r="R420" s="128">
        <v>0.0</v>
      </c>
      <c r="S420" s="128">
        <v>0.0</v>
      </c>
      <c r="T420" s="130">
        <v>3.81157863901E9</v>
      </c>
      <c r="U420" s="130">
        <v>3974534.56</v>
      </c>
      <c r="V420" s="131" t="s">
        <v>294</v>
      </c>
      <c r="W420" s="128">
        <v>2.0</v>
      </c>
      <c r="X420" s="127" t="s">
        <v>1600</v>
      </c>
      <c r="Y420" s="127" t="s">
        <v>1601</v>
      </c>
      <c r="Z420" s="127" t="s">
        <v>161</v>
      </c>
      <c r="AA420" s="127">
        <v>23.0</v>
      </c>
      <c r="AB420" s="127" t="s">
        <v>1602</v>
      </c>
      <c r="AC420" s="127" t="s">
        <v>1603</v>
      </c>
    </row>
    <row r="421">
      <c r="A421" s="126">
        <v>2495.0</v>
      </c>
      <c r="B421" s="133" t="s">
        <v>4092</v>
      </c>
      <c r="C421" s="133" t="s">
        <v>49</v>
      </c>
      <c r="D421" s="133" t="s">
        <v>4093</v>
      </c>
      <c r="E421" s="133" t="s">
        <v>4094</v>
      </c>
      <c r="F421" s="133" t="s">
        <v>1581</v>
      </c>
      <c r="G421" s="133" t="s">
        <v>4095</v>
      </c>
      <c r="H421" s="133" t="s">
        <v>81</v>
      </c>
      <c r="I421" s="133" t="s">
        <v>126</v>
      </c>
      <c r="J421" s="133" t="s">
        <v>150</v>
      </c>
      <c r="K421" s="134">
        <v>0.475592</v>
      </c>
      <c r="L421" s="135">
        <v>45616.0</v>
      </c>
      <c r="M421" s="135">
        <v>45504.0</v>
      </c>
      <c r="N421" s="135">
        <v>46096.0</v>
      </c>
      <c r="O421" s="134">
        <v>480.0</v>
      </c>
      <c r="P421" s="134">
        <v>480.0</v>
      </c>
      <c r="Q421" s="134">
        <v>4.388942067E9</v>
      </c>
      <c r="R421" s="134">
        <v>0.0</v>
      </c>
      <c r="S421" s="134">
        <v>0.0</v>
      </c>
      <c r="T421" s="136">
        <v>4.38894206677E9</v>
      </c>
      <c r="U421" s="136">
        <v>4612655.88</v>
      </c>
      <c r="V421" s="137" t="s">
        <v>294</v>
      </c>
      <c r="W421" s="134">
        <v>2.0</v>
      </c>
      <c r="X421" s="133" t="s">
        <v>1600</v>
      </c>
      <c r="Y421" s="133" t="s">
        <v>1601</v>
      </c>
      <c r="Z421" s="133" t="s">
        <v>150</v>
      </c>
      <c r="AA421" s="133">
        <v>20.0</v>
      </c>
      <c r="AB421" s="133" t="s">
        <v>1602</v>
      </c>
      <c r="AC421" s="133" t="s">
        <v>1603</v>
      </c>
    </row>
    <row r="422">
      <c r="A422" s="138">
        <v>7045.0</v>
      </c>
      <c r="B422" s="127" t="s">
        <v>4096</v>
      </c>
      <c r="C422" s="127" t="s">
        <v>75</v>
      </c>
      <c r="D422" s="127" t="s">
        <v>4097</v>
      </c>
      <c r="E422" s="127" t="s">
        <v>3574</v>
      </c>
      <c r="F422" s="127" t="s">
        <v>3575</v>
      </c>
      <c r="G422" s="127" t="s">
        <v>4020</v>
      </c>
      <c r="H422" s="127" t="s">
        <v>86</v>
      </c>
      <c r="I422" s="127" t="s">
        <v>662</v>
      </c>
      <c r="J422" s="127" t="s">
        <v>154</v>
      </c>
      <c r="K422" s="128">
        <v>1.0</v>
      </c>
      <c r="L422" s="129">
        <v>45600.0</v>
      </c>
      <c r="M422" s="129">
        <v>45553.0</v>
      </c>
      <c r="N422" s="129">
        <v>45690.0</v>
      </c>
      <c r="O422" s="128">
        <v>90.0</v>
      </c>
      <c r="P422" s="128">
        <v>90.0</v>
      </c>
      <c r="Q422" s="128">
        <v>1.574746482E8</v>
      </c>
      <c r="R422" s="128">
        <v>0.0</v>
      </c>
      <c r="S422" s="128">
        <v>0.0</v>
      </c>
      <c r="T422" s="130">
        <v>1.5747464822E8</v>
      </c>
      <c r="U422" s="130">
        <v>160361.15</v>
      </c>
      <c r="V422" s="131" t="s">
        <v>294</v>
      </c>
      <c r="W422" s="128">
        <v>1.0</v>
      </c>
      <c r="X422" s="127" t="s">
        <v>1600</v>
      </c>
      <c r="Y422" s="127" t="s">
        <v>1601</v>
      </c>
      <c r="Z422" s="127" t="s">
        <v>1702</v>
      </c>
      <c r="AA422" s="127">
        <v>21.0</v>
      </c>
      <c r="AB422" s="127" t="s">
        <v>1602</v>
      </c>
      <c r="AC422" s="127" t="s">
        <v>86</v>
      </c>
    </row>
    <row r="423">
      <c r="A423" s="126">
        <v>2497.0</v>
      </c>
      <c r="B423" s="133" t="s">
        <v>4098</v>
      </c>
      <c r="C423" s="133" t="s">
        <v>49</v>
      </c>
      <c r="D423" s="133" t="s">
        <v>4099</v>
      </c>
      <c r="E423" s="133" t="s">
        <v>4100</v>
      </c>
      <c r="F423" s="133" t="s">
        <v>1581</v>
      </c>
      <c r="G423" s="133" t="s">
        <v>4095</v>
      </c>
      <c r="H423" s="133" t="s">
        <v>81</v>
      </c>
      <c r="I423" s="133" t="s">
        <v>125</v>
      </c>
      <c r="J423" s="133" t="s">
        <v>32</v>
      </c>
      <c r="K423" s="134">
        <v>0.327543</v>
      </c>
      <c r="L423" s="135">
        <v>45616.0</v>
      </c>
      <c r="M423" s="135">
        <v>45509.0</v>
      </c>
      <c r="N423" s="135">
        <v>46096.0</v>
      </c>
      <c r="O423" s="134">
        <v>480.0</v>
      </c>
      <c r="P423" s="134">
        <v>480.0</v>
      </c>
      <c r="Q423" s="134">
        <v>4.345011292E9</v>
      </c>
      <c r="R423" s="134">
        <v>0.0</v>
      </c>
      <c r="S423" s="134">
        <v>0.0</v>
      </c>
      <c r="T423" s="136">
        <v>4.34501129218E9</v>
      </c>
      <c r="U423" s="136">
        <v>4554519.17</v>
      </c>
      <c r="V423" s="137" t="s">
        <v>294</v>
      </c>
      <c r="W423" s="134">
        <v>2.0</v>
      </c>
      <c r="X423" s="133" t="s">
        <v>1600</v>
      </c>
      <c r="Y423" s="133" t="s">
        <v>1601</v>
      </c>
      <c r="Z423" s="133" t="s">
        <v>32</v>
      </c>
      <c r="AA423" s="133">
        <v>2.0</v>
      </c>
      <c r="AB423" s="133" t="s">
        <v>1602</v>
      </c>
      <c r="AC423" s="133" t="s">
        <v>1603</v>
      </c>
    </row>
    <row r="424">
      <c r="A424" s="126">
        <v>2494.0</v>
      </c>
      <c r="B424" s="127" t="s">
        <v>4101</v>
      </c>
      <c r="C424" s="127" t="s">
        <v>49</v>
      </c>
      <c r="D424" s="127" t="s">
        <v>4102</v>
      </c>
      <c r="E424" s="127" t="s">
        <v>4094</v>
      </c>
      <c r="F424" s="127" t="s">
        <v>1581</v>
      </c>
      <c r="G424" s="127" t="s">
        <v>4095</v>
      </c>
      <c r="H424" s="127" t="s">
        <v>81</v>
      </c>
      <c r="I424" s="127" t="s">
        <v>363</v>
      </c>
      <c r="J424" s="127" t="s">
        <v>58</v>
      </c>
      <c r="K424" s="128">
        <v>0.445529</v>
      </c>
      <c r="L424" s="129">
        <v>45616.0</v>
      </c>
      <c r="M424" s="129">
        <v>45502.0</v>
      </c>
      <c r="N424" s="129">
        <v>46096.0</v>
      </c>
      <c r="O424" s="128">
        <v>480.0</v>
      </c>
      <c r="P424" s="128">
        <v>480.0</v>
      </c>
      <c r="Q424" s="128">
        <v>5.132960582E9</v>
      </c>
      <c r="R424" s="128">
        <v>0.0</v>
      </c>
      <c r="S424" s="128">
        <v>0.0</v>
      </c>
      <c r="T424" s="130">
        <v>5.13296058202E9</v>
      </c>
      <c r="U424" s="130">
        <v>5400274.15</v>
      </c>
      <c r="V424" s="131" t="s">
        <v>294</v>
      </c>
      <c r="W424" s="128">
        <v>2.0</v>
      </c>
      <c r="X424" s="127" t="s">
        <v>1600</v>
      </c>
      <c r="Y424" s="127" t="s">
        <v>1601</v>
      </c>
      <c r="Z424" s="127" t="s">
        <v>58</v>
      </c>
      <c r="AA424" s="127">
        <v>1.0</v>
      </c>
      <c r="AB424" s="127" t="s">
        <v>1602</v>
      </c>
      <c r="AC424" s="127" t="s">
        <v>1603</v>
      </c>
    </row>
    <row r="425">
      <c r="A425" s="132">
        <v>6499.0</v>
      </c>
      <c r="B425" s="133" t="s">
        <v>4103</v>
      </c>
      <c r="C425" s="133" t="s">
        <v>75</v>
      </c>
      <c r="D425" s="133" t="s">
        <v>4104</v>
      </c>
      <c r="E425" s="133" t="s">
        <v>3967</v>
      </c>
      <c r="F425" s="133" t="s">
        <v>3575</v>
      </c>
      <c r="G425" s="133" t="s">
        <v>4015</v>
      </c>
      <c r="H425" s="133" t="s">
        <v>81</v>
      </c>
      <c r="I425" s="133" t="s">
        <v>363</v>
      </c>
      <c r="J425" s="133" t="s">
        <v>39</v>
      </c>
      <c r="K425" s="134">
        <v>0.809667</v>
      </c>
      <c r="L425" s="135">
        <v>45629.0</v>
      </c>
      <c r="M425" s="135">
        <v>45587.0</v>
      </c>
      <c r="N425" s="135">
        <v>45994.0</v>
      </c>
      <c r="O425" s="134">
        <v>365.0</v>
      </c>
      <c r="P425" s="134">
        <v>365.0</v>
      </c>
      <c r="Q425" s="134">
        <v>1.111410941E9</v>
      </c>
      <c r="R425" s="134">
        <v>0.0</v>
      </c>
      <c r="S425" s="134">
        <v>0.0</v>
      </c>
      <c r="T425" s="136">
        <v>1.11141094133E9</v>
      </c>
      <c r="U425" s="136">
        <v>1106432.0</v>
      </c>
      <c r="V425" s="137" t="s">
        <v>294</v>
      </c>
      <c r="W425" s="134">
        <v>2.0</v>
      </c>
      <c r="X425" s="133" t="s">
        <v>147</v>
      </c>
      <c r="Y425" s="133" t="s">
        <v>1601</v>
      </c>
      <c r="Z425" s="133" t="s">
        <v>39</v>
      </c>
      <c r="AA425" s="133">
        <v>4.0</v>
      </c>
      <c r="AB425" s="133" t="s">
        <v>1565</v>
      </c>
      <c r="AC425" s="133" t="s">
        <v>1603</v>
      </c>
    </row>
    <row r="426">
      <c r="A426" s="138">
        <v>6509.0</v>
      </c>
      <c r="B426" s="127" t="s">
        <v>4105</v>
      </c>
      <c r="C426" s="127" t="s">
        <v>75</v>
      </c>
      <c r="D426" s="127" t="s">
        <v>4106</v>
      </c>
      <c r="E426" s="127" t="s">
        <v>3967</v>
      </c>
      <c r="F426" s="127" t="s">
        <v>3575</v>
      </c>
      <c r="G426" s="127" t="s">
        <v>2318</v>
      </c>
      <c r="H426" s="127" t="s">
        <v>81</v>
      </c>
      <c r="I426" s="127" t="s">
        <v>647</v>
      </c>
      <c r="J426" s="127" t="s">
        <v>150</v>
      </c>
      <c r="K426" s="128">
        <v>0.619446</v>
      </c>
      <c r="L426" s="129">
        <v>45635.0</v>
      </c>
      <c r="M426" s="129">
        <v>45589.0</v>
      </c>
      <c r="N426" s="129">
        <v>45935.0</v>
      </c>
      <c r="O426" s="128">
        <v>300.0</v>
      </c>
      <c r="P426" s="128">
        <v>300.0</v>
      </c>
      <c r="Q426" s="128">
        <v>1.300701244E9</v>
      </c>
      <c r="R426" s="128">
        <v>0.0</v>
      </c>
      <c r="S426" s="128">
        <v>0.0</v>
      </c>
      <c r="T426" s="130">
        <v>1.30070124433E9</v>
      </c>
      <c r="U426" s="130">
        <v>1293586.52</v>
      </c>
      <c r="V426" s="131" t="s">
        <v>294</v>
      </c>
      <c r="W426" s="128">
        <v>2.0</v>
      </c>
      <c r="X426" s="127" t="s">
        <v>1600</v>
      </c>
      <c r="Y426" s="127" t="s">
        <v>1601</v>
      </c>
      <c r="Z426" s="127" t="s">
        <v>150</v>
      </c>
      <c r="AA426" s="127">
        <v>20.0</v>
      </c>
      <c r="AB426" s="127" t="s">
        <v>1602</v>
      </c>
      <c r="AC426" s="127" t="s">
        <v>1603</v>
      </c>
    </row>
    <row r="427">
      <c r="A427" s="132">
        <v>6517.0</v>
      </c>
      <c r="B427" s="133" t="s">
        <v>4107</v>
      </c>
      <c r="C427" s="133" t="s">
        <v>75</v>
      </c>
      <c r="D427" s="133" t="s">
        <v>4108</v>
      </c>
      <c r="E427" s="133" t="s">
        <v>3967</v>
      </c>
      <c r="F427" s="133" t="s">
        <v>3575</v>
      </c>
      <c r="G427" s="133" t="s">
        <v>4012</v>
      </c>
      <c r="H427" s="133" t="s">
        <v>81</v>
      </c>
      <c r="I427" s="133" t="s">
        <v>471</v>
      </c>
      <c r="J427" s="133" t="s">
        <v>65</v>
      </c>
      <c r="K427" s="134">
        <v>0.430105</v>
      </c>
      <c r="L427" s="135">
        <v>45639.0</v>
      </c>
      <c r="M427" s="135">
        <v>45595.0</v>
      </c>
      <c r="N427" s="135">
        <v>45879.0</v>
      </c>
      <c r="O427" s="134">
        <v>240.0</v>
      </c>
      <c r="P427" s="134">
        <v>240.0</v>
      </c>
      <c r="Q427" s="134">
        <v>1.211772559E9</v>
      </c>
      <c r="R427" s="134">
        <v>0.0</v>
      </c>
      <c r="S427" s="134">
        <v>0.0</v>
      </c>
      <c r="T427" s="136">
        <v>1.21177255863E9</v>
      </c>
      <c r="U427" s="136">
        <v>1200369.05</v>
      </c>
      <c r="V427" s="137" t="s">
        <v>294</v>
      </c>
      <c r="W427" s="134">
        <v>2.0</v>
      </c>
      <c r="X427" s="133" t="s">
        <v>1600</v>
      </c>
      <c r="Y427" s="133" t="s">
        <v>1601</v>
      </c>
      <c r="Z427" s="133" t="s">
        <v>1664</v>
      </c>
      <c r="AA427" s="133">
        <v>3.0</v>
      </c>
      <c r="AB427" s="133" t="s">
        <v>1602</v>
      </c>
      <c r="AC427" s="133" t="s">
        <v>1603</v>
      </c>
    </row>
    <row r="428">
      <c r="A428" s="138">
        <v>6507.0</v>
      </c>
      <c r="B428" s="127" t="s">
        <v>4109</v>
      </c>
      <c r="C428" s="127" t="s">
        <v>75</v>
      </c>
      <c r="D428" s="127" t="s">
        <v>4110</v>
      </c>
      <c r="E428" s="127" t="s">
        <v>3967</v>
      </c>
      <c r="F428" s="127" t="s">
        <v>3575</v>
      </c>
      <c r="G428" s="127" t="s">
        <v>4056</v>
      </c>
      <c r="H428" s="127" t="s">
        <v>81</v>
      </c>
      <c r="I428" s="127" t="s">
        <v>363</v>
      </c>
      <c r="J428" s="127" t="s">
        <v>58</v>
      </c>
      <c r="K428" s="128">
        <v>0.527804</v>
      </c>
      <c r="L428" s="129">
        <v>45639.0</v>
      </c>
      <c r="M428" s="129">
        <v>45595.0</v>
      </c>
      <c r="N428" s="129">
        <v>46004.0</v>
      </c>
      <c r="O428" s="128">
        <v>365.0</v>
      </c>
      <c r="P428" s="128">
        <v>365.0</v>
      </c>
      <c r="Q428" s="128">
        <v>6.788748245E8</v>
      </c>
      <c r="R428" s="128">
        <v>0.0</v>
      </c>
      <c r="S428" s="128">
        <v>0.0</v>
      </c>
      <c r="T428" s="130">
        <v>6.7887482446E8</v>
      </c>
      <c r="U428" s="130">
        <v>672486.21</v>
      </c>
      <c r="V428" s="131" t="s">
        <v>294</v>
      </c>
      <c r="W428" s="128">
        <v>2.0</v>
      </c>
      <c r="X428" s="127" t="s">
        <v>1600</v>
      </c>
      <c r="Y428" s="127" t="s">
        <v>1601</v>
      </c>
      <c r="Z428" s="127" t="s">
        <v>58</v>
      </c>
      <c r="AA428" s="127">
        <v>1.0</v>
      </c>
      <c r="AB428" s="127" t="s">
        <v>1602</v>
      </c>
      <c r="AC428" s="127" t="s">
        <v>1603</v>
      </c>
    </row>
    <row r="429">
      <c r="A429" s="126">
        <v>6022.0</v>
      </c>
      <c r="B429" s="133" t="s">
        <v>4111</v>
      </c>
      <c r="C429" s="133" t="s">
        <v>75</v>
      </c>
      <c r="D429" s="133" t="s">
        <v>4112</v>
      </c>
      <c r="E429" s="133" t="s">
        <v>3967</v>
      </c>
      <c r="F429" s="133" t="s">
        <v>3575</v>
      </c>
      <c r="G429" s="133" t="s">
        <v>2003</v>
      </c>
      <c r="H429" s="133" t="s">
        <v>81</v>
      </c>
      <c r="I429" s="133" t="s">
        <v>363</v>
      </c>
      <c r="J429" s="133" t="s">
        <v>58</v>
      </c>
      <c r="K429" s="134">
        <v>0.624952</v>
      </c>
      <c r="L429" s="135">
        <v>45645.0</v>
      </c>
      <c r="M429" s="135">
        <v>45595.0</v>
      </c>
      <c r="N429" s="135">
        <v>46010.0</v>
      </c>
      <c r="O429" s="134">
        <v>365.0</v>
      </c>
      <c r="P429" s="134">
        <v>365.0</v>
      </c>
      <c r="Q429" s="134">
        <v>6.90793333E8</v>
      </c>
      <c r="R429" s="134">
        <v>0.0</v>
      </c>
      <c r="S429" s="134">
        <v>0.0</v>
      </c>
      <c r="T429" s="136">
        <v>6.9079333303E8</v>
      </c>
      <c r="U429" s="136">
        <v>684292.55</v>
      </c>
      <c r="V429" s="137" t="s">
        <v>294</v>
      </c>
      <c r="W429" s="134">
        <v>2.0</v>
      </c>
      <c r="X429" s="133" t="s">
        <v>1600</v>
      </c>
      <c r="Y429" s="133" t="s">
        <v>1601</v>
      </c>
      <c r="Z429" s="133" t="s">
        <v>58</v>
      </c>
      <c r="AA429" s="133">
        <v>1.0</v>
      </c>
      <c r="AB429" s="133" t="s">
        <v>1602</v>
      </c>
      <c r="AC429" s="133" t="s">
        <v>1603</v>
      </c>
    </row>
    <row r="430">
      <c r="A430" s="126">
        <v>6510.0</v>
      </c>
      <c r="B430" s="127" t="s">
        <v>4113</v>
      </c>
      <c r="C430" s="127" t="s">
        <v>75</v>
      </c>
      <c r="D430" s="127" t="s">
        <v>4114</v>
      </c>
      <c r="E430" s="127" t="s">
        <v>3967</v>
      </c>
      <c r="F430" s="127" t="s">
        <v>3575</v>
      </c>
      <c r="G430" s="127" t="s">
        <v>2318</v>
      </c>
      <c r="H430" s="127" t="s">
        <v>81</v>
      </c>
      <c r="I430" s="127" t="s">
        <v>510</v>
      </c>
      <c r="J430" s="127" t="s">
        <v>82</v>
      </c>
      <c r="K430" s="128">
        <v>0.596834</v>
      </c>
      <c r="L430" s="129">
        <v>45646.0</v>
      </c>
      <c r="M430" s="129">
        <v>45587.0</v>
      </c>
      <c r="N430" s="129">
        <v>46011.0</v>
      </c>
      <c r="O430" s="128">
        <v>365.0</v>
      </c>
      <c r="P430" s="128">
        <v>365.0</v>
      </c>
      <c r="Q430" s="128">
        <v>3.620462747E9</v>
      </c>
      <c r="R430" s="128">
        <v>0.0</v>
      </c>
      <c r="S430" s="128">
        <v>0.0</v>
      </c>
      <c r="T430" s="130">
        <v>3.62046274742E9</v>
      </c>
      <c r="U430" s="130">
        <v>3604243.65</v>
      </c>
      <c r="V430" s="131" t="s">
        <v>294</v>
      </c>
      <c r="W430" s="128">
        <v>2.0</v>
      </c>
      <c r="X430" s="127" t="s">
        <v>1600</v>
      </c>
      <c r="Y430" s="127" t="s">
        <v>1601</v>
      </c>
      <c r="Z430" s="127" t="s">
        <v>1747</v>
      </c>
      <c r="AA430" s="127">
        <v>6.0</v>
      </c>
      <c r="AB430" s="127" t="s">
        <v>1602</v>
      </c>
      <c r="AC430" s="127" t="s">
        <v>1603</v>
      </c>
    </row>
    <row r="431">
      <c r="A431" s="132">
        <v>6504.0</v>
      </c>
      <c r="B431" s="133" t="s">
        <v>4115</v>
      </c>
      <c r="C431" s="133" t="s">
        <v>75</v>
      </c>
      <c r="D431" s="133" t="s">
        <v>4116</v>
      </c>
      <c r="E431" s="133" t="s">
        <v>3967</v>
      </c>
      <c r="F431" s="133" t="s">
        <v>3575</v>
      </c>
      <c r="G431" s="133" t="s">
        <v>4003</v>
      </c>
      <c r="H431" s="133" t="s">
        <v>81</v>
      </c>
      <c r="I431" s="133" t="s">
        <v>363</v>
      </c>
      <c r="J431" s="133" t="s">
        <v>58</v>
      </c>
      <c r="K431" s="134">
        <v>0.330004</v>
      </c>
      <c r="L431" s="135">
        <v>45649.0</v>
      </c>
      <c r="M431" s="135">
        <v>45594.0</v>
      </c>
      <c r="N431" s="135">
        <v>46014.0</v>
      </c>
      <c r="O431" s="134">
        <v>365.0</v>
      </c>
      <c r="P431" s="134">
        <v>365.0</v>
      </c>
      <c r="Q431" s="134">
        <v>1.185825486E9</v>
      </c>
      <c r="R431" s="134">
        <v>0.0</v>
      </c>
      <c r="S431" s="134">
        <v>9.726252814E7</v>
      </c>
      <c r="T431" s="136">
        <v>1.28308801458E9</v>
      </c>
      <c r="U431" s="136">
        <v>1175830.92</v>
      </c>
      <c r="V431" s="137" t="s">
        <v>294</v>
      </c>
      <c r="W431" s="134">
        <v>2.0</v>
      </c>
      <c r="X431" s="133" t="s">
        <v>1600</v>
      </c>
      <c r="Y431" s="133" t="s">
        <v>1601</v>
      </c>
      <c r="Z431" s="133" t="s">
        <v>58</v>
      </c>
      <c r="AA431" s="133">
        <v>1.0</v>
      </c>
      <c r="AB431" s="133" t="s">
        <v>1602</v>
      </c>
      <c r="AC431" s="133" t="s">
        <v>1603</v>
      </c>
    </row>
    <row r="432">
      <c r="A432" s="138">
        <v>6503.0</v>
      </c>
      <c r="B432" s="127" t="s">
        <v>4117</v>
      </c>
      <c r="C432" s="127" t="s">
        <v>75</v>
      </c>
      <c r="D432" s="127" t="s">
        <v>4118</v>
      </c>
      <c r="E432" s="127" t="s">
        <v>3967</v>
      </c>
      <c r="F432" s="127" t="s">
        <v>3575</v>
      </c>
      <c r="G432" s="127" t="s">
        <v>4006</v>
      </c>
      <c r="H432" s="127" t="s">
        <v>81</v>
      </c>
      <c r="I432" s="127" t="s">
        <v>125</v>
      </c>
      <c r="J432" s="127" t="s">
        <v>2937</v>
      </c>
      <c r="K432" s="128">
        <v>0.282158</v>
      </c>
      <c r="L432" s="129">
        <v>45652.0</v>
      </c>
      <c r="M432" s="129">
        <v>45588.0</v>
      </c>
      <c r="N432" s="129">
        <v>46017.0</v>
      </c>
      <c r="O432" s="128">
        <v>365.0</v>
      </c>
      <c r="P432" s="128">
        <v>365.0</v>
      </c>
      <c r="Q432" s="128">
        <v>2.09916235E9</v>
      </c>
      <c r="R432" s="128">
        <v>0.0</v>
      </c>
      <c r="S432" s="128">
        <v>0.0</v>
      </c>
      <c r="T432" s="130">
        <v>2.09916235E9</v>
      </c>
      <c r="U432" s="130">
        <v>2088718.76</v>
      </c>
      <c r="V432" s="131" t="s">
        <v>294</v>
      </c>
      <c r="W432" s="128">
        <v>2.0</v>
      </c>
      <c r="X432" s="127" t="s">
        <v>1600</v>
      </c>
      <c r="Y432" s="127" t="s">
        <v>1601</v>
      </c>
      <c r="Z432" s="127" t="s">
        <v>94</v>
      </c>
      <c r="AA432" s="127">
        <v>8.0</v>
      </c>
      <c r="AB432" s="127" t="s">
        <v>1602</v>
      </c>
      <c r="AC432" s="127" t="s">
        <v>1603</v>
      </c>
    </row>
    <row r="433">
      <c r="A433" s="132">
        <v>6548.0</v>
      </c>
      <c r="B433" s="133" t="s">
        <v>4119</v>
      </c>
      <c r="C433" s="133" t="s">
        <v>75</v>
      </c>
      <c r="D433" s="133" t="s">
        <v>4120</v>
      </c>
      <c r="E433" s="133" t="s">
        <v>4121</v>
      </c>
      <c r="F433" s="133" t="s">
        <v>3575</v>
      </c>
      <c r="G433" s="133" t="s">
        <v>4006</v>
      </c>
      <c r="H433" s="133" t="s">
        <v>81</v>
      </c>
      <c r="I433" s="133" t="s">
        <v>113</v>
      </c>
      <c r="J433" s="133" t="s">
        <v>39</v>
      </c>
      <c r="K433" s="134">
        <v>0.444716</v>
      </c>
      <c r="L433" s="135">
        <v>45652.0</v>
      </c>
      <c r="M433" s="135">
        <v>45601.0</v>
      </c>
      <c r="N433" s="135">
        <v>46017.0</v>
      </c>
      <c r="O433" s="134">
        <v>365.0</v>
      </c>
      <c r="P433" s="134">
        <v>365.0</v>
      </c>
      <c r="Q433" s="134">
        <v>1.22093039E9</v>
      </c>
      <c r="R433" s="134">
        <v>0.0</v>
      </c>
      <c r="S433" s="134">
        <v>0.0</v>
      </c>
      <c r="T433" s="136">
        <v>1.22093039E9</v>
      </c>
      <c r="U433" s="136">
        <v>1204073.36</v>
      </c>
      <c r="V433" s="137" t="s">
        <v>294</v>
      </c>
      <c r="W433" s="134">
        <v>2.0</v>
      </c>
      <c r="X433" s="133" t="s">
        <v>147</v>
      </c>
      <c r="Y433" s="133" t="s">
        <v>1601</v>
      </c>
      <c r="Z433" s="133" t="s">
        <v>39</v>
      </c>
      <c r="AA433" s="133">
        <v>4.0</v>
      </c>
      <c r="AB433" s="133" t="s">
        <v>1565</v>
      </c>
      <c r="AC433" s="133" t="s">
        <v>1603</v>
      </c>
    </row>
    <row r="434">
      <c r="A434" s="138">
        <v>6513.0</v>
      </c>
      <c r="B434" s="127" t="s">
        <v>4122</v>
      </c>
      <c r="C434" s="127" t="s">
        <v>75</v>
      </c>
      <c r="D434" s="127" t="s">
        <v>4123</v>
      </c>
      <c r="E434" s="127" t="s">
        <v>3967</v>
      </c>
      <c r="F434" s="127" t="s">
        <v>3575</v>
      </c>
      <c r="G434" s="127" t="s">
        <v>2003</v>
      </c>
      <c r="H434" s="127" t="s">
        <v>81</v>
      </c>
      <c r="I434" s="127" t="s">
        <v>581</v>
      </c>
      <c r="J434" s="127" t="s">
        <v>136</v>
      </c>
      <c r="K434" s="128">
        <v>0.24441</v>
      </c>
      <c r="L434" s="129">
        <v>45652.0</v>
      </c>
      <c r="M434" s="129">
        <v>45570.0</v>
      </c>
      <c r="N434" s="129">
        <v>45952.0</v>
      </c>
      <c r="O434" s="128">
        <v>300.0</v>
      </c>
      <c r="P434" s="128">
        <v>300.0</v>
      </c>
      <c r="Q434" s="128">
        <v>9.550998488E8</v>
      </c>
      <c r="R434" s="128">
        <v>0.0</v>
      </c>
      <c r="S434" s="128">
        <v>0.0</v>
      </c>
      <c r="T434" s="130">
        <v>9.5509984884E8</v>
      </c>
      <c r="U434" s="130">
        <v>960865.04</v>
      </c>
      <c r="V434" s="131" t="s">
        <v>294</v>
      </c>
      <c r="W434" s="128">
        <v>2.0</v>
      </c>
      <c r="X434" s="127" t="s">
        <v>1600</v>
      </c>
      <c r="Y434" s="127" t="s">
        <v>1601</v>
      </c>
      <c r="Z434" s="127" t="s">
        <v>1839</v>
      </c>
      <c r="AA434" s="127">
        <v>17.0</v>
      </c>
      <c r="AB434" s="127" t="s">
        <v>1602</v>
      </c>
      <c r="AC434" s="127" t="s">
        <v>1603</v>
      </c>
    </row>
    <row r="435">
      <c r="A435" s="132">
        <v>6496.0</v>
      </c>
      <c r="B435" s="133" t="s">
        <v>4124</v>
      </c>
      <c r="C435" s="133" t="s">
        <v>75</v>
      </c>
      <c r="D435" s="133" t="s">
        <v>4125</v>
      </c>
      <c r="E435" s="133" t="s">
        <v>3967</v>
      </c>
      <c r="F435" s="133" t="s">
        <v>3575</v>
      </c>
      <c r="G435" s="133" t="s">
        <v>4015</v>
      </c>
      <c r="H435" s="133" t="s">
        <v>81</v>
      </c>
      <c r="I435" s="133" t="s">
        <v>188</v>
      </c>
      <c r="J435" s="133" t="s">
        <v>171</v>
      </c>
      <c r="K435" s="134">
        <v>0.144954</v>
      </c>
      <c r="L435" s="135">
        <v>45653.0</v>
      </c>
      <c r="M435" s="135">
        <v>45595.0</v>
      </c>
      <c r="N435" s="135">
        <v>46018.0</v>
      </c>
      <c r="O435" s="134">
        <v>365.0</v>
      </c>
      <c r="P435" s="134">
        <v>365.0</v>
      </c>
      <c r="Q435" s="134">
        <v>4.057706306E9</v>
      </c>
      <c r="R435" s="134">
        <v>0.0</v>
      </c>
      <c r="S435" s="134">
        <v>0.0</v>
      </c>
      <c r="T435" s="136">
        <v>4.05770630621E9</v>
      </c>
      <c r="U435" s="136">
        <v>4019520.86</v>
      </c>
      <c r="V435" s="137" t="s">
        <v>294</v>
      </c>
      <c r="W435" s="134">
        <v>2.0</v>
      </c>
      <c r="X435" s="133" t="s">
        <v>1600</v>
      </c>
      <c r="Y435" s="133" t="s">
        <v>1601</v>
      </c>
      <c r="Z435" s="133" t="s">
        <v>1674</v>
      </c>
      <c r="AA435" s="133">
        <v>26.0</v>
      </c>
      <c r="AB435" s="133" t="s">
        <v>1602</v>
      </c>
      <c r="AC435" s="133" t="s">
        <v>1603</v>
      </c>
    </row>
    <row r="436">
      <c r="A436" s="126">
        <v>6500.0</v>
      </c>
      <c r="B436" s="127" t="s">
        <v>4126</v>
      </c>
      <c r="C436" s="127" t="s">
        <v>75</v>
      </c>
      <c r="D436" s="127" t="s">
        <v>4127</v>
      </c>
      <c r="E436" s="127" t="s">
        <v>3967</v>
      </c>
      <c r="F436" s="127" t="s">
        <v>3575</v>
      </c>
      <c r="G436" s="127" t="s">
        <v>3994</v>
      </c>
      <c r="H436" s="127" t="s">
        <v>81</v>
      </c>
      <c r="I436" s="127" t="s">
        <v>136</v>
      </c>
      <c r="J436" s="127" t="s">
        <v>136</v>
      </c>
      <c r="K436" s="128">
        <v>0.373406</v>
      </c>
      <c r="L436" s="129">
        <v>45656.0</v>
      </c>
      <c r="M436" s="129">
        <v>45588.0</v>
      </c>
      <c r="N436" s="129">
        <v>46021.0</v>
      </c>
      <c r="O436" s="128">
        <v>365.0</v>
      </c>
      <c r="P436" s="128">
        <v>365.0</v>
      </c>
      <c r="Q436" s="128">
        <v>1.935939481E9</v>
      </c>
      <c r="R436" s="128">
        <v>0.0</v>
      </c>
      <c r="S436" s="128">
        <v>0.0</v>
      </c>
      <c r="T436" s="130">
        <v>1.93593948103E9</v>
      </c>
      <c r="U436" s="130">
        <v>1926307.94</v>
      </c>
      <c r="V436" s="131" t="s">
        <v>294</v>
      </c>
      <c r="W436" s="128">
        <v>2.0</v>
      </c>
      <c r="X436" s="127" t="s">
        <v>1600</v>
      </c>
      <c r="Y436" s="127" t="s">
        <v>1601</v>
      </c>
      <c r="Z436" s="127" t="s">
        <v>1839</v>
      </c>
      <c r="AA436" s="127">
        <v>17.0</v>
      </c>
      <c r="AB436" s="127" t="s">
        <v>1602</v>
      </c>
      <c r="AC436" s="127" t="s">
        <v>1603</v>
      </c>
    </row>
    <row r="437">
      <c r="A437" s="126">
        <v>7266.0</v>
      </c>
      <c r="B437" s="133" t="s">
        <v>4128</v>
      </c>
      <c r="C437" s="133" t="s">
        <v>75</v>
      </c>
      <c r="D437" s="133" t="s">
        <v>4129</v>
      </c>
      <c r="E437" s="133" t="s">
        <v>3967</v>
      </c>
      <c r="F437" s="133" t="s">
        <v>3575</v>
      </c>
      <c r="G437" s="133" t="s">
        <v>4130</v>
      </c>
      <c r="H437" s="133" t="s">
        <v>81</v>
      </c>
      <c r="I437" s="133" t="s">
        <v>4131</v>
      </c>
      <c r="J437" s="133" t="s">
        <v>39</v>
      </c>
      <c r="K437" s="134">
        <v>0.039877</v>
      </c>
      <c r="L437" s="135">
        <v>45656.0</v>
      </c>
      <c r="M437" s="135">
        <v>45616.0</v>
      </c>
      <c r="N437" s="135">
        <v>46021.0</v>
      </c>
      <c r="O437" s="134">
        <v>365.0</v>
      </c>
      <c r="P437" s="134">
        <v>365.0</v>
      </c>
      <c r="Q437" s="134">
        <v>1.387326004E9</v>
      </c>
      <c r="R437" s="134">
        <v>0.0</v>
      </c>
      <c r="S437" s="134">
        <v>1.110614317E8</v>
      </c>
      <c r="T437" s="136">
        <v>1.49838743548E9</v>
      </c>
      <c r="U437" s="136">
        <v>1356134.9</v>
      </c>
      <c r="V437" s="137" t="s">
        <v>294</v>
      </c>
      <c r="W437" s="134">
        <v>2.0</v>
      </c>
      <c r="X437" s="133" t="s">
        <v>147</v>
      </c>
      <c r="Y437" s="133" t="s">
        <v>1601</v>
      </c>
      <c r="Z437" s="133" t="s">
        <v>39</v>
      </c>
      <c r="AA437" s="133">
        <v>4.0</v>
      </c>
      <c r="AB437" s="133" t="s">
        <v>1565</v>
      </c>
      <c r="AC437" s="133" t="s">
        <v>1603</v>
      </c>
    </row>
    <row r="438">
      <c r="A438" s="138">
        <v>6547.0</v>
      </c>
      <c r="B438" s="127" t="s">
        <v>4132</v>
      </c>
      <c r="C438" s="127" t="s">
        <v>75</v>
      </c>
      <c r="D438" s="127" t="s">
        <v>4133</v>
      </c>
      <c r="E438" s="127" t="s">
        <v>4134</v>
      </c>
      <c r="F438" s="127" t="s">
        <v>3575</v>
      </c>
      <c r="G438" s="127" t="s">
        <v>4006</v>
      </c>
      <c r="H438" s="127" t="s">
        <v>81</v>
      </c>
      <c r="I438" s="127" t="s">
        <v>219</v>
      </c>
      <c r="J438" s="127" t="s">
        <v>136</v>
      </c>
      <c r="K438" s="128">
        <v>0.156753</v>
      </c>
      <c r="L438" s="129">
        <v>45656.0</v>
      </c>
      <c r="M438" s="129">
        <v>45602.0</v>
      </c>
      <c r="N438" s="129">
        <v>45956.0</v>
      </c>
      <c r="O438" s="128">
        <v>300.0</v>
      </c>
      <c r="P438" s="128">
        <v>300.0</v>
      </c>
      <c r="Q438" s="128">
        <v>1.491133838E9</v>
      </c>
      <c r="R438" s="128">
        <v>0.0</v>
      </c>
      <c r="S438" s="128">
        <v>0.0</v>
      </c>
      <c r="T438" s="130">
        <v>1.4911338375E9</v>
      </c>
      <c r="U438" s="130">
        <v>1466929.5</v>
      </c>
      <c r="V438" s="131" t="s">
        <v>294</v>
      </c>
      <c r="W438" s="128">
        <v>2.0</v>
      </c>
      <c r="X438" s="127" t="s">
        <v>1600</v>
      </c>
      <c r="Y438" s="127" t="s">
        <v>1601</v>
      </c>
      <c r="Z438" s="127" t="s">
        <v>1839</v>
      </c>
      <c r="AA438" s="127">
        <v>17.0</v>
      </c>
      <c r="AB438" s="127" t="s">
        <v>1602</v>
      </c>
      <c r="AC438" s="127" t="s">
        <v>1603</v>
      </c>
    </row>
    <row r="439">
      <c r="A439" s="126">
        <v>6502.0</v>
      </c>
      <c r="B439" s="133" t="s">
        <v>4135</v>
      </c>
      <c r="C439" s="133" t="s">
        <v>75</v>
      </c>
      <c r="D439" s="133" t="s">
        <v>4136</v>
      </c>
      <c r="E439" s="133" t="s">
        <v>3967</v>
      </c>
      <c r="F439" s="133" t="s">
        <v>3575</v>
      </c>
      <c r="G439" s="133" t="s">
        <v>2003</v>
      </c>
      <c r="H439" s="133" t="s">
        <v>81</v>
      </c>
      <c r="I439" s="133" t="s">
        <v>125</v>
      </c>
      <c r="J439" s="133" t="s">
        <v>125</v>
      </c>
      <c r="K439" s="134">
        <v>0.35882</v>
      </c>
      <c r="L439" s="135">
        <v>45659.0</v>
      </c>
      <c r="M439" s="135">
        <v>45586.0</v>
      </c>
      <c r="N439" s="135">
        <v>46024.0</v>
      </c>
      <c r="O439" s="134">
        <v>365.0</v>
      </c>
      <c r="P439" s="134">
        <v>365.0</v>
      </c>
      <c r="Q439" s="134">
        <v>2.233238032E9</v>
      </c>
      <c r="R439" s="134">
        <v>0.0</v>
      </c>
      <c r="S439" s="134">
        <v>0.0</v>
      </c>
      <c r="T439" s="136">
        <v>2.23323803182E9</v>
      </c>
      <c r="U439" s="136">
        <v>2223233.48</v>
      </c>
      <c r="V439" s="137" t="s">
        <v>294</v>
      </c>
      <c r="W439" s="134">
        <v>2.0</v>
      </c>
      <c r="X439" s="133" t="s">
        <v>1600</v>
      </c>
      <c r="Y439" s="133" t="s">
        <v>1601</v>
      </c>
      <c r="Z439" s="133" t="s">
        <v>1646</v>
      </c>
      <c r="AA439" s="133">
        <v>14.0</v>
      </c>
      <c r="AB439" s="133" t="s">
        <v>1602</v>
      </c>
      <c r="AC439" s="133" t="s">
        <v>1603</v>
      </c>
    </row>
    <row r="440">
      <c r="A440" s="138">
        <v>6505.0</v>
      </c>
      <c r="B440" s="127" t="s">
        <v>4137</v>
      </c>
      <c r="C440" s="127" t="s">
        <v>75</v>
      </c>
      <c r="D440" s="127" t="s">
        <v>4138</v>
      </c>
      <c r="E440" s="127" t="s">
        <v>3967</v>
      </c>
      <c r="F440" s="127" t="s">
        <v>3575</v>
      </c>
      <c r="G440" s="127" t="s">
        <v>4056</v>
      </c>
      <c r="H440" s="127" t="s">
        <v>81</v>
      </c>
      <c r="I440" s="127" t="s">
        <v>363</v>
      </c>
      <c r="J440" s="127" t="s">
        <v>58</v>
      </c>
      <c r="K440" s="128">
        <v>0.193985</v>
      </c>
      <c r="L440" s="129">
        <v>45663.0</v>
      </c>
      <c r="M440" s="129">
        <v>45593.0</v>
      </c>
      <c r="N440" s="129">
        <v>46028.0</v>
      </c>
      <c r="O440" s="128">
        <v>365.0</v>
      </c>
      <c r="P440" s="128">
        <v>365.0</v>
      </c>
      <c r="Q440" s="128">
        <v>1.013877956E9</v>
      </c>
      <c r="R440" s="128">
        <v>0.0</v>
      </c>
      <c r="S440" s="128">
        <v>8.325001306E7</v>
      </c>
      <c r="T440" s="130">
        <v>1.09712796923E9</v>
      </c>
      <c r="U440" s="130">
        <v>1005831.31</v>
      </c>
      <c r="V440" s="131" t="s">
        <v>294</v>
      </c>
      <c r="W440" s="128">
        <v>2.0</v>
      </c>
      <c r="X440" s="127" t="s">
        <v>1600</v>
      </c>
      <c r="Y440" s="127" t="s">
        <v>1601</v>
      </c>
      <c r="Z440" s="127" t="s">
        <v>58</v>
      </c>
      <c r="AA440" s="127">
        <v>1.0</v>
      </c>
      <c r="AB440" s="127" t="s">
        <v>1602</v>
      </c>
      <c r="AC440" s="127" t="s">
        <v>1603</v>
      </c>
    </row>
    <row r="441">
      <c r="A441" s="132">
        <v>7250.0</v>
      </c>
      <c r="B441" s="133" t="s">
        <v>4139</v>
      </c>
      <c r="C441" s="133" t="s">
        <v>75</v>
      </c>
      <c r="D441" s="133" t="s">
        <v>4140</v>
      </c>
      <c r="E441" s="133" t="s">
        <v>3574</v>
      </c>
      <c r="F441" s="133" t="s">
        <v>3575</v>
      </c>
      <c r="G441" s="133" t="s">
        <v>4141</v>
      </c>
      <c r="H441" s="133" t="s">
        <v>81</v>
      </c>
      <c r="I441" s="133" t="s">
        <v>2047</v>
      </c>
      <c r="J441" s="133" t="s">
        <v>65</v>
      </c>
      <c r="K441" s="134">
        <v>0.941922</v>
      </c>
      <c r="L441" s="135">
        <v>45664.0</v>
      </c>
      <c r="M441" s="135">
        <v>45588.0</v>
      </c>
      <c r="N441" s="135">
        <v>45814.0</v>
      </c>
      <c r="O441" s="134">
        <v>150.0</v>
      </c>
      <c r="P441" s="134">
        <v>150.0</v>
      </c>
      <c r="Q441" s="134">
        <v>1.333134829E8</v>
      </c>
      <c r="R441" s="134">
        <v>0.0</v>
      </c>
      <c r="S441" s="134">
        <v>0.0</v>
      </c>
      <c r="T441" s="136">
        <v>1.333134829E8</v>
      </c>
      <c r="U441" s="136">
        <v>132650.23</v>
      </c>
      <c r="V441" s="137" t="s">
        <v>294</v>
      </c>
      <c r="W441" s="134">
        <v>2.0</v>
      </c>
      <c r="X441" s="133" t="s">
        <v>1600</v>
      </c>
      <c r="Y441" s="133" t="s">
        <v>1601</v>
      </c>
      <c r="Z441" s="133" t="s">
        <v>1664</v>
      </c>
      <c r="AA441" s="133">
        <v>3.0</v>
      </c>
      <c r="AB441" s="133" t="s">
        <v>1602</v>
      </c>
      <c r="AC441" s="133" t="s">
        <v>1603</v>
      </c>
    </row>
    <row r="442">
      <c r="A442" s="126">
        <v>4846.0</v>
      </c>
      <c r="B442" s="127" t="s">
        <v>4142</v>
      </c>
      <c r="C442" s="127" t="s">
        <v>75</v>
      </c>
      <c r="D442" s="127" t="s">
        <v>4143</v>
      </c>
      <c r="E442" s="127" t="s">
        <v>3594</v>
      </c>
      <c r="F442" s="127" t="s">
        <v>3575</v>
      </c>
      <c r="G442" s="127" t="s">
        <v>3976</v>
      </c>
      <c r="H442" s="127" t="s">
        <v>81</v>
      </c>
      <c r="I442" s="127" t="s">
        <v>2726</v>
      </c>
      <c r="J442" s="127" t="s">
        <v>150</v>
      </c>
      <c r="K442" s="128">
        <v>0.996461</v>
      </c>
      <c r="L442" s="129">
        <v>45630.0</v>
      </c>
      <c r="M442" s="129">
        <v>45383.0</v>
      </c>
      <c r="N442" s="129">
        <v>45818.0</v>
      </c>
      <c r="O442" s="128">
        <v>188.0</v>
      </c>
      <c r="P442" s="128">
        <v>77.0</v>
      </c>
      <c r="Q442" s="128">
        <v>7.433991769E7</v>
      </c>
      <c r="R442" s="128">
        <v>0.0</v>
      </c>
      <c r="S442" s="128">
        <v>0.0</v>
      </c>
      <c r="T442" s="130">
        <v>7.433991769E7</v>
      </c>
      <c r="U442" s="130">
        <v>84862.92</v>
      </c>
      <c r="V442" s="131" t="s">
        <v>294</v>
      </c>
      <c r="W442" s="128">
        <v>2.0</v>
      </c>
      <c r="X442" s="127" t="s">
        <v>1600</v>
      </c>
      <c r="Y442" s="127" t="s">
        <v>1601</v>
      </c>
      <c r="Z442" s="127" t="s">
        <v>150</v>
      </c>
      <c r="AA442" s="127">
        <v>20.0</v>
      </c>
      <c r="AB442" s="127" t="s">
        <v>1602</v>
      </c>
      <c r="AC442" s="127" t="s">
        <v>1603</v>
      </c>
    </row>
    <row r="443">
      <c r="A443" s="132">
        <v>6506.0</v>
      </c>
      <c r="B443" s="133" t="s">
        <v>4144</v>
      </c>
      <c r="C443" s="133" t="s">
        <v>75</v>
      </c>
      <c r="D443" s="133" t="s">
        <v>4145</v>
      </c>
      <c r="E443" s="133" t="s">
        <v>3967</v>
      </c>
      <c r="F443" s="133" t="s">
        <v>3575</v>
      </c>
      <c r="G443" s="133" t="s">
        <v>4006</v>
      </c>
      <c r="H443" s="133" t="s">
        <v>81</v>
      </c>
      <c r="I443" s="133" t="s">
        <v>363</v>
      </c>
      <c r="J443" s="133" t="s">
        <v>58</v>
      </c>
      <c r="K443" s="134">
        <v>0.281752</v>
      </c>
      <c r="L443" s="135">
        <v>45673.0</v>
      </c>
      <c r="M443" s="135">
        <v>45594.0</v>
      </c>
      <c r="N443" s="135">
        <v>46038.0</v>
      </c>
      <c r="O443" s="134">
        <v>365.0</v>
      </c>
      <c r="P443" s="134">
        <v>365.0</v>
      </c>
      <c r="Q443" s="134">
        <v>1.19975229E9</v>
      </c>
      <c r="R443" s="134">
        <v>0.0</v>
      </c>
      <c r="S443" s="134">
        <v>1.009973216E8</v>
      </c>
      <c r="T443" s="136">
        <v>1.30074961162E9</v>
      </c>
      <c r="U443" s="136">
        <v>1189640.35</v>
      </c>
      <c r="V443" s="137" t="s">
        <v>294</v>
      </c>
      <c r="W443" s="134">
        <v>2.0</v>
      </c>
      <c r="X443" s="133" t="s">
        <v>1600</v>
      </c>
      <c r="Y443" s="133" t="s">
        <v>1601</v>
      </c>
      <c r="Z443" s="133" t="s">
        <v>58</v>
      </c>
      <c r="AA443" s="133">
        <v>1.0</v>
      </c>
      <c r="AB443" s="133" t="s">
        <v>1602</v>
      </c>
      <c r="AC443" s="133" t="s">
        <v>1603</v>
      </c>
    </row>
    <row r="444">
      <c r="A444" s="126">
        <v>6510.0</v>
      </c>
      <c r="B444" s="127" t="s">
        <v>4146</v>
      </c>
      <c r="C444" s="127" t="s">
        <v>75</v>
      </c>
      <c r="D444" s="127" t="s">
        <v>4147</v>
      </c>
      <c r="E444" s="127" t="s">
        <v>3967</v>
      </c>
      <c r="F444" s="127" t="s">
        <v>3575</v>
      </c>
      <c r="G444" s="127" t="s">
        <v>4076</v>
      </c>
      <c r="H444" s="127" t="s">
        <v>81</v>
      </c>
      <c r="I444" s="127" t="s">
        <v>224</v>
      </c>
      <c r="J444" s="127" t="s">
        <v>39</v>
      </c>
      <c r="K444" s="128">
        <v>0.29836</v>
      </c>
      <c r="L444" s="129">
        <v>45674.0</v>
      </c>
      <c r="M444" s="129">
        <v>45603.0</v>
      </c>
      <c r="N444" s="129">
        <v>46039.0</v>
      </c>
      <c r="O444" s="128">
        <v>365.0</v>
      </c>
      <c r="P444" s="128">
        <v>365.0</v>
      </c>
      <c r="Q444" s="128">
        <v>1.499875175E9</v>
      </c>
      <c r="R444" s="128">
        <v>0.0</v>
      </c>
      <c r="S444" s="128">
        <v>1.062632334E8</v>
      </c>
      <c r="T444" s="130">
        <v>1.60613840861E9</v>
      </c>
      <c r="U444" s="130">
        <v>1478437.83</v>
      </c>
      <c r="V444" s="131" t="s">
        <v>294</v>
      </c>
      <c r="W444" s="128">
        <v>2.0</v>
      </c>
      <c r="X444" s="127" t="s">
        <v>147</v>
      </c>
      <c r="Y444" s="127" t="s">
        <v>1601</v>
      </c>
      <c r="Z444" s="127" t="s">
        <v>39</v>
      </c>
      <c r="AA444" s="127">
        <v>4.0</v>
      </c>
      <c r="AB444" s="127" t="s">
        <v>1565</v>
      </c>
      <c r="AC444" s="127" t="s">
        <v>1603</v>
      </c>
    </row>
    <row r="445">
      <c r="A445" s="126">
        <v>4841.0</v>
      </c>
      <c r="B445" s="133" t="s">
        <v>4148</v>
      </c>
      <c r="C445" s="133" t="s">
        <v>75</v>
      </c>
      <c r="D445" s="133" t="s">
        <v>4149</v>
      </c>
      <c r="E445" s="133" t="s">
        <v>3887</v>
      </c>
      <c r="F445" s="133" t="s">
        <v>3575</v>
      </c>
      <c r="G445" s="133" t="s">
        <v>3906</v>
      </c>
      <c r="H445" s="133" t="s">
        <v>86</v>
      </c>
      <c r="I445" s="133" t="s">
        <v>552</v>
      </c>
      <c r="J445" s="133" t="s">
        <v>82</v>
      </c>
      <c r="K445" s="134">
        <v>1.0</v>
      </c>
      <c r="L445" s="135">
        <v>45673.0</v>
      </c>
      <c r="M445" s="135">
        <v>44426.0</v>
      </c>
      <c r="N445" s="135">
        <v>45703.0</v>
      </c>
      <c r="O445" s="134">
        <v>30.0</v>
      </c>
      <c r="P445" s="134">
        <v>30.0</v>
      </c>
      <c r="Q445" s="134">
        <v>9822766.34</v>
      </c>
      <c r="R445" s="134">
        <v>0.0</v>
      </c>
      <c r="S445" s="134">
        <v>0.0</v>
      </c>
      <c r="T445" s="136">
        <v>9822766.34</v>
      </c>
      <c r="U445" s="136">
        <v>96066.17</v>
      </c>
      <c r="V445" s="137" t="s">
        <v>294</v>
      </c>
      <c r="W445" s="134">
        <v>1.0</v>
      </c>
      <c r="X445" s="133" t="s">
        <v>1600</v>
      </c>
      <c r="Y445" s="133" t="s">
        <v>1601</v>
      </c>
      <c r="Z445" s="133" t="s">
        <v>1747</v>
      </c>
      <c r="AA445" s="133">
        <v>6.0</v>
      </c>
      <c r="AB445" s="133" t="s">
        <v>1602</v>
      </c>
      <c r="AC445" s="133" t="s">
        <v>86</v>
      </c>
    </row>
    <row r="446">
      <c r="A446" s="126">
        <v>412.0</v>
      </c>
      <c r="B446" s="127" t="s">
        <v>4150</v>
      </c>
      <c r="C446" s="127" t="s">
        <v>49</v>
      </c>
      <c r="D446" s="127" t="s">
        <v>4151</v>
      </c>
      <c r="E446" s="127" t="s">
        <v>4094</v>
      </c>
      <c r="F446" s="127" t="s">
        <v>1581</v>
      </c>
      <c r="G446" s="127" t="s">
        <v>1669</v>
      </c>
      <c r="H446" s="127" t="s">
        <v>81</v>
      </c>
      <c r="I446" s="127" t="s">
        <v>440</v>
      </c>
      <c r="J446" s="127" t="s">
        <v>90</v>
      </c>
      <c r="K446" s="128">
        <v>0.221246</v>
      </c>
      <c r="L446" s="129">
        <v>45672.0</v>
      </c>
      <c r="M446" s="129">
        <v>45604.0</v>
      </c>
      <c r="N446" s="129">
        <v>46212.0</v>
      </c>
      <c r="O446" s="128">
        <v>540.0</v>
      </c>
      <c r="P446" s="128">
        <v>540.0</v>
      </c>
      <c r="Q446" s="128">
        <v>9.057477827E9</v>
      </c>
      <c r="R446" s="128">
        <v>0.0</v>
      </c>
      <c r="S446" s="128">
        <v>0.0</v>
      </c>
      <c r="T446" s="130">
        <v>9.05747782729E9</v>
      </c>
      <c r="U446" s="130">
        <v>8910455.31</v>
      </c>
      <c r="V446" s="131" t="s">
        <v>294</v>
      </c>
      <c r="W446" s="128">
        <v>2.0</v>
      </c>
      <c r="X446" s="127" t="s">
        <v>147</v>
      </c>
      <c r="Y446" s="127" t="s">
        <v>1601</v>
      </c>
      <c r="Z446" s="127" t="s">
        <v>90</v>
      </c>
      <c r="AA446" s="127">
        <v>11.0</v>
      </c>
      <c r="AB446" s="127" t="s">
        <v>1565</v>
      </c>
      <c r="AC446" s="127" t="s">
        <v>1603</v>
      </c>
    </row>
    <row r="447">
      <c r="A447" s="132">
        <v>6511.0</v>
      </c>
      <c r="B447" s="133" t="s">
        <v>4152</v>
      </c>
      <c r="C447" s="133" t="s">
        <v>75</v>
      </c>
      <c r="D447" s="133" t="s">
        <v>4153</v>
      </c>
      <c r="E447" s="133" t="s">
        <v>3967</v>
      </c>
      <c r="F447" s="133" t="s">
        <v>3575</v>
      </c>
      <c r="G447" s="133" t="s">
        <v>4076</v>
      </c>
      <c r="H447" s="133" t="s">
        <v>81</v>
      </c>
      <c r="I447" s="133" t="s">
        <v>573</v>
      </c>
      <c r="J447" s="133" t="s">
        <v>150</v>
      </c>
      <c r="K447" s="134">
        <v>0.360848</v>
      </c>
      <c r="L447" s="135">
        <v>45691.0</v>
      </c>
      <c r="M447" s="135">
        <v>45602.0</v>
      </c>
      <c r="N447" s="135">
        <v>46056.0</v>
      </c>
      <c r="O447" s="134">
        <v>365.0</v>
      </c>
      <c r="P447" s="134">
        <v>365.0</v>
      </c>
      <c r="Q447" s="134">
        <v>1.408008094E9</v>
      </c>
      <c r="R447" s="134">
        <v>0.0</v>
      </c>
      <c r="S447" s="134">
        <v>0.0</v>
      </c>
      <c r="T447" s="136">
        <v>1.4080080935E9</v>
      </c>
      <c r="U447" s="136">
        <v>1385153.07</v>
      </c>
      <c r="V447" s="137" t="s">
        <v>294</v>
      </c>
      <c r="W447" s="134">
        <v>2.0</v>
      </c>
      <c r="X447" s="133" t="s">
        <v>1600</v>
      </c>
      <c r="Y447" s="133" t="s">
        <v>1601</v>
      </c>
      <c r="Z447" s="133" t="s">
        <v>150</v>
      </c>
      <c r="AA447" s="133">
        <v>20.0</v>
      </c>
      <c r="AB447" s="133" t="s">
        <v>1602</v>
      </c>
      <c r="AC447" s="133" t="s">
        <v>1603</v>
      </c>
    </row>
    <row r="448">
      <c r="A448" s="138">
        <v>7265.0</v>
      </c>
      <c r="B448" s="127" t="s">
        <v>4154</v>
      </c>
      <c r="C448" s="127" t="s">
        <v>75</v>
      </c>
      <c r="D448" s="127" t="s">
        <v>4155</v>
      </c>
      <c r="E448" s="127" t="s">
        <v>3967</v>
      </c>
      <c r="F448" s="127" t="s">
        <v>3575</v>
      </c>
      <c r="G448" s="127" t="s">
        <v>2003</v>
      </c>
      <c r="H448" s="127" t="s">
        <v>81</v>
      </c>
      <c r="I448" s="127" t="s">
        <v>579</v>
      </c>
      <c r="J448" s="127" t="s">
        <v>161</v>
      </c>
      <c r="K448" s="128">
        <v>0.050745</v>
      </c>
      <c r="L448" s="129">
        <v>45705.0</v>
      </c>
      <c r="M448" s="129">
        <v>45601.0</v>
      </c>
      <c r="N448" s="129">
        <v>46005.0</v>
      </c>
      <c r="O448" s="128">
        <v>300.0</v>
      </c>
      <c r="P448" s="128">
        <v>300.0</v>
      </c>
      <c r="Q448" s="128">
        <v>1.499006813E9</v>
      </c>
      <c r="R448" s="128">
        <v>0.0</v>
      </c>
      <c r="S448" s="128">
        <v>0.0</v>
      </c>
      <c r="T448" s="130">
        <v>1.49900681266E9</v>
      </c>
      <c r="U448" s="130">
        <v>1478310.47</v>
      </c>
      <c r="V448" s="131" t="s">
        <v>294</v>
      </c>
      <c r="W448" s="128">
        <v>2.0</v>
      </c>
      <c r="X448" s="127" t="s">
        <v>1600</v>
      </c>
      <c r="Y448" s="127" t="s">
        <v>1601</v>
      </c>
      <c r="Z448" s="127" t="s">
        <v>161</v>
      </c>
      <c r="AA448" s="127">
        <v>23.0</v>
      </c>
      <c r="AB448" s="127" t="s">
        <v>1602</v>
      </c>
      <c r="AC448" s="127" t="s">
        <v>1603</v>
      </c>
    </row>
    <row r="449">
      <c r="A449" s="132">
        <v>6514.0</v>
      </c>
      <c r="B449" s="133" t="s">
        <v>4156</v>
      </c>
      <c r="C449" s="133" t="s">
        <v>75</v>
      </c>
      <c r="D449" s="133" t="s">
        <v>4157</v>
      </c>
      <c r="E449" s="133" t="s">
        <v>3967</v>
      </c>
      <c r="F449" s="133" t="s">
        <v>3575</v>
      </c>
      <c r="G449" s="133" t="s">
        <v>4158</v>
      </c>
      <c r="H449" s="133" t="s">
        <v>81</v>
      </c>
      <c r="I449" s="133" t="s">
        <v>557</v>
      </c>
      <c r="J449" s="133" t="s">
        <v>136</v>
      </c>
      <c r="K449" s="134">
        <v>0.110719</v>
      </c>
      <c r="L449" s="135">
        <v>45712.0</v>
      </c>
      <c r="M449" s="135">
        <v>45602.0</v>
      </c>
      <c r="N449" s="135">
        <v>45952.0</v>
      </c>
      <c r="O449" s="134">
        <v>240.0</v>
      </c>
      <c r="P449" s="134">
        <v>240.0</v>
      </c>
      <c r="Q449" s="134">
        <v>9.668587032E8</v>
      </c>
      <c r="R449" s="134">
        <v>0.0</v>
      </c>
      <c r="S449" s="134">
        <v>0.0</v>
      </c>
      <c r="T449" s="136">
        <v>9.6685870318E8</v>
      </c>
      <c r="U449" s="136">
        <v>951164.49</v>
      </c>
      <c r="V449" s="137" t="s">
        <v>294</v>
      </c>
      <c r="W449" s="134">
        <v>2.0</v>
      </c>
      <c r="X449" s="133" t="s">
        <v>1600</v>
      </c>
      <c r="Y449" s="133" t="s">
        <v>1601</v>
      </c>
      <c r="Z449" s="133" t="s">
        <v>1839</v>
      </c>
      <c r="AA449" s="133">
        <v>17.0</v>
      </c>
      <c r="AB449" s="133" t="s">
        <v>1602</v>
      </c>
      <c r="AC449" s="133" t="s">
        <v>1603</v>
      </c>
    </row>
    <row r="450">
      <c r="A450" s="138">
        <v>6151.0</v>
      </c>
      <c r="B450" s="127" t="s">
        <v>4159</v>
      </c>
      <c r="C450" s="127" t="s">
        <v>75</v>
      </c>
      <c r="D450" s="127" t="s">
        <v>4160</v>
      </c>
      <c r="E450" s="127" t="s">
        <v>3594</v>
      </c>
      <c r="F450" s="127" t="s">
        <v>3575</v>
      </c>
      <c r="G450" s="127" t="s">
        <v>3940</v>
      </c>
      <c r="H450" s="127" t="s">
        <v>81</v>
      </c>
      <c r="I450" s="127" t="s">
        <v>396</v>
      </c>
      <c r="J450" s="127" t="s">
        <v>115</v>
      </c>
      <c r="K450" s="128">
        <v>0.0</v>
      </c>
      <c r="L450" s="129">
        <v>45770.0</v>
      </c>
      <c r="M450" s="129">
        <v>45617.0</v>
      </c>
      <c r="N450" s="129">
        <v>46040.0</v>
      </c>
      <c r="O450" s="128">
        <v>270.0</v>
      </c>
      <c r="P450" s="128">
        <v>270.0</v>
      </c>
      <c r="Q450" s="128">
        <v>2.106602762E9</v>
      </c>
      <c r="R450" s="128">
        <v>0.0</v>
      </c>
      <c r="S450" s="128">
        <v>0.0</v>
      </c>
      <c r="T450" s="130">
        <v>2.10660276166E9</v>
      </c>
      <c r="U450" s="130">
        <v>2056225.24</v>
      </c>
      <c r="V450" s="131" t="s">
        <v>294</v>
      </c>
      <c r="W450" s="128">
        <v>2.0</v>
      </c>
      <c r="X450" s="127" t="s">
        <v>92</v>
      </c>
      <c r="Y450" s="127" t="s">
        <v>1601</v>
      </c>
      <c r="Z450" s="127" t="s">
        <v>112</v>
      </c>
      <c r="AA450" s="127">
        <v>12.0</v>
      </c>
      <c r="AB450" s="127" t="s">
        <v>1565</v>
      </c>
      <c r="AC450" s="127" t="s">
        <v>1603</v>
      </c>
    </row>
    <row r="451">
      <c r="A451" s="126">
        <v>7266.0</v>
      </c>
      <c r="B451" s="133" t="s">
        <v>884</v>
      </c>
      <c r="C451" s="133" t="s">
        <v>75</v>
      </c>
      <c r="D451" s="133" t="s">
        <v>4161</v>
      </c>
      <c r="E451" s="133" t="s">
        <v>3574</v>
      </c>
      <c r="F451" s="133" t="s">
        <v>3575</v>
      </c>
      <c r="G451" s="133" t="s">
        <v>4158</v>
      </c>
      <c r="H451" s="133" t="s">
        <v>81</v>
      </c>
      <c r="I451" s="133" t="s">
        <v>39</v>
      </c>
      <c r="J451" s="133" t="s">
        <v>39</v>
      </c>
      <c r="K451" s="134">
        <v>0.0</v>
      </c>
      <c r="L451" s="135">
        <v>45784.0</v>
      </c>
      <c r="M451" s="135">
        <v>45673.0</v>
      </c>
      <c r="N451" s="135">
        <v>45964.0</v>
      </c>
      <c r="O451" s="134">
        <v>180.0</v>
      </c>
      <c r="P451" s="134">
        <v>180.0</v>
      </c>
      <c r="Q451" s="134">
        <v>1.003192846E9</v>
      </c>
      <c r="R451" s="134">
        <v>0.0</v>
      </c>
      <c r="S451" s="134">
        <v>0.0</v>
      </c>
      <c r="T451" s="136">
        <v>1.00319284557E9</v>
      </c>
      <c r="U451" s="136">
        <v>944626.03</v>
      </c>
      <c r="V451" s="137" t="s">
        <v>294</v>
      </c>
      <c r="W451" s="134">
        <v>2.0</v>
      </c>
      <c r="X451" s="133" t="s">
        <v>147</v>
      </c>
      <c r="Y451" s="133" t="s">
        <v>1601</v>
      </c>
      <c r="Z451" s="133" t="s">
        <v>39</v>
      </c>
      <c r="AA451" s="133">
        <v>4.0</v>
      </c>
      <c r="AB451" s="133" t="s">
        <v>1565</v>
      </c>
      <c r="AC451" s="133" t="s">
        <v>1603</v>
      </c>
    </row>
    <row r="452">
      <c r="A452" s="138">
        <v>7702.0</v>
      </c>
      <c r="B452" s="127" t="s">
        <v>4162</v>
      </c>
      <c r="C452" s="127" t="s">
        <v>75</v>
      </c>
      <c r="D452" s="127" t="s">
        <v>4163</v>
      </c>
      <c r="E452" s="127" t="s">
        <v>3970</v>
      </c>
      <c r="F452" s="127" t="s">
        <v>3575</v>
      </c>
      <c r="G452" s="127" t="s">
        <v>1584</v>
      </c>
      <c r="H452" s="127" t="s">
        <v>81</v>
      </c>
      <c r="I452" s="127" t="s">
        <v>363</v>
      </c>
      <c r="J452" s="127" t="s">
        <v>58</v>
      </c>
      <c r="K452" s="128">
        <v>0.0</v>
      </c>
      <c r="L452" s="129">
        <v>45783.0</v>
      </c>
      <c r="M452" s="129">
        <v>45671.0</v>
      </c>
      <c r="N452" s="129">
        <v>46148.0</v>
      </c>
      <c r="O452" s="128">
        <v>365.0</v>
      </c>
      <c r="P452" s="128">
        <v>365.0</v>
      </c>
      <c r="Q452" s="128">
        <v>4.438971379E9</v>
      </c>
      <c r="R452" s="128">
        <v>0.0</v>
      </c>
      <c r="S452" s="128">
        <v>0.0</v>
      </c>
      <c r="T452" s="130">
        <v>4.43897137898E9</v>
      </c>
      <c r="U452" s="130">
        <v>4185734.45</v>
      </c>
      <c r="V452" s="131" t="s">
        <v>294</v>
      </c>
      <c r="W452" s="128">
        <v>2.0</v>
      </c>
      <c r="X452" s="127" t="s">
        <v>1600</v>
      </c>
      <c r="Y452" s="127" t="s">
        <v>1601</v>
      </c>
      <c r="Z452" s="127" t="s">
        <v>58</v>
      </c>
      <c r="AA452" s="127">
        <v>1.0</v>
      </c>
      <c r="AB452" s="127" t="s">
        <v>1602</v>
      </c>
      <c r="AC452" s="127" t="s">
        <v>1603</v>
      </c>
    </row>
  </sheetData>
  <autoFilter ref="$A$1:$AE$452"/>
  <mergeCells count="120">
    <mergeCell ref="D53:E53"/>
    <mergeCell ref="I131:J131"/>
    <mergeCell ref="F185:G185"/>
    <mergeCell ref="F186:G186"/>
    <mergeCell ref="F187:G187"/>
    <mergeCell ref="F188:G188"/>
    <mergeCell ref="F189:G189"/>
    <mergeCell ref="F190:G190"/>
    <mergeCell ref="F191:G191"/>
    <mergeCell ref="F192:G192"/>
    <mergeCell ref="F193:G193"/>
    <mergeCell ref="F194:G194"/>
    <mergeCell ref="F195:G195"/>
    <mergeCell ref="F196:G196"/>
    <mergeCell ref="F197:G197"/>
    <mergeCell ref="F198:G198"/>
    <mergeCell ref="F199:G199"/>
    <mergeCell ref="F200:G200"/>
    <mergeCell ref="F201:G201"/>
    <mergeCell ref="F202:G202"/>
    <mergeCell ref="F203:G203"/>
    <mergeCell ref="F204:G204"/>
    <mergeCell ref="F205:G205"/>
    <mergeCell ref="F206:G206"/>
    <mergeCell ref="F207:G207"/>
    <mergeCell ref="F208:G208"/>
    <mergeCell ref="F209:G209"/>
    <mergeCell ref="F210:G210"/>
    <mergeCell ref="F211:G211"/>
    <mergeCell ref="F212:G212"/>
    <mergeCell ref="F213:G213"/>
    <mergeCell ref="F214:G214"/>
    <mergeCell ref="F215:G215"/>
    <mergeCell ref="F216:G216"/>
    <mergeCell ref="F222:G222"/>
    <mergeCell ref="F223:G223"/>
    <mergeCell ref="F224:G224"/>
    <mergeCell ref="F225:G225"/>
    <mergeCell ref="F226:G226"/>
    <mergeCell ref="F227:G227"/>
    <mergeCell ref="F228:G228"/>
    <mergeCell ref="F229:G229"/>
    <mergeCell ref="F230:G230"/>
    <mergeCell ref="F231:G231"/>
    <mergeCell ref="F232:G232"/>
    <mergeCell ref="F233:G233"/>
    <mergeCell ref="F234:G234"/>
    <mergeCell ref="F235:G235"/>
    <mergeCell ref="F236:G236"/>
    <mergeCell ref="F314:G314"/>
    <mergeCell ref="F315:G315"/>
    <mergeCell ref="F316:G316"/>
    <mergeCell ref="F317:G317"/>
    <mergeCell ref="F318:G318"/>
    <mergeCell ref="F319:G319"/>
    <mergeCell ref="F320:G320"/>
    <mergeCell ref="F328:G328"/>
    <mergeCell ref="F329:G329"/>
    <mergeCell ref="F330:G330"/>
    <mergeCell ref="F332:G332"/>
    <mergeCell ref="F333:G333"/>
    <mergeCell ref="F334:G334"/>
    <mergeCell ref="F335:G335"/>
    <mergeCell ref="F336:G336"/>
    <mergeCell ref="F321:G321"/>
    <mergeCell ref="F322:G322"/>
    <mergeCell ref="F323:G323"/>
    <mergeCell ref="F324:G324"/>
    <mergeCell ref="F325:G325"/>
    <mergeCell ref="F326:G326"/>
    <mergeCell ref="F327:G327"/>
    <mergeCell ref="F237:G237"/>
    <mergeCell ref="F238:G238"/>
    <mergeCell ref="F239:G239"/>
    <mergeCell ref="F240:G240"/>
    <mergeCell ref="F241:G241"/>
    <mergeCell ref="F242:G242"/>
    <mergeCell ref="F243:G243"/>
    <mergeCell ref="F244:G244"/>
    <mergeCell ref="F245:G245"/>
    <mergeCell ref="F246:G246"/>
    <mergeCell ref="F247:G247"/>
    <mergeCell ref="F248:G248"/>
    <mergeCell ref="F249:G249"/>
    <mergeCell ref="F250:G250"/>
    <mergeCell ref="F251:G251"/>
    <mergeCell ref="F252:G252"/>
    <mergeCell ref="F253:G253"/>
    <mergeCell ref="F254:G254"/>
    <mergeCell ref="F255:G255"/>
    <mergeCell ref="F256:G256"/>
    <mergeCell ref="F257:G257"/>
    <mergeCell ref="F258:G258"/>
    <mergeCell ref="F259:G259"/>
    <mergeCell ref="F260:G260"/>
    <mergeCell ref="F261:G261"/>
    <mergeCell ref="F263:G263"/>
    <mergeCell ref="F264:G264"/>
    <mergeCell ref="F265:G265"/>
    <mergeCell ref="F272:G272"/>
    <mergeCell ref="F274:G274"/>
    <mergeCell ref="F275:G275"/>
    <mergeCell ref="F276:G276"/>
    <mergeCell ref="F280:G280"/>
    <mergeCell ref="F281:G281"/>
    <mergeCell ref="F282:G282"/>
    <mergeCell ref="F283:G283"/>
    <mergeCell ref="F285:G285"/>
    <mergeCell ref="F286:G286"/>
    <mergeCell ref="F287:G287"/>
    <mergeCell ref="F288:G288"/>
    <mergeCell ref="F289:G289"/>
    <mergeCell ref="F290:G290"/>
    <mergeCell ref="F291:G291"/>
    <mergeCell ref="F292:G292"/>
    <mergeCell ref="F293:G293"/>
    <mergeCell ref="F294:G294"/>
    <mergeCell ref="F302:G302"/>
    <mergeCell ref="F303:G303"/>
    <mergeCell ref="F304:G30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hidden="1">
      <c r="A2" s="139" t="s">
        <v>1641</v>
      </c>
      <c r="B2" s="139" t="s">
        <v>51</v>
      </c>
      <c r="C2" s="139" t="s">
        <v>1646</v>
      </c>
      <c r="D2" s="139">
        <v>-33.17444716</v>
      </c>
      <c r="E2" s="139">
        <v>-64.99206181</v>
      </c>
      <c r="F2" s="139" t="s">
        <v>1652</v>
      </c>
      <c r="G2" s="140">
        <v>1224.0</v>
      </c>
      <c r="H2" s="139">
        <v>841.0</v>
      </c>
      <c r="I2" s="140">
        <v>2398.0</v>
      </c>
      <c r="J2" s="141"/>
    </row>
    <row r="3" hidden="1">
      <c r="A3" s="142" t="s">
        <v>1658</v>
      </c>
      <c r="B3" s="142" t="s">
        <v>1660</v>
      </c>
      <c r="C3" s="142" t="s">
        <v>1646</v>
      </c>
      <c r="D3" s="142">
        <v>-33.63203039</v>
      </c>
      <c r="E3" s="142">
        <v>-64.02167801</v>
      </c>
      <c r="F3" s="142" t="s">
        <v>1652</v>
      </c>
      <c r="G3" s="143">
        <v>2767.0</v>
      </c>
      <c r="H3" s="143">
        <v>2569.0</v>
      </c>
      <c r="I3" s="143">
        <v>7739.0</v>
      </c>
      <c r="J3" s="144"/>
    </row>
    <row r="4" hidden="1">
      <c r="A4" s="139" t="s">
        <v>1663</v>
      </c>
      <c r="B4" s="139" t="s">
        <v>67</v>
      </c>
      <c r="C4" s="139" t="s">
        <v>1664</v>
      </c>
      <c r="D4" s="139">
        <v>-31.06222886</v>
      </c>
      <c r="E4" s="139">
        <v>-64.30064052</v>
      </c>
      <c r="F4" s="139" t="s">
        <v>1652</v>
      </c>
      <c r="G4" s="140">
        <v>1360.0</v>
      </c>
      <c r="H4" s="139">
        <v>723.0</v>
      </c>
      <c r="I4" s="140">
        <v>2111.0</v>
      </c>
      <c r="J4" s="141"/>
    </row>
    <row r="5" hidden="1">
      <c r="A5" s="142" t="s">
        <v>1667</v>
      </c>
      <c r="B5" s="142" t="s">
        <v>1668</v>
      </c>
      <c r="C5" s="142" t="s">
        <v>1646</v>
      </c>
      <c r="D5" s="142">
        <v>-32.75882923</v>
      </c>
      <c r="E5" s="142">
        <v>-64.33403342</v>
      </c>
      <c r="F5" s="142" t="s">
        <v>1652</v>
      </c>
      <c r="G5" s="143">
        <v>2362.0</v>
      </c>
      <c r="H5" s="143">
        <v>2024.0</v>
      </c>
      <c r="I5" s="143">
        <v>5924.0</v>
      </c>
      <c r="J5" s="144"/>
    </row>
    <row r="6" hidden="1">
      <c r="A6" s="139" t="s">
        <v>1672</v>
      </c>
      <c r="B6" s="139" t="s">
        <v>1673</v>
      </c>
      <c r="C6" s="139" t="s">
        <v>1674</v>
      </c>
      <c r="D6" s="139">
        <v>-33.69921943</v>
      </c>
      <c r="E6" s="139">
        <v>-62.91465782</v>
      </c>
      <c r="F6" s="139" t="s">
        <v>1675</v>
      </c>
      <c r="G6" s="139">
        <v>70.0</v>
      </c>
      <c r="H6" s="139">
        <v>60.0</v>
      </c>
      <c r="I6" s="139">
        <v>201.0</v>
      </c>
      <c r="J6" s="141"/>
    </row>
    <row r="7" hidden="1">
      <c r="A7" s="142" t="s">
        <v>1677</v>
      </c>
      <c r="B7" s="142" t="s">
        <v>83</v>
      </c>
      <c r="C7" s="142" t="s">
        <v>94</v>
      </c>
      <c r="D7" s="142">
        <v>-33.35356114</v>
      </c>
      <c r="E7" s="142">
        <v>-63.71773459</v>
      </c>
      <c r="F7" s="142" t="s">
        <v>1652</v>
      </c>
      <c r="G7" s="143">
        <v>1999.0</v>
      </c>
      <c r="H7" s="143">
        <v>1741.0</v>
      </c>
      <c r="I7" s="143">
        <v>5394.0</v>
      </c>
      <c r="J7" s="144"/>
    </row>
    <row r="8" hidden="1">
      <c r="A8" s="139" t="s">
        <v>1682</v>
      </c>
      <c r="B8" s="139" t="s">
        <v>87</v>
      </c>
      <c r="C8" s="139" t="s">
        <v>1683</v>
      </c>
      <c r="D8" s="139">
        <v>-33.60539202</v>
      </c>
      <c r="E8" s="139">
        <v>-62.62588099</v>
      </c>
      <c r="F8" s="139" t="s">
        <v>1652</v>
      </c>
      <c r="G8" s="140">
        <v>1262.0</v>
      </c>
      <c r="H8" s="140">
        <v>1111.0</v>
      </c>
      <c r="I8" s="140">
        <v>3385.0</v>
      </c>
      <c r="J8" s="141"/>
    </row>
    <row r="9" hidden="1">
      <c r="A9" s="142" t="s">
        <v>1686</v>
      </c>
      <c r="B9" s="142" t="s">
        <v>95</v>
      </c>
      <c r="C9" s="142" t="s">
        <v>150</v>
      </c>
      <c r="D9" s="142">
        <v>-31.93884723</v>
      </c>
      <c r="E9" s="142">
        <v>-62.46424577</v>
      </c>
      <c r="F9" s="142" t="s">
        <v>1652</v>
      </c>
      <c r="G9" s="143">
        <v>1237.0</v>
      </c>
      <c r="H9" s="143">
        <v>1131.0</v>
      </c>
      <c r="I9" s="143">
        <v>3318.0</v>
      </c>
      <c r="J9" s="144"/>
    </row>
    <row r="10" hidden="1">
      <c r="A10" s="139" t="s">
        <v>1693</v>
      </c>
      <c r="B10" s="139" t="s">
        <v>100</v>
      </c>
      <c r="C10" s="139" t="s">
        <v>161</v>
      </c>
      <c r="D10" s="139">
        <v>-32.19239047</v>
      </c>
      <c r="E10" s="139">
        <v>-64.25574521</v>
      </c>
      <c r="F10" s="139" t="s">
        <v>1652</v>
      </c>
      <c r="G10" s="140">
        <v>4194.0</v>
      </c>
      <c r="H10" s="140">
        <v>3718.0</v>
      </c>
      <c r="I10" s="140">
        <v>11845.0</v>
      </c>
      <c r="J10" s="141"/>
    </row>
    <row r="11" hidden="1">
      <c r="A11" s="142" t="s">
        <v>1697</v>
      </c>
      <c r="B11" s="142" t="s">
        <v>106</v>
      </c>
      <c r="C11" s="142" t="s">
        <v>1646</v>
      </c>
      <c r="D11" s="142">
        <v>-32.69211241</v>
      </c>
      <c r="E11" s="142">
        <v>-64.7235966</v>
      </c>
      <c r="F11" s="142" t="s">
        <v>1652</v>
      </c>
      <c r="G11" s="143">
        <v>1040.0</v>
      </c>
      <c r="H11" s="142">
        <v>298.0</v>
      </c>
      <c r="I11" s="142">
        <v>966.0</v>
      </c>
      <c r="J11" s="144"/>
    </row>
    <row r="12" hidden="1">
      <c r="A12" s="139" t="s">
        <v>1700</v>
      </c>
      <c r="B12" s="139" t="s">
        <v>110</v>
      </c>
      <c r="C12" s="139" t="s">
        <v>1702</v>
      </c>
      <c r="D12" s="139">
        <v>-31.64979213</v>
      </c>
      <c r="E12" s="139">
        <v>-64.42987198</v>
      </c>
      <c r="F12" s="139" t="s">
        <v>1652</v>
      </c>
      <c r="G12" s="140">
        <v>16557.0</v>
      </c>
      <c r="H12" s="140">
        <v>14661.0</v>
      </c>
      <c r="I12" s="140">
        <v>48506.0</v>
      </c>
      <c r="J12" s="141"/>
    </row>
    <row r="13" hidden="1">
      <c r="A13" s="142" t="s">
        <v>1705</v>
      </c>
      <c r="B13" s="142" t="s">
        <v>116</v>
      </c>
      <c r="C13" s="142" t="s">
        <v>1674</v>
      </c>
      <c r="D13" s="142">
        <v>-32.34468872</v>
      </c>
      <c r="E13" s="142">
        <v>-62.88491358</v>
      </c>
      <c r="F13" s="142" t="s">
        <v>1652</v>
      </c>
      <c r="G13" s="142">
        <v>294.0</v>
      </c>
      <c r="H13" s="142">
        <v>249.0</v>
      </c>
      <c r="I13" s="142">
        <v>817.0</v>
      </c>
      <c r="J13" s="144"/>
    </row>
    <row r="14" hidden="1">
      <c r="A14" s="139" t="s">
        <v>1709</v>
      </c>
      <c r="B14" s="139" t="s">
        <v>46</v>
      </c>
      <c r="C14" s="139" t="s">
        <v>39</v>
      </c>
      <c r="D14" s="139">
        <v>-30.5388226</v>
      </c>
      <c r="E14" s="139">
        <v>-65.04148254</v>
      </c>
      <c r="F14" s="139" t="s">
        <v>1675</v>
      </c>
      <c r="G14" s="139">
        <v>111.0</v>
      </c>
      <c r="H14" s="139">
        <v>80.0</v>
      </c>
      <c r="I14" s="139">
        <v>268.0</v>
      </c>
      <c r="J14" s="141"/>
    </row>
    <row r="15" hidden="1">
      <c r="A15" s="142" t="s">
        <v>1713</v>
      </c>
      <c r="B15" s="142" t="s">
        <v>126</v>
      </c>
      <c r="C15" s="142" t="s">
        <v>150</v>
      </c>
      <c r="D15" s="142">
        <v>-30.95718051</v>
      </c>
      <c r="E15" s="142">
        <v>-62.33836863</v>
      </c>
      <c r="F15" s="142" t="s">
        <v>1652</v>
      </c>
      <c r="G15" s="142">
        <v>656.0</v>
      </c>
      <c r="H15" s="142">
        <v>602.0</v>
      </c>
      <c r="I15" s="143">
        <v>1793.0</v>
      </c>
      <c r="J15" s="144"/>
    </row>
    <row r="16" hidden="1">
      <c r="A16" s="139" t="s">
        <v>1717</v>
      </c>
      <c r="B16" s="139" t="s">
        <v>131</v>
      </c>
      <c r="C16" s="139" t="s">
        <v>32</v>
      </c>
      <c r="D16" s="139">
        <v>-32.17457928</v>
      </c>
      <c r="E16" s="139">
        <v>-64.57324365</v>
      </c>
      <c r="F16" s="139" t="s">
        <v>1675</v>
      </c>
      <c r="G16" s="139">
        <v>146.0</v>
      </c>
      <c r="H16" s="139">
        <v>79.0</v>
      </c>
      <c r="I16" s="139">
        <v>228.0</v>
      </c>
      <c r="J16" s="141"/>
    </row>
    <row r="17">
      <c r="A17" s="142" t="s">
        <v>1720</v>
      </c>
      <c r="B17" s="142" t="s">
        <v>133</v>
      </c>
      <c r="C17" s="142" t="s">
        <v>52</v>
      </c>
      <c r="D17" s="142">
        <v>-31.490541</v>
      </c>
      <c r="E17" s="142">
        <v>-65.05395216</v>
      </c>
      <c r="F17" s="142" t="s">
        <v>1675</v>
      </c>
      <c r="G17" s="142">
        <v>387.0</v>
      </c>
      <c r="H17" s="142">
        <v>233.0</v>
      </c>
      <c r="I17" s="142">
        <v>732.0</v>
      </c>
      <c r="J17" s="144"/>
    </row>
    <row r="18" hidden="1">
      <c r="A18" s="139" t="s">
        <v>1726</v>
      </c>
      <c r="B18" s="139" t="s">
        <v>1727</v>
      </c>
      <c r="C18" s="139" t="s">
        <v>1674</v>
      </c>
      <c r="D18" s="139">
        <v>-32.39095285</v>
      </c>
      <c r="E18" s="139">
        <v>-63.05723244</v>
      </c>
      <c r="F18" s="139" t="s">
        <v>1675</v>
      </c>
      <c r="G18" s="139">
        <v>25.0</v>
      </c>
      <c r="H18" s="139">
        <v>25.0</v>
      </c>
      <c r="I18" s="139">
        <v>98.0</v>
      </c>
      <c r="J18" s="141"/>
    </row>
    <row r="19" hidden="1">
      <c r="A19" s="142" t="s">
        <v>1733</v>
      </c>
      <c r="B19" s="142" t="s">
        <v>142</v>
      </c>
      <c r="C19" s="142" t="s">
        <v>1702</v>
      </c>
      <c r="D19" s="142">
        <v>-31.72550253</v>
      </c>
      <c r="E19" s="142">
        <v>-64.414069</v>
      </c>
      <c r="F19" s="142" t="s">
        <v>1652</v>
      </c>
      <c r="G19" s="143">
        <v>1661.0</v>
      </c>
      <c r="H19" s="143">
        <v>1010.0</v>
      </c>
      <c r="I19" s="143">
        <v>3350.0</v>
      </c>
      <c r="J19" s="144"/>
    </row>
    <row r="20" hidden="1">
      <c r="A20" s="139" t="s">
        <v>1737</v>
      </c>
      <c r="B20" s="139" t="s">
        <v>148</v>
      </c>
      <c r="C20" s="139" t="s">
        <v>1683</v>
      </c>
      <c r="D20" s="139">
        <v>-33.64207292</v>
      </c>
      <c r="E20" s="139">
        <v>-62.40411947</v>
      </c>
      <c r="F20" s="139" t="s">
        <v>1652</v>
      </c>
      <c r="G20" s="140">
        <v>2783.0</v>
      </c>
      <c r="H20" s="140">
        <v>2446.0</v>
      </c>
      <c r="I20" s="140">
        <v>7249.0</v>
      </c>
      <c r="J20" s="141"/>
    </row>
    <row r="21" hidden="1">
      <c r="A21" s="142" t="s">
        <v>1740</v>
      </c>
      <c r="B21" s="142" t="s">
        <v>152</v>
      </c>
      <c r="C21" s="142" t="s">
        <v>150</v>
      </c>
      <c r="D21" s="142">
        <v>-31.41922977</v>
      </c>
      <c r="E21" s="142">
        <v>-63.05070259</v>
      </c>
      <c r="F21" s="142" t="s">
        <v>1652</v>
      </c>
      <c r="G21" s="143">
        <v>7884.0</v>
      </c>
      <c r="H21" s="143">
        <v>7166.0</v>
      </c>
      <c r="I21" s="143">
        <v>22726.0</v>
      </c>
      <c r="J21" s="144"/>
    </row>
    <row r="22" hidden="1">
      <c r="A22" s="139" t="s">
        <v>1744</v>
      </c>
      <c r="B22" s="139" t="s">
        <v>1746</v>
      </c>
      <c r="C22" s="139" t="s">
        <v>1747</v>
      </c>
      <c r="D22" s="139">
        <v>-32.20118701</v>
      </c>
      <c r="E22" s="139">
        <v>-63.16512476</v>
      </c>
      <c r="F22" s="139" t="s">
        <v>1652</v>
      </c>
      <c r="G22" s="139">
        <v>276.0</v>
      </c>
      <c r="H22" s="139">
        <v>229.0</v>
      </c>
      <c r="I22" s="139">
        <v>692.0</v>
      </c>
      <c r="J22" s="141"/>
    </row>
    <row r="23" hidden="1">
      <c r="A23" s="142" t="s">
        <v>1752</v>
      </c>
      <c r="B23" s="142" t="s">
        <v>159</v>
      </c>
      <c r="C23" s="142" t="s">
        <v>1747</v>
      </c>
      <c r="D23" s="142">
        <v>-32.4894934</v>
      </c>
      <c r="E23" s="142">
        <v>-63.40237577</v>
      </c>
      <c r="F23" s="142" t="s">
        <v>1652</v>
      </c>
      <c r="G23" s="143">
        <v>1114.0</v>
      </c>
      <c r="H23" s="142">
        <v>978.0</v>
      </c>
      <c r="I23" s="143">
        <v>2793.0</v>
      </c>
      <c r="J23" s="144"/>
    </row>
    <row r="24" hidden="1">
      <c r="A24" s="139" t="s">
        <v>1758</v>
      </c>
      <c r="B24" s="139" t="s">
        <v>162</v>
      </c>
      <c r="C24" s="139" t="s">
        <v>52</v>
      </c>
      <c r="D24" s="139">
        <v>-31.76259905</v>
      </c>
      <c r="E24" s="139">
        <v>-65.00434891</v>
      </c>
      <c r="F24" s="139" t="s">
        <v>1675</v>
      </c>
      <c r="G24" s="139">
        <v>322.0</v>
      </c>
      <c r="H24" s="139">
        <v>166.0</v>
      </c>
      <c r="I24" s="139">
        <v>634.0</v>
      </c>
      <c r="J24" s="141"/>
    </row>
    <row r="25" hidden="1">
      <c r="A25" s="142" t="s">
        <v>1761</v>
      </c>
      <c r="B25" s="142" t="s">
        <v>165</v>
      </c>
      <c r="C25" s="142" t="s">
        <v>94</v>
      </c>
      <c r="D25" s="142">
        <v>-33.63416539</v>
      </c>
      <c r="E25" s="142">
        <v>-63.22562209</v>
      </c>
      <c r="F25" s="142" t="s">
        <v>1675</v>
      </c>
      <c r="G25" s="142">
        <v>31.0</v>
      </c>
      <c r="H25" s="142">
        <v>25.0</v>
      </c>
      <c r="I25" s="142">
        <v>73.0</v>
      </c>
      <c r="J25" s="144"/>
    </row>
    <row r="26" hidden="1">
      <c r="A26" s="139" t="s">
        <v>1764</v>
      </c>
      <c r="B26" s="139" t="s">
        <v>168</v>
      </c>
      <c r="C26" s="139" t="s">
        <v>408</v>
      </c>
      <c r="D26" s="139">
        <v>-30.90296743</v>
      </c>
      <c r="E26" s="139">
        <v>-63.70632949</v>
      </c>
      <c r="F26" s="139" t="s">
        <v>1675</v>
      </c>
      <c r="G26" s="139">
        <v>64.0</v>
      </c>
      <c r="H26" s="139">
        <v>36.0</v>
      </c>
      <c r="I26" s="139">
        <v>110.0</v>
      </c>
      <c r="J26" s="141"/>
    </row>
    <row r="27" hidden="1">
      <c r="A27" s="142" t="s">
        <v>1768</v>
      </c>
      <c r="B27" s="142" t="s">
        <v>172</v>
      </c>
      <c r="C27" s="142" t="s">
        <v>1747</v>
      </c>
      <c r="D27" s="142">
        <v>-32.661795</v>
      </c>
      <c r="E27" s="142">
        <v>-63.24311295</v>
      </c>
      <c r="F27" s="142" t="s">
        <v>1652</v>
      </c>
      <c r="G27" s="142">
        <v>355.0</v>
      </c>
      <c r="H27" s="142">
        <v>340.0</v>
      </c>
      <c r="I27" s="143">
        <v>1133.0</v>
      </c>
      <c r="J27" s="144"/>
    </row>
    <row r="28" hidden="1">
      <c r="A28" s="139" t="s">
        <v>1772</v>
      </c>
      <c r="B28" s="139" t="s">
        <v>139</v>
      </c>
      <c r="C28" s="139" t="s">
        <v>140</v>
      </c>
      <c r="D28" s="139">
        <v>-30.59429044</v>
      </c>
      <c r="E28" s="139">
        <v>-64.20568695</v>
      </c>
      <c r="F28" s="139" t="s">
        <v>1675</v>
      </c>
      <c r="G28" s="139">
        <v>130.0</v>
      </c>
      <c r="H28" s="139">
        <v>99.0</v>
      </c>
      <c r="I28" s="139">
        <v>323.0</v>
      </c>
      <c r="J28" s="141"/>
    </row>
    <row r="29" hidden="1">
      <c r="A29" s="142" t="s">
        <v>1775</v>
      </c>
      <c r="B29" s="142" t="s">
        <v>176</v>
      </c>
      <c r="C29" s="142" t="s">
        <v>1674</v>
      </c>
      <c r="D29" s="142">
        <v>-32.54169705</v>
      </c>
      <c r="E29" s="142">
        <v>-62.98081087</v>
      </c>
      <c r="F29" s="142" t="s">
        <v>1652</v>
      </c>
      <c r="G29" s="143">
        <v>1459.0</v>
      </c>
      <c r="H29" s="143">
        <v>1245.0</v>
      </c>
      <c r="I29" s="143">
        <v>3928.0</v>
      </c>
      <c r="J29" s="144"/>
    </row>
    <row r="30" hidden="1">
      <c r="A30" s="139" t="s">
        <v>1779</v>
      </c>
      <c r="B30" s="139" t="s">
        <v>178</v>
      </c>
      <c r="C30" s="139" t="s">
        <v>1674</v>
      </c>
      <c r="D30" s="139">
        <v>-32.58947806</v>
      </c>
      <c r="E30" s="139">
        <v>-63.03021827</v>
      </c>
      <c r="F30" s="139" t="s">
        <v>1652</v>
      </c>
      <c r="G30" s="139">
        <v>213.0</v>
      </c>
      <c r="H30" s="139">
        <v>170.0</v>
      </c>
      <c r="I30" s="139">
        <v>538.0</v>
      </c>
      <c r="J30" s="141"/>
    </row>
    <row r="31" hidden="1">
      <c r="A31" s="142" t="s">
        <v>1784</v>
      </c>
      <c r="B31" s="142" t="s">
        <v>182</v>
      </c>
      <c r="C31" s="142" t="s">
        <v>150</v>
      </c>
      <c r="D31" s="142">
        <v>-31.0128514</v>
      </c>
      <c r="E31" s="142">
        <v>-62.66537409</v>
      </c>
      <c r="F31" s="142" t="s">
        <v>1652</v>
      </c>
      <c r="G31" s="143">
        <v>2227.0</v>
      </c>
      <c r="H31" s="143">
        <v>2017.0</v>
      </c>
      <c r="I31" s="143">
        <v>6171.0</v>
      </c>
      <c r="J31" s="144"/>
    </row>
    <row r="32" hidden="1">
      <c r="A32" s="139" t="s">
        <v>1787</v>
      </c>
      <c r="B32" s="139" t="s">
        <v>53</v>
      </c>
      <c r="C32" s="139" t="s">
        <v>39</v>
      </c>
      <c r="D32" s="139">
        <v>-30.80882395</v>
      </c>
      <c r="E32" s="139">
        <v>-65.0433244</v>
      </c>
      <c r="F32" s="139" t="s">
        <v>1675</v>
      </c>
      <c r="G32" s="139">
        <v>240.0</v>
      </c>
      <c r="H32" s="139">
        <v>226.0</v>
      </c>
      <c r="I32" s="139">
        <v>941.0</v>
      </c>
      <c r="J32" s="141"/>
    </row>
    <row r="33" hidden="1">
      <c r="A33" s="142" t="s">
        <v>1792</v>
      </c>
      <c r="B33" s="142" t="s">
        <v>188</v>
      </c>
      <c r="C33" s="142" t="s">
        <v>1674</v>
      </c>
      <c r="D33" s="142">
        <v>-32.63031428</v>
      </c>
      <c r="E33" s="142">
        <v>-62.68879338</v>
      </c>
      <c r="F33" s="142" t="s">
        <v>1652</v>
      </c>
      <c r="G33" s="143">
        <v>12808.0</v>
      </c>
      <c r="H33" s="143">
        <v>11290.0</v>
      </c>
      <c r="I33" s="143">
        <v>34439.0</v>
      </c>
      <c r="J33" s="144"/>
    </row>
    <row r="34" hidden="1">
      <c r="A34" s="139" t="s">
        <v>1797</v>
      </c>
      <c r="B34" s="139" t="s">
        <v>192</v>
      </c>
      <c r="C34" s="139" t="s">
        <v>94</v>
      </c>
      <c r="D34" s="139">
        <v>-33.0247715</v>
      </c>
      <c r="E34" s="139">
        <v>-63.6698958</v>
      </c>
      <c r="F34" s="139" t="s">
        <v>1652</v>
      </c>
      <c r="G34" s="139">
        <v>359.0</v>
      </c>
      <c r="H34" s="139">
        <v>304.0</v>
      </c>
      <c r="I34" s="139">
        <v>917.0</v>
      </c>
      <c r="J34" s="141"/>
    </row>
    <row r="35" hidden="1">
      <c r="A35" s="142" t="s">
        <v>1800</v>
      </c>
      <c r="B35" s="142" t="s">
        <v>1802</v>
      </c>
      <c r="C35" s="142" t="s">
        <v>1674</v>
      </c>
      <c r="D35" s="142">
        <v>-33.58746497</v>
      </c>
      <c r="E35" s="142">
        <v>-62.72813488</v>
      </c>
      <c r="F35" s="142" t="s">
        <v>1652</v>
      </c>
      <c r="G35" s="142">
        <v>267.0</v>
      </c>
      <c r="H35" s="142">
        <v>230.0</v>
      </c>
      <c r="I35" s="142">
        <v>704.0</v>
      </c>
      <c r="J35" s="144"/>
    </row>
    <row r="36" hidden="1">
      <c r="A36" s="139" t="s">
        <v>1806</v>
      </c>
      <c r="B36" s="139" t="s">
        <v>196</v>
      </c>
      <c r="C36" s="139" t="s">
        <v>1646</v>
      </c>
      <c r="D36" s="139">
        <v>-32.45284174</v>
      </c>
      <c r="E36" s="139">
        <v>-64.38793911</v>
      </c>
      <c r="F36" s="139" t="s">
        <v>1652</v>
      </c>
      <c r="G36" s="140">
        <v>2741.0</v>
      </c>
      <c r="H36" s="140">
        <v>2336.0</v>
      </c>
      <c r="I36" s="140">
        <v>6886.0</v>
      </c>
      <c r="J36" s="141"/>
    </row>
    <row r="37" hidden="1">
      <c r="A37" s="142" t="s">
        <v>1809</v>
      </c>
      <c r="B37" s="142" t="s">
        <v>1810</v>
      </c>
      <c r="C37" s="142" t="s">
        <v>120</v>
      </c>
      <c r="D37" s="142">
        <v>-31.31390531</v>
      </c>
      <c r="E37" s="142">
        <v>-64.46403502</v>
      </c>
      <c r="F37" s="142" t="s">
        <v>1652</v>
      </c>
      <c r="G37" s="143">
        <v>3419.0</v>
      </c>
      <c r="H37" s="143">
        <v>1802.0</v>
      </c>
      <c r="I37" s="143">
        <v>5449.0</v>
      </c>
      <c r="J37" s="144"/>
    </row>
    <row r="38" hidden="1">
      <c r="A38" s="139" t="s">
        <v>1815</v>
      </c>
      <c r="B38" s="139" t="s">
        <v>203</v>
      </c>
      <c r="C38" s="139" t="s">
        <v>1702</v>
      </c>
      <c r="D38" s="139">
        <v>-31.5581327</v>
      </c>
      <c r="E38" s="139">
        <v>-64.19069026</v>
      </c>
      <c r="F38" s="139" t="s">
        <v>1652</v>
      </c>
      <c r="G38" s="139">
        <v>562.0</v>
      </c>
      <c r="H38" s="139">
        <v>473.0</v>
      </c>
      <c r="I38" s="140">
        <v>1786.0</v>
      </c>
      <c r="J38" s="141"/>
    </row>
    <row r="39" hidden="1">
      <c r="A39" s="142" t="s">
        <v>1821</v>
      </c>
      <c r="B39" s="142" t="s">
        <v>206</v>
      </c>
      <c r="C39" s="142" t="s">
        <v>150</v>
      </c>
      <c r="D39" s="142">
        <v>-30.86647958</v>
      </c>
      <c r="E39" s="142">
        <v>-62.04310674</v>
      </c>
      <c r="F39" s="142" t="s">
        <v>1652</v>
      </c>
      <c r="G39" s="143">
        <v>3267.0</v>
      </c>
      <c r="H39" s="143">
        <v>3042.0</v>
      </c>
      <c r="I39" s="143">
        <v>9963.0</v>
      </c>
      <c r="J39" s="144"/>
    </row>
    <row r="40" hidden="1">
      <c r="A40" s="139" t="s">
        <v>1824</v>
      </c>
      <c r="B40" s="139" t="s">
        <v>208</v>
      </c>
      <c r="C40" s="139" t="s">
        <v>31</v>
      </c>
      <c r="D40" s="139">
        <v>-34.72387443</v>
      </c>
      <c r="E40" s="139">
        <v>-63.50726467</v>
      </c>
      <c r="F40" s="139" t="s">
        <v>1652</v>
      </c>
      <c r="G40" s="139">
        <v>718.0</v>
      </c>
      <c r="H40" s="139">
        <v>647.0</v>
      </c>
      <c r="I40" s="140">
        <v>1795.0</v>
      </c>
      <c r="J40" s="141"/>
    </row>
    <row r="41" hidden="1">
      <c r="A41" s="142" t="s">
        <v>1828</v>
      </c>
      <c r="B41" s="142" t="s">
        <v>210</v>
      </c>
      <c r="C41" s="142" t="s">
        <v>1646</v>
      </c>
      <c r="D41" s="142">
        <v>-33.50592618</v>
      </c>
      <c r="E41" s="142">
        <v>-64.67821867</v>
      </c>
      <c r="F41" s="142" t="s">
        <v>1652</v>
      </c>
      <c r="G41" s="142">
        <v>386.0</v>
      </c>
      <c r="H41" s="142">
        <v>329.0</v>
      </c>
      <c r="I41" s="143">
        <v>1051.0</v>
      </c>
      <c r="J41" s="144"/>
    </row>
    <row r="42" hidden="1">
      <c r="A42" s="139" t="s">
        <v>1831</v>
      </c>
      <c r="B42" s="139" t="s">
        <v>212</v>
      </c>
      <c r="C42" s="139" t="s">
        <v>120</v>
      </c>
      <c r="D42" s="139">
        <v>-31.39055696</v>
      </c>
      <c r="E42" s="139">
        <v>-64.56030555</v>
      </c>
      <c r="F42" s="139" t="s">
        <v>1675</v>
      </c>
      <c r="G42" s="139">
        <v>552.0</v>
      </c>
      <c r="H42" s="139">
        <v>167.0</v>
      </c>
      <c r="I42" s="139">
        <v>475.0</v>
      </c>
      <c r="J42" s="141"/>
    </row>
    <row r="43" hidden="1">
      <c r="A43" s="142" t="s">
        <v>1837</v>
      </c>
      <c r="B43" s="142" t="s">
        <v>216</v>
      </c>
      <c r="C43" s="142" t="s">
        <v>1839</v>
      </c>
      <c r="D43" s="142">
        <v>-31.66885714</v>
      </c>
      <c r="E43" s="142">
        <v>-63.19904302</v>
      </c>
      <c r="F43" s="142" t="s">
        <v>1652</v>
      </c>
      <c r="G43" s="142">
        <v>786.0</v>
      </c>
      <c r="H43" s="142">
        <v>769.0</v>
      </c>
      <c r="I43" s="143">
        <v>2447.0</v>
      </c>
      <c r="J43" s="144"/>
    </row>
    <row r="44" hidden="1">
      <c r="A44" s="139" t="s">
        <v>1844</v>
      </c>
      <c r="B44" s="139" t="s">
        <v>219</v>
      </c>
      <c r="C44" s="139" t="s">
        <v>1839</v>
      </c>
      <c r="D44" s="139">
        <v>-31.86254893</v>
      </c>
      <c r="E44" s="139">
        <v>-63.27778599</v>
      </c>
      <c r="F44" s="139" t="s">
        <v>1652</v>
      </c>
      <c r="G44" s="139">
        <v>268.0</v>
      </c>
      <c r="H44" s="139">
        <v>240.0</v>
      </c>
      <c r="I44" s="139">
        <v>765.0</v>
      </c>
      <c r="J44" s="141"/>
    </row>
    <row r="45" hidden="1">
      <c r="A45" s="142" t="s">
        <v>1847</v>
      </c>
      <c r="B45" s="142" t="s">
        <v>221</v>
      </c>
      <c r="C45" s="142" t="s">
        <v>32</v>
      </c>
      <c r="D45" s="142">
        <v>-32.02546988</v>
      </c>
      <c r="E45" s="142">
        <v>-64.46467907</v>
      </c>
      <c r="F45" s="142" t="s">
        <v>1675</v>
      </c>
      <c r="G45" s="142">
        <v>98.0</v>
      </c>
      <c r="H45" s="142">
        <v>36.0</v>
      </c>
      <c r="I45" s="142">
        <v>74.0</v>
      </c>
      <c r="J45" s="144"/>
    </row>
    <row r="46" hidden="1">
      <c r="A46" s="139" t="s">
        <v>1849</v>
      </c>
      <c r="B46" s="139" t="s">
        <v>223</v>
      </c>
      <c r="C46" s="139" t="s">
        <v>1683</v>
      </c>
      <c r="D46" s="139">
        <v>-33.12758622</v>
      </c>
      <c r="E46" s="139">
        <v>-62.09484085</v>
      </c>
      <c r="F46" s="139" t="s">
        <v>1652</v>
      </c>
      <c r="G46" s="140">
        <v>1962.0</v>
      </c>
      <c r="H46" s="140">
        <v>1889.0</v>
      </c>
      <c r="I46" s="140">
        <v>5209.0</v>
      </c>
      <c r="J46" s="141"/>
    </row>
    <row r="47" hidden="1">
      <c r="A47" s="142" t="s">
        <v>1852</v>
      </c>
      <c r="B47" s="142" t="s">
        <v>225</v>
      </c>
      <c r="C47" s="142" t="s">
        <v>72</v>
      </c>
      <c r="D47" s="142">
        <v>-30.06748016</v>
      </c>
      <c r="E47" s="142">
        <v>-64.05070181</v>
      </c>
      <c r="F47" s="142" t="s">
        <v>1675</v>
      </c>
      <c r="G47" s="142">
        <v>172.0</v>
      </c>
      <c r="H47" s="142">
        <v>118.0</v>
      </c>
      <c r="I47" s="142">
        <v>362.0</v>
      </c>
      <c r="J47" s="144"/>
    </row>
    <row r="48" hidden="1">
      <c r="A48" s="139" t="s">
        <v>1857</v>
      </c>
      <c r="B48" s="139" t="s">
        <v>227</v>
      </c>
      <c r="C48" s="139" t="s">
        <v>1674</v>
      </c>
      <c r="D48" s="139">
        <v>-33.56217263</v>
      </c>
      <c r="E48" s="139">
        <v>-62.88508561</v>
      </c>
      <c r="F48" s="139" t="s">
        <v>1652</v>
      </c>
      <c r="G48" s="140">
        <v>3306.0</v>
      </c>
      <c r="H48" s="140">
        <v>2860.0</v>
      </c>
      <c r="I48" s="140">
        <v>8676.0</v>
      </c>
      <c r="J48" s="141"/>
    </row>
    <row r="49" hidden="1">
      <c r="A49" s="142" t="s">
        <v>1860</v>
      </c>
      <c r="B49" s="142" t="s">
        <v>232</v>
      </c>
      <c r="C49" s="142" t="s">
        <v>78</v>
      </c>
      <c r="D49" s="142">
        <v>-30.83896745</v>
      </c>
      <c r="E49" s="142">
        <v>-63.80126805</v>
      </c>
      <c r="F49" s="142" t="s">
        <v>1675</v>
      </c>
      <c r="G49" s="142">
        <v>73.0</v>
      </c>
      <c r="H49" s="142">
        <v>40.0</v>
      </c>
      <c r="I49" s="142">
        <v>125.0</v>
      </c>
      <c r="J49" s="144"/>
    </row>
    <row r="50" hidden="1">
      <c r="A50" s="139" t="s">
        <v>1863</v>
      </c>
      <c r="B50" s="139" t="s">
        <v>234</v>
      </c>
      <c r="C50" s="139" t="s">
        <v>78</v>
      </c>
      <c r="D50" s="139">
        <v>-30.73523754</v>
      </c>
      <c r="E50" s="139">
        <v>-63.72397103</v>
      </c>
      <c r="F50" s="139" t="s">
        <v>1652</v>
      </c>
      <c r="G50" s="139">
        <v>388.0</v>
      </c>
      <c r="H50" s="139">
        <v>337.0</v>
      </c>
      <c r="I50" s="140">
        <v>1217.0</v>
      </c>
      <c r="J50" s="141"/>
    </row>
    <row r="51" hidden="1">
      <c r="A51" s="142" t="s">
        <v>1866</v>
      </c>
      <c r="B51" s="142" t="s">
        <v>236</v>
      </c>
      <c r="C51" s="142" t="s">
        <v>408</v>
      </c>
      <c r="D51" s="142">
        <v>-31.42972039</v>
      </c>
      <c r="E51" s="142">
        <v>-63.58772592</v>
      </c>
      <c r="F51" s="142" t="s">
        <v>1675</v>
      </c>
      <c r="G51" s="142">
        <v>63.0</v>
      </c>
      <c r="H51" s="142">
        <v>58.0</v>
      </c>
      <c r="I51" s="142">
        <v>203.0</v>
      </c>
      <c r="J51" s="144"/>
    </row>
    <row r="52" hidden="1">
      <c r="A52" s="139" t="s">
        <v>1870</v>
      </c>
      <c r="B52" s="139" t="s">
        <v>146</v>
      </c>
      <c r="C52" s="139" t="s">
        <v>140</v>
      </c>
      <c r="D52" s="139">
        <v>-30.77579119</v>
      </c>
      <c r="E52" s="139">
        <v>-64.21865097</v>
      </c>
      <c r="F52" s="139" t="s">
        <v>1675</v>
      </c>
      <c r="G52" s="139">
        <v>143.0</v>
      </c>
      <c r="H52" s="139">
        <v>73.0</v>
      </c>
      <c r="I52" s="139">
        <v>193.0</v>
      </c>
      <c r="J52" s="141"/>
    </row>
    <row r="53" hidden="1">
      <c r="A53" s="142" t="s">
        <v>1873</v>
      </c>
      <c r="B53" s="142" t="s">
        <v>242</v>
      </c>
      <c r="C53" s="142" t="s">
        <v>32</v>
      </c>
      <c r="D53" s="142">
        <v>-32.36796009</v>
      </c>
      <c r="E53" s="142">
        <v>-64.64542611</v>
      </c>
      <c r="F53" s="142" t="s">
        <v>1675</v>
      </c>
      <c r="G53" s="142">
        <v>163.0</v>
      </c>
      <c r="H53" s="142">
        <v>33.0</v>
      </c>
      <c r="I53" s="142">
        <v>75.0</v>
      </c>
      <c r="J53" s="144"/>
    </row>
    <row r="54" hidden="1">
      <c r="A54" s="139" t="s">
        <v>1877</v>
      </c>
      <c r="B54" s="139" t="s">
        <v>246</v>
      </c>
      <c r="C54" s="139" t="s">
        <v>408</v>
      </c>
      <c r="D54" s="139">
        <v>-31.43055588</v>
      </c>
      <c r="E54" s="139">
        <v>-63.83242521</v>
      </c>
      <c r="F54" s="139" t="s">
        <v>1675</v>
      </c>
      <c r="G54" s="139">
        <v>312.0</v>
      </c>
      <c r="H54" s="139">
        <v>250.0</v>
      </c>
      <c r="I54" s="139">
        <v>809.0</v>
      </c>
      <c r="J54" s="141"/>
    </row>
    <row r="55" hidden="1">
      <c r="A55" s="142" t="s">
        <v>1881</v>
      </c>
      <c r="B55" s="142" t="s">
        <v>325</v>
      </c>
      <c r="C55" s="142" t="s">
        <v>78</v>
      </c>
      <c r="D55" s="142">
        <v>-30.57368678</v>
      </c>
      <c r="E55" s="142">
        <v>-63.65371246</v>
      </c>
      <c r="F55" s="142" t="s">
        <v>1675</v>
      </c>
      <c r="G55" s="142">
        <v>189.0</v>
      </c>
      <c r="H55" s="142">
        <v>149.0</v>
      </c>
      <c r="I55" s="142">
        <v>556.0</v>
      </c>
      <c r="J55" s="144"/>
    </row>
    <row r="56" hidden="1">
      <c r="A56" s="139" t="s">
        <v>1886</v>
      </c>
      <c r="B56" s="139" t="s">
        <v>248</v>
      </c>
      <c r="C56" s="139" t="s">
        <v>1839</v>
      </c>
      <c r="D56" s="139">
        <v>-31.50767965</v>
      </c>
      <c r="E56" s="139">
        <v>-63.34314504</v>
      </c>
      <c r="F56" s="139" t="s">
        <v>1652</v>
      </c>
      <c r="G56" s="139">
        <v>128.0</v>
      </c>
      <c r="H56" s="139">
        <v>102.0</v>
      </c>
      <c r="I56" s="139">
        <v>342.0</v>
      </c>
      <c r="J56" s="141"/>
    </row>
    <row r="57" hidden="1">
      <c r="A57" s="142" t="s">
        <v>1891</v>
      </c>
      <c r="B57" s="142" t="s">
        <v>250</v>
      </c>
      <c r="C57" s="142" t="s">
        <v>120</v>
      </c>
      <c r="D57" s="142">
        <v>-30.85686917</v>
      </c>
      <c r="E57" s="142">
        <v>-64.52635052</v>
      </c>
      <c r="F57" s="142" t="s">
        <v>1652</v>
      </c>
      <c r="G57" s="143">
        <v>5109.0</v>
      </c>
      <c r="H57" s="143">
        <v>3752.0</v>
      </c>
      <c r="I57" s="143">
        <v>11281.0</v>
      </c>
      <c r="J57" s="144"/>
    </row>
    <row r="58" hidden="1">
      <c r="A58" s="139" t="s">
        <v>1894</v>
      </c>
      <c r="B58" s="139" t="s">
        <v>1895</v>
      </c>
      <c r="C58" s="139" t="s">
        <v>1683</v>
      </c>
      <c r="D58" s="139">
        <v>-33.24825658</v>
      </c>
      <c r="E58" s="139">
        <v>-62.26883459</v>
      </c>
      <c r="F58" s="139" t="s">
        <v>1652</v>
      </c>
      <c r="G58" s="139">
        <v>87.0</v>
      </c>
      <c r="H58" s="139">
        <v>145.0</v>
      </c>
      <c r="I58" s="139">
        <v>497.0</v>
      </c>
      <c r="J58" s="141"/>
    </row>
    <row r="59" hidden="1">
      <c r="A59" s="142" t="s">
        <v>1898</v>
      </c>
      <c r="B59" s="142" t="s">
        <v>258</v>
      </c>
      <c r="C59" s="142" t="s">
        <v>94</v>
      </c>
      <c r="D59" s="142">
        <v>-32.91314825</v>
      </c>
      <c r="E59" s="142">
        <v>-64.02257996</v>
      </c>
      <c r="F59" s="142" t="s">
        <v>1652</v>
      </c>
      <c r="G59" s="142">
        <v>727.0</v>
      </c>
      <c r="H59" s="142">
        <v>627.0</v>
      </c>
      <c r="I59" s="143">
        <v>1928.0</v>
      </c>
      <c r="J59" s="144"/>
    </row>
    <row r="60" hidden="1">
      <c r="A60" s="139" t="s">
        <v>1900</v>
      </c>
      <c r="B60" s="139" t="s">
        <v>260</v>
      </c>
      <c r="C60" s="139" t="s">
        <v>1839</v>
      </c>
      <c r="D60" s="139">
        <v>-31.87371488</v>
      </c>
      <c r="E60" s="139">
        <v>-63.11739814</v>
      </c>
      <c r="F60" s="139" t="s">
        <v>1652</v>
      </c>
      <c r="G60" s="139">
        <v>700.0</v>
      </c>
      <c r="H60" s="139">
        <v>603.0</v>
      </c>
      <c r="I60" s="140">
        <v>1772.0</v>
      </c>
      <c r="J60" s="141"/>
    </row>
    <row r="61" hidden="1">
      <c r="A61" s="142" t="s">
        <v>1905</v>
      </c>
      <c r="B61" s="142" t="s">
        <v>1906</v>
      </c>
      <c r="C61" s="142" t="s">
        <v>120</v>
      </c>
      <c r="D61" s="142">
        <v>-31.15284155</v>
      </c>
      <c r="E61" s="142">
        <v>-64.47345456</v>
      </c>
      <c r="F61" s="142" t="s">
        <v>1675</v>
      </c>
      <c r="G61" s="142">
        <v>423.0</v>
      </c>
      <c r="H61" s="142">
        <v>221.0</v>
      </c>
      <c r="I61" s="142">
        <v>701.0</v>
      </c>
      <c r="J61" s="144"/>
    </row>
    <row r="62" hidden="1">
      <c r="A62" s="139" t="s">
        <v>1909</v>
      </c>
      <c r="B62" s="139" t="s">
        <v>264</v>
      </c>
      <c r="C62" s="139" t="s">
        <v>1683</v>
      </c>
      <c r="D62" s="139">
        <v>-33.47376498</v>
      </c>
      <c r="E62" s="139">
        <v>-62.33890706</v>
      </c>
      <c r="F62" s="139" t="s">
        <v>1652</v>
      </c>
      <c r="G62" s="139">
        <v>496.0</v>
      </c>
      <c r="H62" s="139">
        <v>419.0</v>
      </c>
      <c r="I62" s="140">
        <v>1240.0</v>
      </c>
      <c r="J62" s="141"/>
    </row>
    <row r="63" hidden="1">
      <c r="A63" s="142" t="s">
        <v>1913</v>
      </c>
      <c r="B63" s="142" t="s">
        <v>214</v>
      </c>
      <c r="C63" s="142" t="s">
        <v>215</v>
      </c>
      <c r="D63" s="142">
        <v>-30.09558385</v>
      </c>
      <c r="E63" s="142">
        <v>-63.93216188</v>
      </c>
      <c r="F63" s="142" t="s">
        <v>1675</v>
      </c>
      <c r="G63" s="142">
        <v>206.0</v>
      </c>
      <c r="H63" s="142">
        <v>91.0</v>
      </c>
      <c r="I63" s="142">
        <v>285.0</v>
      </c>
      <c r="J63" s="144"/>
    </row>
    <row r="64" hidden="1">
      <c r="A64" s="139" t="s">
        <v>1917</v>
      </c>
      <c r="B64" s="139" t="s">
        <v>1918</v>
      </c>
      <c r="C64" s="139" t="s">
        <v>1646</v>
      </c>
      <c r="D64" s="139">
        <v>-33.55562999</v>
      </c>
      <c r="E64" s="139">
        <v>-65.00265474</v>
      </c>
      <c r="F64" s="139" t="s">
        <v>1652</v>
      </c>
      <c r="G64" s="139">
        <v>277.0</v>
      </c>
      <c r="H64" s="139">
        <v>233.0</v>
      </c>
      <c r="I64" s="139">
        <v>767.0</v>
      </c>
      <c r="J64" s="141"/>
    </row>
    <row r="65" hidden="1">
      <c r="A65" s="142" t="s">
        <v>1922</v>
      </c>
      <c r="B65" s="142" t="s">
        <v>275</v>
      </c>
      <c r="C65" s="142" t="s">
        <v>408</v>
      </c>
      <c r="D65" s="142">
        <v>-30.76039667</v>
      </c>
      <c r="E65" s="142">
        <v>-63.56124234</v>
      </c>
      <c r="F65" s="142" t="s">
        <v>1675</v>
      </c>
      <c r="G65" s="142">
        <v>65.0</v>
      </c>
      <c r="H65" s="142">
        <v>53.0</v>
      </c>
      <c r="I65" s="142">
        <v>180.0</v>
      </c>
      <c r="J65" s="144"/>
    </row>
    <row r="66" hidden="1">
      <c r="A66" s="139" t="s">
        <v>1928</v>
      </c>
      <c r="B66" s="139" t="s">
        <v>195</v>
      </c>
      <c r="C66" s="139" t="s">
        <v>90</v>
      </c>
      <c r="D66" s="139">
        <v>-31.41596363</v>
      </c>
      <c r="E66" s="139">
        <v>-65.45125324</v>
      </c>
      <c r="F66" s="139" t="s">
        <v>1675</v>
      </c>
      <c r="G66" s="139">
        <v>181.0</v>
      </c>
      <c r="H66" s="139">
        <v>134.0</v>
      </c>
      <c r="I66" s="139">
        <v>463.0</v>
      </c>
      <c r="J66" s="141"/>
    </row>
    <row r="67" hidden="1">
      <c r="A67" s="142" t="s">
        <v>1931</v>
      </c>
      <c r="B67" s="142" t="s">
        <v>218</v>
      </c>
      <c r="C67" s="142" t="s">
        <v>215</v>
      </c>
      <c r="D67" s="142">
        <v>-29.99840498</v>
      </c>
      <c r="E67" s="142">
        <v>-63.85273423</v>
      </c>
      <c r="F67" s="142" t="s">
        <v>1675</v>
      </c>
      <c r="G67" s="142">
        <v>80.0</v>
      </c>
      <c r="H67" s="142">
        <v>51.0</v>
      </c>
      <c r="I67" s="142">
        <v>186.0</v>
      </c>
      <c r="J67" s="144"/>
    </row>
    <row r="68" hidden="1">
      <c r="A68" s="139" t="s">
        <v>1933</v>
      </c>
      <c r="B68" s="139" t="s">
        <v>284</v>
      </c>
      <c r="C68" s="139" t="s">
        <v>120</v>
      </c>
      <c r="D68" s="139">
        <v>-30.77497906</v>
      </c>
      <c r="E68" s="139">
        <v>-64.54416933</v>
      </c>
      <c r="F68" s="139" t="s">
        <v>1675</v>
      </c>
      <c r="G68" s="139">
        <v>265.0</v>
      </c>
      <c r="H68" s="139">
        <v>176.0</v>
      </c>
      <c r="I68" s="139">
        <v>553.0</v>
      </c>
      <c r="J68" s="141"/>
    </row>
    <row r="69" hidden="1">
      <c r="A69" s="142" t="s">
        <v>1937</v>
      </c>
      <c r="B69" s="142" t="s">
        <v>286</v>
      </c>
      <c r="C69" s="142" t="s">
        <v>94</v>
      </c>
      <c r="D69" s="142">
        <v>-33.02537911</v>
      </c>
      <c r="E69" s="142">
        <v>-64.04687455</v>
      </c>
      <c r="F69" s="142" t="s">
        <v>1652</v>
      </c>
      <c r="G69" s="142">
        <v>432.0</v>
      </c>
      <c r="H69" s="142">
        <v>364.0</v>
      </c>
      <c r="I69" s="143">
        <v>1117.0</v>
      </c>
      <c r="J69" s="144"/>
    </row>
    <row r="70" hidden="1">
      <c r="A70" s="139" t="s">
        <v>1943</v>
      </c>
      <c r="B70" s="139" t="s">
        <v>289</v>
      </c>
      <c r="C70" s="139" t="s">
        <v>1747</v>
      </c>
      <c r="D70" s="139">
        <v>-33.07786868</v>
      </c>
      <c r="E70" s="139">
        <v>-63.27506881</v>
      </c>
      <c r="F70" s="139" t="s">
        <v>1652</v>
      </c>
      <c r="G70" s="139">
        <v>411.0</v>
      </c>
      <c r="H70" s="139">
        <v>357.0</v>
      </c>
      <c r="I70" s="140">
        <v>1080.0</v>
      </c>
      <c r="J70" s="141"/>
    </row>
    <row r="71" hidden="1">
      <c r="A71" s="142" t="s">
        <v>1946</v>
      </c>
      <c r="B71" s="142" t="s">
        <v>292</v>
      </c>
      <c r="C71" s="142" t="s">
        <v>1674</v>
      </c>
      <c r="D71" s="142">
        <v>-32.33269203</v>
      </c>
      <c r="E71" s="142">
        <v>-62.51079567</v>
      </c>
      <c r="F71" s="142" t="s">
        <v>1652</v>
      </c>
      <c r="G71" s="142">
        <v>229.0</v>
      </c>
      <c r="H71" s="142">
        <v>202.0</v>
      </c>
      <c r="I71" s="142">
        <v>614.0</v>
      </c>
      <c r="J71" s="144"/>
    </row>
    <row r="72" hidden="1">
      <c r="A72" s="139" t="s">
        <v>1948</v>
      </c>
      <c r="B72" s="139" t="s">
        <v>296</v>
      </c>
      <c r="C72" s="139" t="s">
        <v>1646</v>
      </c>
      <c r="D72" s="139">
        <v>-33.00933712</v>
      </c>
      <c r="E72" s="139">
        <v>-64.16997479</v>
      </c>
      <c r="F72" s="139" t="s">
        <v>1675</v>
      </c>
      <c r="G72" s="139">
        <v>147.0</v>
      </c>
      <c r="H72" s="139">
        <v>102.0</v>
      </c>
      <c r="I72" s="139">
        <v>304.0</v>
      </c>
      <c r="J72" s="141"/>
    </row>
    <row r="73" hidden="1">
      <c r="A73" s="142" t="s">
        <v>1951</v>
      </c>
      <c r="B73" s="142" t="s">
        <v>149</v>
      </c>
      <c r="C73" s="142" t="s">
        <v>140</v>
      </c>
      <c r="D73" s="142">
        <v>-30.46707417</v>
      </c>
      <c r="E73" s="142">
        <v>-64.67023117</v>
      </c>
      <c r="F73" s="142" t="s">
        <v>1675</v>
      </c>
      <c r="G73" s="142">
        <v>170.0</v>
      </c>
      <c r="H73" s="142">
        <v>151.0</v>
      </c>
      <c r="I73" s="142">
        <v>563.0</v>
      </c>
      <c r="J73" s="144"/>
    </row>
    <row r="74" hidden="1">
      <c r="A74" s="139" t="s">
        <v>1956</v>
      </c>
      <c r="B74" s="139" t="s">
        <v>301</v>
      </c>
      <c r="C74" s="139" t="s">
        <v>72</v>
      </c>
      <c r="D74" s="139">
        <v>-29.9337076</v>
      </c>
      <c r="E74" s="139">
        <v>-64.11256035</v>
      </c>
      <c r="F74" s="139" t="s">
        <v>1675</v>
      </c>
      <c r="G74" s="139">
        <v>154.0</v>
      </c>
      <c r="H74" s="139">
        <v>121.0</v>
      </c>
      <c r="I74" s="139">
        <v>457.0</v>
      </c>
      <c r="J74" s="141"/>
    </row>
    <row r="75" hidden="1">
      <c r="A75" s="142" t="s">
        <v>1963</v>
      </c>
      <c r="B75" s="142" t="s">
        <v>304</v>
      </c>
      <c r="C75" s="142" t="s">
        <v>96</v>
      </c>
      <c r="D75" s="142">
        <v>-30.17374081</v>
      </c>
      <c r="E75" s="142">
        <v>-63.92689089</v>
      </c>
      <c r="F75" s="142" t="s">
        <v>1675</v>
      </c>
      <c r="G75" s="142">
        <v>61.0</v>
      </c>
      <c r="H75" s="142">
        <v>27.0</v>
      </c>
      <c r="I75" s="142">
        <v>58.0</v>
      </c>
      <c r="J75" s="144"/>
    </row>
    <row r="76" hidden="1">
      <c r="A76" s="139" t="s">
        <v>1966</v>
      </c>
      <c r="B76" s="139" t="s">
        <v>173</v>
      </c>
      <c r="C76" s="139" t="s">
        <v>101</v>
      </c>
      <c r="D76" s="139">
        <v>-31.04242189</v>
      </c>
      <c r="E76" s="139">
        <v>-65.2835251</v>
      </c>
      <c r="F76" s="139" t="s">
        <v>1675</v>
      </c>
      <c r="G76" s="139">
        <v>358.0</v>
      </c>
      <c r="H76" s="139">
        <v>241.0</v>
      </c>
      <c r="I76" s="139">
        <v>718.0</v>
      </c>
      <c r="J76" s="141"/>
    </row>
    <row r="77" hidden="1">
      <c r="A77" s="142" t="s">
        <v>1971</v>
      </c>
      <c r="B77" s="142" t="s">
        <v>309</v>
      </c>
      <c r="C77" s="142" t="s">
        <v>1674</v>
      </c>
      <c r="D77" s="142">
        <v>-32.30633182</v>
      </c>
      <c r="E77" s="142">
        <v>-62.65160608</v>
      </c>
      <c r="F77" s="142" t="s">
        <v>1652</v>
      </c>
      <c r="G77" s="142">
        <v>480.0</v>
      </c>
      <c r="H77" s="142">
        <v>407.0</v>
      </c>
      <c r="I77" s="143">
        <v>1205.0</v>
      </c>
      <c r="J77" s="144"/>
    </row>
    <row r="78" hidden="1">
      <c r="A78" s="139" t="s">
        <v>1975</v>
      </c>
      <c r="B78" s="139" t="s">
        <v>312</v>
      </c>
      <c r="C78" s="139" t="s">
        <v>1839</v>
      </c>
      <c r="D78" s="139">
        <v>-31.96456143</v>
      </c>
      <c r="E78" s="139">
        <v>-63.38267835</v>
      </c>
      <c r="F78" s="139" t="s">
        <v>1652</v>
      </c>
      <c r="G78" s="139">
        <v>553.0</v>
      </c>
      <c r="H78" s="139">
        <v>532.0</v>
      </c>
      <c r="I78" s="140">
        <v>1634.0</v>
      </c>
      <c r="J78" s="141"/>
    </row>
    <row r="79" hidden="1">
      <c r="A79" s="142" t="s">
        <v>1977</v>
      </c>
      <c r="B79" s="142" t="s">
        <v>315</v>
      </c>
      <c r="C79" s="142" t="s">
        <v>161</v>
      </c>
      <c r="D79" s="142">
        <v>-32.03502468</v>
      </c>
      <c r="E79" s="142">
        <v>-63.86478458</v>
      </c>
      <c r="F79" s="142" t="s">
        <v>1652</v>
      </c>
      <c r="G79" s="142">
        <v>214.0</v>
      </c>
      <c r="H79" s="142">
        <v>180.0</v>
      </c>
      <c r="I79" s="142">
        <v>541.0</v>
      </c>
      <c r="J79" s="144"/>
    </row>
    <row r="80" hidden="1">
      <c r="A80" s="139" t="s">
        <v>1984</v>
      </c>
      <c r="B80" s="139" t="s">
        <v>316</v>
      </c>
      <c r="C80" s="139" t="s">
        <v>150</v>
      </c>
      <c r="D80" s="139">
        <v>-31.11992819</v>
      </c>
      <c r="E80" s="139">
        <v>-62.234323</v>
      </c>
      <c r="F80" s="139" t="s">
        <v>1675</v>
      </c>
      <c r="G80" s="139">
        <v>7.0</v>
      </c>
      <c r="H80" s="139">
        <v>4.0</v>
      </c>
      <c r="I80" s="139">
        <v>8.0</v>
      </c>
      <c r="J80" s="141"/>
    </row>
    <row r="81" hidden="1">
      <c r="A81" s="142" t="s">
        <v>1988</v>
      </c>
      <c r="B81" s="142" t="s">
        <v>318</v>
      </c>
      <c r="C81" s="142" t="s">
        <v>1683</v>
      </c>
      <c r="D81" s="142">
        <v>-33.25823939</v>
      </c>
      <c r="E81" s="142">
        <v>-62.6075244</v>
      </c>
      <c r="F81" s="142" t="s">
        <v>1675</v>
      </c>
      <c r="G81" s="142">
        <v>73.0</v>
      </c>
      <c r="H81" s="142">
        <v>65.0</v>
      </c>
      <c r="I81" s="142">
        <v>175.0</v>
      </c>
      <c r="J81" s="144"/>
    </row>
    <row r="82" hidden="1">
      <c r="A82" s="139" t="s">
        <v>1992</v>
      </c>
      <c r="B82" s="139" t="s">
        <v>321</v>
      </c>
      <c r="C82" s="139" t="s">
        <v>1674</v>
      </c>
      <c r="D82" s="139">
        <v>-33.30123705</v>
      </c>
      <c r="E82" s="139">
        <v>-62.71264678</v>
      </c>
      <c r="F82" s="139" t="s">
        <v>1652</v>
      </c>
      <c r="G82" s="139">
        <v>146.0</v>
      </c>
      <c r="H82" s="139">
        <v>114.0</v>
      </c>
      <c r="I82" s="139">
        <v>373.0</v>
      </c>
      <c r="J82" s="141"/>
    </row>
    <row r="83" hidden="1">
      <c r="A83" s="142" t="s">
        <v>1995</v>
      </c>
      <c r="B83" s="142" t="s">
        <v>323</v>
      </c>
      <c r="C83" s="142" t="s">
        <v>1674</v>
      </c>
      <c r="D83" s="142">
        <v>-33.4642549</v>
      </c>
      <c r="E83" s="142">
        <v>-62.73117716</v>
      </c>
      <c r="F83" s="142" t="s">
        <v>1675</v>
      </c>
      <c r="G83" s="142">
        <v>50.0</v>
      </c>
      <c r="H83" s="142">
        <v>40.0</v>
      </c>
      <c r="I83" s="142">
        <v>117.0</v>
      </c>
      <c r="J83" s="144"/>
    </row>
    <row r="84" hidden="1">
      <c r="A84" s="139" t="s">
        <v>1999</v>
      </c>
      <c r="B84" s="139" t="s">
        <v>324</v>
      </c>
      <c r="C84" s="139" t="s">
        <v>1664</v>
      </c>
      <c r="D84" s="139">
        <v>-31.02205559</v>
      </c>
      <c r="E84" s="139">
        <v>-64.06171287</v>
      </c>
      <c r="F84" s="139" t="s">
        <v>1652</v>
      </c>
      <c r="G84" s="140">
        <v>6907.0</v>
      </c>
      <c r="H84" s="140">
        <v>6170.0</v>
      </c>
      <c r="I84" s="140">
        <v>20821.0</v>
      </c>
      <c r="J84" s="141"/>
    </row>
    <row r="85" hidden="1">
      <c r="A85" s="142" t="s">
        <v>2005</v>
      </c>
      <c r="B85" s="142" t="s">
        <v>326</v>
      </c>
      <c r="C85" s="142" t="s">
        <v>1683</v>
      </c>
      <c r="D85" s="142">
        <v>-33.31170176</v>
      </c>
      <c r="E85" s="142">
        <v>-62.17646277</v>
      </c>
      <c r="F85" s="142" t="s">
        <v>1652</v>
      </c>
      <c r="G85" s="142">
        <v>270.0</v>
      </c>
      <c r="H85" s="142">
        <v>258.0</v>
      </c>
      <c r="I85" s="142">
        <v>753.0</v>
      </c>
      <c r="J85" s="144"/>
    </row>
    <row r="86" hidden="1">
      <c r="A86" s="139" t="s">
        <v>2007</v>
      </c>
      <c r="B86" s="139" t="s">
        <v>328</v>
      </c>
      <c r="C86" s="139" t="s">
        <v>150</v>
      </c>
      <c r="D86" s="139">
        <v>-31.20783627</v>
      </c>
      <c r="E86" s="139">
        <v>-62.1103101</v>
      </c>
      <c r="F86" s="139" t="s">
        <v>1675</v>
      </c>
      <c r="G86" s="139">
        <v>4.0</v>
      </c>
      <c r="H86" s="139">
        <v>3.0</v>
      </c>
      <c r="I86" s="139">
        <v>6.0</v>
      </c>
      <c r="J86" s="141"/>
    </row>
    <row r="87" hidden="1">
      <c r="A87" s="142" t="s">
        <v>2011</v>
      </c>
      <c r="B87" s="142" t="s">
        <v>330</v>
      </c>
      <c r="C87" s="142" t="s">
        <v>408</v>
      </c>
      <c r="D87" s="142">
        <v>-31.20854804</v>
      </c>
      <c r="E87" s="142">
        <v>-63.22296867</v>
      </c>
      <c r="F87" s="142" t="s">
        <v>1675</v>
      </c>
      <c r="G87" s="142">
        <v>40.0</v>
      </c>
      <c r="H87" s="142">
        <v>30.0</v>
      </c>
      <c r="I87" s="142">
        <v>115.0</v>
      </c>
      <c r="J87" s="144"/>
    </row>
    <row r="88" hidden="1">
      <c r="A88" s="139" t="s">
        <v>2013</v>
      </c>
      <c r="B88" s="139" t="s">
        <v>333</v>
      </c>
      <c r="C88" s="139" t="s">
        <v>150</v>
      </c>
      <c r="D88" s="139">
        <v>-31.24562202</v>
      </c>
      <c r="E88" s="139">
        <v>-62.92531908</v>
      </c>
      <c r="F88" s="139" t="s">
        <v>1675</v>
      </c>
      <c r="G88" s="139">
        <v>55.0</v>
      </c>
      <c r="H88" s="139">
        <v>49.0</v>
      </c>
      <c r="I88" s="139">
        <v>181.0</v>
      </c>
      <c r="J88" s="141"/>
    </row>
    <row r="89" hidden="1">
      <c r="A89" s="142" t="s">
        <v>2019</v>
      </c>
      <c r="B89" s="142" t="s">
        <v>336</v>
      </c>
      <c r="C89" s="142" t="s">
        <v>150</v>
      </c>
      <c r="D89" s="142">
        <v>-31.24876001</v>
      </c>
      <c r="E89" s="142">
        <v>-62.36390595</v>
      </c>
      <c r="F89" s="142" t="s">
        <v>1652</v>
      </c>
      <c r="G89" s="142">
        <v>444.0</v>
      </c>
      <c r="H89" s="142">
        <v>401.0</v>
      </c>
      <c r="I89" s="143">
        <v>1153.0</v>
      </c>
      <c r="J89" s="144"/>
    </row>
    <row r="90" hidden="1">
      <c r="A90" s="139" t="s">
        <v>2024</v>
      </c>
      <c r="B90" s="139" t="s">
        <v>340</v>
      </c>
      <c r="C90" s="139" t="s">
        <v>150</v>
      </c>
      <c r="D90" s="139">
        <v>-31.62870431</v>
      </c>
      <c r="E90" s="139">
        <v>-62.36533986</v>
      </c>
      <c r="F90" s="139" t="s">
        <v>1652</v>
      </c>
      <c r="G90" s="139">
        <v>139.0</v>
      </c>
      <c r="H90" s="139">
        <v>118.0</v>
      </c>
      <c r="I90" s="139">
        <v>377.0</v>
      </c>
      <c r="J90" s="141"/>
    </row>
    <row r="91" hidden="1">
      <c r="A91" s="142" t="s">
        <v>2026</v>
      </c>
      <c r="B91" s="142" t="s">
        <v>2028</v>
      </c>
      <c r="C91" s="142" t="s">
        <v>150</v>
      </c>
      <c r="D91" s="142">
        <v>-31.52790837</v>
      </c>
      <c r="E91" s="142">
        <v>-62.72370408</v>
      </c>
      <c r="F91" s="142" t="s">
        <v>1652</v>
      </c>
      <c r="G91" s="142">
        <v>394.0</v>
      </c>
      <c r="H91" s="142">
        <v>365.0</v>
      </c>
      <c r="I91" s="143">
        <v>1291.0</v>
      </c>
      <c r="J91" s="144"/>
    </row>
    <row r="92" hidden="1">
      <c r="A92" s="139" t="s">
        <v>2031</v>
      </c>
      <c r="B92" s="139" t="s">
        <v>344</v>
      </c>
      <c r="C92" s="139" t="s">
        <v>150</v>
      </c>
      <c r="D92" s="139">
        <v>-30.78309082</v>
      </c>
      <c r="E92" s="139">
        <v>-61.91792924</v>
      </c>
      <c r="F92" s="139" t="s">
        <v>1675</v>
      </c>
      <c r="G92" s="139">
        <v>36.0</v>
      </c>
      <c r="H92" s="139">
        <v>34.0</v>
      </c>
      <c r="I92" s="139">
        <v>151.0</v>
      </c>
      <c r="J92" s="141"/>
    </row>
    <row r="93" hidden="1">
      <c r="A93" s="142" t="s">
        <v>2035</v>
      </c>
      <c r="B93" s="142" t="s">
        <v>345</v>
      </c>
      <c r="C93" s="142" t="s">
        <v>1664</v>
      </c>
      <c r="D93" s="142">
        <v>-31.23727619</v>
      </c>
      <c r="E93" s="142">
        <v>-64.06629579</v>
      </c>
      <c r="F93" s="142" t="s">
        <v>1652</v>
      </c>
      <c r="G93" s="143">
        <v>1628.0</v>
      </c>
      <c r="H93" s="143">
        <v>1465.0</v>
      </c>
      <c r="I93" s="143">
        <v>5342.0</v>
      </c>
      <c r="J93" s="144"/>
    </row>
    <row r="94" hidden="1">
      <c r="A94" s="139" t="s">
        <v>2041</v>
      </c>
      <c r="B94" s="139" t="s">
        <v>347</v>
      </c>
      <c r="C94" s="139" t="s">
        <v>150</v>
      </c>
      <c r="D94" s="139">
        <v>-31.05366273</v>
      </c>
      <c r="E94" s="139">
        <v>-62.23446402</v>
      </c>
      <c r="F94" s="139" t="s">
        <v>1675</v>
      </c>
      <c r="G94" s="139">
        <v>70.0</v>
      </c>
      <c r="H94" s="139">
        <v>62.0</v>
      </c>
      <c r="I94" s="139">
        <v>190.0</v>
      </c>
      <c r="J94" s="141"/>
    </row>
    <row r="95" hidden="1">
      <c r="A95" s="142" t="s">
        <v>2045</v>
      </c>
      <c r="B95" s="142" t="s">
        <v>2047</v>
      </c>
      <c r="C95" s="142" t="s">
        <v>1664</v>
      </c>
      <c r="D95" s="142">
        <v>-31.02852169</v>
      </c>
      <c r="E95" s="142">
        <v>-64.01868279</v>
      </c>
      <c r="F95" s="142" t="s">
        <v>1675</v>
      </c>
      <c r="G95" s="142">
        <v>116.0</v>
      </c>
      <c r="H95" s="142">
        <v>107.0</v>
      </c>
      <c r="I95" s="142">
        <v>352.0</v>
      </c>
      <c r="J95" s="144"/>
    </row>
    <row r="96" hidden="1">
      <c r="A96" s="139" t="s">
        <v>2050</v>
      </c>
      <c r="B96" s="139" t="s">
        <v>354</v>
      </c>
      <c r="C96" s="139" t="s">
        <v>1839</v>
      </c>
      <c r="D96" s="139">
        <v>-31.91727697</v>
      </c>
      <c r="E96" s="139">
        <v>-63.50350808</v>
      </c>
      <c r="F96" s="139" t="s">
        <v>1675</v>
      </c>
      <c r="G96" s="139">
        <v>23.0</v>
      </c>
      <c r="H96" s="139">
        <v>19.0</v>
      </c>
      <c r="I96" s="139">
        <v>78.0</v>
      </c>
      <c r="J96" s="141"/>
    </row>
    <row r="97" hidden="1">
      <c r="A97" s="142" t="s">
        <v>2054</v>
      </c>
      <c r="B97" s="142" t="s">
        <v>357</v>
      </c>
      <c r="C97" s="142" t="s">
        <v>150</v>
      </c>
      <c r="D97" s="142">
        <v>-30.84141916</v>
      </c>
      <c r="E97" s="142">
        <v>-61.95661365</v>
      </c>
      <c r="F97" s="142" t="s">
        <v>1652</v>
      </c>
      <c r="G97" s="142">
        <v>203.0</v>
      </c>
      <c r="H97" s="142">
        <v>181.0</v>
      </c>
      <c r="I97" s="142">
        <v>727.0</v>
      </c>
      <c r="J97" s="144"/>
    </row>
    <row r="98" hidden="1">
      <c r="A98" s="139" t="s">
        <v>2058</v>
      </c>
      <c r="B98" s="139" t="s">
        <v>359</v>
      </c>
      <c r="C98" s="139" t="s">
        <v>408</v>
      </c>
      <c r="D98" s="139">
        <v>-31.17148873</v>
      </c>
      <c r="E98" s="139">
        <v>-63.60532599</v>
      </c>
      <c r="F98" s="139" t="s">
        <v>1675</v>
      </c>
      <c r="G98" s="139">
        <v>97.0</v>
      </c>
      <c r="H98" s="139">
        <v>85.0</v>
      </c>
      <c r="I98" s="139">
        <v>287.0</v>
      </c>
      <c r="J98" s="141"/>
    </row>
    <row r="99" hidden="1">
      <c r="A99" s="142" t="s">
        <v>2062</v>
      </c>
      <c r="B99" s="142" t="s">
        <v>282</v>
      </c>
      <c r="C99" s="142" t="s">
        <v>107</v>
      </c>
      <c r="D99" s="142">
        <v>-32.07735347</v>
      </c>
      <c r="E99" s="142">
        <v>-65.22946045</v>
      </c>
      <c r="F99" s="142" t="s">
        <v>1675</v>
      </c>
      <c r="G99" s="142">
        <v>155.0</v>
      </c>
      <c r="H99" s="142">
        <v>126.0</v>
      </c>
      <c r="I99" s="142">
        <v>508.0</v>
      </c>
      <c r="J99" s="144"/>
    </row>
    <row r="100" hidden="1">
      <c r="A100" s="139" t="s">
        <v>2065</v>
      </c>
      <c r="B100" s="139" t="s">
        <v>153</v>
      </c>
      <c r="C100" s="139" t="s">
        <v>140</v>
      </c>
      <c r="D100" s="139">
        <v>-30.64290203</v>
      </c>
      <c r="E100" s="139">
        <v>-64.4995043</v>
      </c>
      <c r="F100" s="139" t="s">
        <v>1675</v>
      </c>
      <c r="G100" s="139">
        <v>31.0</v>
      </c>
      <c r="H100" s="139">
        <v>18.0</v>
      </c>
      <c r="I100" s="139">
        <v>74.0</v>
      </c>
      <c r="J100" s="141"/>
    </row>
    <row r="101" hidden="1">
      <c r="A101" s="142" t="s">
        <v>2069</v>
      </c>
      <c r="B101" s="142" t="s">
        <v>1986</v>
      </c>
      <c r="C101" s="142" t="s">
        <v>58</v>
      </c>
      <c r="D101" s="142">
        <v>-31.41680447</v>
      </c>
      <c r="E101" s="142">
        <v>-64.18360653</v>
      </c>
      <c r="F101" s="142" t="s">
        <v>1652</v>
      </c>
      <c r="G101" s="143">
        <v>473025.0</v>
      </c>
      <c r="H101" s="143">
        <v>414237.0</v>
      </c>
      <c r="I101" s="143">
        <v>1329604.0</v>
      </c>
      <c r="J101" s="144"/>
    </row>
    <row r="102" hidden="1">
      <c r="A102" s="139" t="s">
        <v>2072</v>
      </c>
      <c r="B102" s="139" t="s">
        <v>365</v>
      </c>
      <c r="C102" s="139" t="s">
        <v>1646</v>
      </c>
      <c r="D102" s="139">
        <v>-32.84740453</v>
      </c>
      <c r="E102" s="139">
        <v>-64.36107701</v>
      </c>
      <c r="F102" s="139" t="s">
        <v>1652</v>
      </c>
      <c r="G102" s="139">
        <v>531.0</v>
      </c>
      <c r="H102" s="139">
        <v>464.0</v>
      </c>
      <c r="I102" s="140">
        <v>1532.0</v>
      </c>
      <c r="J102" s="141"/>
    </row>
    <row r="103" hidden="1">
      <c r="A103" s="142" t="s">
        <v>2076</v>
      </c>
      <c r="B103" s="142" t="s">
        <v>367</v>
      </c>
      <c r="C103" s="142" t="s">
        <v>1646</v>
      </c>
      <c r="D103" s="142">
        <v>-33.62272852</v>
      </c>
      <c r="E103" s="142">
        <v>-64.59704814</v>
      </c>
      <c r="F103" s="142" t="s">
        <v>1652</v>
      </c>
      <c r="G103" s="143">
        <v>3377.0</v>
      </c>
      <c r="H103" s="143">
        <v>2931.0</v>
      </c>
      <c r="I103" s="143">
        <v>9010.0</v>
      </c>
      <c r="J103" s="144"/>
    </row>
    <row r="104" hidden="1">
      <c r="A104" s="139" t="s">
        <v>2080</v>
      </c>
      <c r="B104" s="139" t="s">
        <v>370</v>
      </c>
      <c r="C104" s="139" t="s">
        <v>1683</v>
      </c>
      <c r="D104" s="139">
        <v>-33.28309285</v>
      </c>
      <c r="E104" s="139">
        <v>-62.18654292</v>
      </c>
      <c r="F104" s="139" t="s">
        <v>1652</v>
      </c>
      <c r="G104" s="140">
        <v>4214.0</v>
      </c>
      <c r="H104" s="140">
        <v>3719.0</v>
      </c>
      <c r="I104" s="140">
        <v>10426.0</v>
      </c>
      <c r="J104" s="141"/>
    </row>
    <row r="105" hidden="1">
      <c r="A105" s="142" t="s">
        <v>2083</v>
      </c>
      <c r="B105" s="142" t="s">
        <v>372</v>
      </c>
      <c r="C105" s="142" t="s">
        <v>161</v>
      </c>
      <c r="D105" s="142">
        <v>-32.02372321</v>
      </c>
      <c r="E105" s="142">
        <v>-64.1919905</v>
      </c>
      <c r="F105" s="142" t="s">
        <v>1652</v>
      </c>
      <c r="G105" s="142">
        <v>657.0</v>
      </c>
      <c r="H105" s="142">
        <v>548.0</v>
      </c>
      <c r="I105" s="143">
        <v>1757.0</v>
      </c>
      <c r="J105" s="144"/>
    </row>
    <row r="106" hidden="1">
      <c r="A106" s="139" t="s">
        <v>2087</v>
      </c>
      <c r="B106" s="139" t="s">
        <v>2088</v>
      </c>
      <c r="C106" s="139" t="s">
        <v>120</v>
      </c>
      <c r="D106" s="139">
        <v>-31.24366828</v>
      </c>
      <c r="E106" s="139">
        <v>-64.46534855</v>
      </c>
      <c r="F106" s="139" t="s">
        <v>1652</v>
      </c>
      <c r="G106" s="140">
        <v>8065.0</v>
      </c>
      <c r="H106" s="140">
        <v>6310.0</v>
      </c>
      <c r="I106" s="140">
        <v>19815.0</v>
      </c>
      <c r="J106" s="141"/>
    </row>
    <row r="107" hidden="1">
      <c r="A107" s="142" t="s">
        <v>2091</v>
      </c>
      <c r="B107" s="142" t="s">
        <v>2093</v>
      </c>
      <c r="C107" s="142" t="s">
        <v>1839</v>
      </c>
      <c r="D107" s="142">
        <v>-31.64531923</v>
      </c>
      <c r="E107" s="142">
        <v>-63.75886866</v>
      </c>
      <c r="F107" s="142" t="s">
        <v>1652</v>
      </c>
      <c r="G107" s="142">
        <v>506.0</v>
      </c>
      <c r="H107" s="142">
        <v>456.0</v>
      </c>
      <c r="I107" s="143">
        <v>1485.0</v>
      </c>
      <c r="J107" s="144"/>
    </row>
    <row r="108" hidden="1">
      <c r="A108" s="139" t="s">
        <v>2098</v>
      </c>
      <c r="B108" s="139" t="s">
        <v>378</v>
      </c>
      <c r="C108" s="139" t="s">
        <v>1683</v>
      </c>
      <c r="D108" s="139">
        <v>-33.00839973</v>
      </c>
      <c r="E108" s="139">
        <v>-61.80577928</v>
      </c>
      <c r="F108" s="139" t="s">
        <v>1652</v>
      </c>
      <c r="G108" s="140">
        <v>2871.0</v>
      </c>
      <c r="H108" s="140">
        <v>2551.0</v>
      </c>
      <c r="I108" s="140">
        <v>7200.0</v>
      </c>
      <c r="J108" s="141"/>
    </row>
    <row r="109" hidden="1">
      <c r="A109" s="142" t="s">
        <v>2105</v>
      </c>
      <c r="B109" s="142" t="s">
        <v>62</v>
      </c>
      <c r="C109" s="142" t="s">
        <v>39</v>
      </c>
      <c r="D109" s="142">
        <v>-31.06640883</v>
      </c>
      <c r="E109" s="142">
        <v>-64.94211232</v>
      </c>
      <c r="F109" s="142" t="s">
        <v>1675</v>
      </c>
      <c r="G109" s="142">
        <v>187.0</v>
      </c>
      <c r="H109" s="142">
        <v>101.0</v>
      </c>
      <c r="I109" s="142">
        <v>352.0</v>
      </c>
      <c r="J109" s="144"/>
    </row>
    <row r="110" hidden="1">
      <c r="A110" s="139" t="s">
        <v>2108</v>
      </c>
      <c r="B110" s="139" t="s">
        <v>39</v>
      </c>
      <c r="C110" s="139" t="s">
        <v>39</v>
      </c>
      <c r="D110" s="139">
        <v>-30.74392879</v>
      </c>
      <c r="E110" s="139">
        <v>-64.79077626</v>
      </c>
      <c r="F110" s="139" t="s">
        <v>1652</v>
      </c>
      <c r="G110" s="140">
        <v>9496.0</v>
      </c>
      <c r="H110" s="140">
        <v>8492.0</v>
      </c>
      <c r="I110" s="140">
        <v>30844.0</v>
      </c>
      <c r="J110" s="141"/>
    </row>
    <row r="111" hidden="1">
      <c r="A111" s="142" t="s">
        <v>2112</v>
      </c>
      <c r="B111" s="142" t="s">
        <v>383</v>
      </c>
      <c r="C111" s="142" t="s">
        <v>120</v>
      </c>
      <c r="D111" s="142">
        <v>-31.48033485</v>
      </c>
      <c r="E111" s="142">
        <v>-64.57869218</v>
      </c>
      <c r="F111" s="142" t="s">
        <v>1675</v>
      </c>
      <c r="G111" s="142">
        <v>411.0</v>
      </c>
      <c r="H111" s="142">
        <v>171.0</v>
      </c>
      <c r="I111" s="142">
        <v>510.0</v>
      </c>
      <c r="J111" s="144"/>
    </row>
    <row r="112" hidden="1">
      <c r="A112" s="139" t="s">
        <v>2118</v>
      </c>
      <c r="B112" s="139" t="s">
        <v>2120</v>
      </c>
      <c r="C112" s="139" t="s">
        <v>161</v>
      </c>
      <c r="D112" s="139">
        <v>-32.60860036</v>
      </c>
      <c r="E112" s="139">
        <v>-63.58349103</v>
      </c>
      <c r="F112" s="139" t="s">
        <v>1652</v>
      </c>
      <c r="G112" s="139">
        <v>583.0</v>
      </c>
      <c r="H112" s="139">
        <v>493.0</v>
      </c>
      <c r="I112" s="140">
        <v>1565.0</v>
      </c>
      <c r="J112" s="141"/>
    </row>
    <row r="113" hidden="1">
      <c r="A113" s="142" t="s">
        <v>2125</v>
      </c>
      <c r="B113" s="142" t="s">
        <v>157</v>
      </c>
      <c r="C113" s="142" t="s">
        <v>140</v>
      </c>
      <c r="D113" s="142">
        <v>-30.42497718</v>
      </c>
      <c r="E113" s="142">
        <v>-64.35273931</v>
      </c>
      <c r="F113" s="142" t="s">
        <v>1652</v>
      </c>
      <c r="G113" s="143">
        <v>6874.0</v>
      </c>
      <c r="H113" s="143">
        <v>6001.0</v>
      </c>
      <c r="I113" s="143">
        <v>21518.0</v>
      </c>
      <c r="J113" s="144"/>
    </row>
    <row r="114" hidden="1">
      <c r="A114" s="139" t="s">
        <v>2128</v>
      </c>
      <c r="B114" s="139" t="s">
        <v>364</v>
      </c>
      <c r="C114" s="139" t="s">
        <v>31</v>
      </c>
      <c r="D114" s="139">
        <v>-34.37885498</v>
      </c>
      <c r="E114" s="139">
        <v>-64.49712778</v>
      </c>
      <c r="F114" s="139" t="s">
        <v>1652</v>
      </c>
      <c r="G114" s="140">
        <v>1371.0</v>
      </c>
      <c r="H114" s="140">
        <v>1165.0</v>
      </c>
      <c r="I114" s="140">
        <v>3508.0</v>
      </c>
      <c r="J114" s="141"/>
    </row>
    <row r="115" hidden="1">
      <c r="A115" s="142" t="s">
        <v>2133</v>
      </c>
      <c r="B115" s="142" t="s">
        <v>390</v>
      </c>
      <c r="C115" s="142" t="s">
        <v>1702</v>
      </c>
      <c r="D115" s="142">
        <v>-31.81428055</v>
      </c>
      <c r="E115" s="142">
        <v>-64.294775</v>
      </c>
      <c r="F115" s="142" t="s">
        <v>1652</v>
      </c>
      <c r="G115" s="143">
        <v>2184.0</v>
      </c>
      <c r="H115" s="143">
        <v>1846.0</v>
      </c>
      <c r="I115" s="143">
        <v>5988.0</v>
      </c>
      <c r="J115" s="144"/>
    </row>
    <row r="116" hidden="1">
      <c r="A116" s="139" t="s">
        <v>2136</v>
      </c>
      <c r="B116" s="139" t="s">
        <v>392</v>
      </c>
      <c r="C116" s="139" t="s">
        <v>150</v>
      </c>
      <c r="D116" s="139">
        <v>-31.40178216</v>
      </c>
      <c r="E116" s="139">
        <v>-62.3062227</v>
      </c>
      <c r="F116" s="139" t="s">
        <v>1652</v>
      </c>
      <c r="G116" s="140">
        <v>2245.0</v>
      </c>
      <c r="H116" s="140">
        <v>2037.0</v>
      </c>
      <c r="I116" s="140">
        <v>6133.0</v>
      </c>
      <c r="J116" s="141"/>
    </row>
    <row r="117" hidden="1">
      <c r="A117" s="142" t="s">
        <v>2139</v>
      </c>
      <c r="B117" s="142" t="s">
        <v>394</v>
      </c>
      <c r="C117" s="142" t="s">
        <v>408</v>
      </c>
      <c r="D117" s="142">
        <v>-31.02854117</v>
      </c>
      <c r="E117" s="142">
        <v>-63.338385</v>
      </c>
      <c r="F117" s="142" t="s">
        <v>1675</v>
      </c>
      <c r="G117" s="142">
        <v>168.0</v>
      </c>
      <c r="H117" s="142">
        <v>146.0</v>
      </c>
      <c r="I117" s="142">
        <v>509.0</v>
      </c>
      <c r="J117" s="144"/>
    </row>
    <row r="118" hidden="1">
      <c r="A118" s="139" t="s">
        <v>2142</v>
      </c>
      <c r="B118" s="139" t="s">
        <v>398</v>
      </c>
      <c r="C118" s="139" t="s">
        <v>1702</v>
      </c>
      <c r="D118" s="139">
        <v>-31.74584912</v>
      </c>
      <c r="E118" s="139">
        <v>-64.36581086</v>
      </c>
      <c r="F118" s="139" t="s">
        <v>1675</v>
      </c>
      <c r="G118" s="139">
        <v>207.0</v>
      </c>
      <c r="H118" s="139">
        <v>76.0</v>
      </c>
      <c r="I118" s="139">
        <v>259.0</v>
      </c>
      <c r="J118" s="141"/>
    </row>
    <row r="119" hidden="1">
      <c r="A119" s="142" t="s">
        <v>2155</v>
      </c>
      <c r="B119" s="142" t="s">
        <v>400</v>
      </c>
      <c r="C119" s="142" t="s">
        <v>150</v>
      </c>
      <c r="D119" s="142">
        <v>-31.74303453</v>
      </c>
      <c r="E119" s="142">
        <v>-62.88962675</v>
      </c>
      <c r="F119" s="142" t="s">
        <v>1652</v>
      </c>
      <c r="G119" s="142">
        <v>577.0</v>
      </c>
      <c r="H119" s="142">
        <v>554.0</v>
      </c>
      <c r="I119" s="143">
        <v>1776.0</v>
      </c>
      <c r="J119" s="144"/>
    </row>
    <row r="120" hidden="1">
      <c r="A120" s="139" t="s">
        <v>2161</v>
      </c>
      <c r="B120" s="139" t="s">
        <v>73</v>
      </c>
      <c r="C120" s="139" t="s">
        <v>39</v>
      </c>
      <c r="D120" s="139">
        <v>-30.67263481</v>
      </c>
      <c r="E120" s="139">
        <v>-64.87189846</v>
      </c>
      <c r="F120" s="139" t="s">
        <v>1652</v>
      </c>
      <c r="G120" s="139">
        <v>517.0</v>
      </c>
      <c r="H120" s="139">
        <v>527.0</v>
      </c>
      <c r="I120" s="140">
        <v>2327.0</v>
      </c>
      <c r="J120" s="141"/>
    </row>
    <row r="121" hidden="1">
      <c r="A121" s="142" t="s">
        <v>2166</v>
      </c>
      <c r="B121" s="142" t="s">
        <v>175</v>
      </c>
      <c r="C121" s="142" t="s">
        <v>101</v>
      </c>
      <c r="D121" s="142">
        <v>-30.80038264</v>
      </c>
      <c r="E121" s="142">
        <v>-65.65640422</v>
      </c>
      <c r="F121" s="142" t="s">
        <v>1675</v>
      </c>
      <c r="G121" s="142">
        <v>124.0</v>
      </c>
      <c r="H121" s="142">
        <v>106.0</v>
      </c>
      <c r="I121" s="142">
        <v>401.0</v>
      </c>
      <c r="J121" s="144"/>
    </row>
    <row r="122" hidden="1">
      <c r="A122" s="139" t="s">
        <v>2169</v>
      </c>
      <c r="B122" s="139" t="s">
        <v>422</v>
      </c>
      <c r="C122" s="139" t="s">
        <v>408</v>
      </c>
      <c r="D122" s="139">
        <v>-31.01760673</v>
      </c>
      <c r="E122" s="139">
        <v>-63.60535117</v>
      </c>
      <c r="F122" s="139" t="s">
        <v>1675</v>
      </c>
      <c r="G122" s="139">
        <v>77.0</v>
      </c>
      <c r="H122" s="139">
        <v>60.0</v>
      </c>
      <c r="I122" s="139">
        <v>220.0</v>
      </c>
      <c r="J122" s="141"/>
    </row>
    <row r="123" hidden="1">
      <c r="A123" s="142" t="s">
        <v>2178</v>
      </c>
      <c r="B123" s="142" t="s">
        <v>2179</v>
      </c>
      <c r="C123" s="142" t="s">
        <v>150</v>
      </c>
      <c r="D123" s="142">
        <v>-31.96692021</v>
      </c>
      <c r="E123" s="142">
        <v>-62.3001763</v>
      </c>
      <c r="F123" s="142" t="s">
        <v>1652</v>
      </c>
      <c r="G123" s="142">
        <v>501.0</v>
      </c>
      <c r="H123" s="142">
        <v>473.0</v>
      </c>
      <c r="I123" s="143">
        <v>1648.0</v>
      </c>
      <c r="J123" s="144"/>
    </row>
    <row r="124" hidden="1">
      <c r="A124" s="139" t="s">
        <v>2182</v>
      </c>
      <c r="B124" s="139" t="s">
        <v>409</v>
      </c>
      <c r="C124" s="139" t="s">
        <v>1664</v>
      </c>
      <c r="D124" s="139">
        <v>-31.08423084</v>
      </c>
      <c r="E124" s="139">
        <v>-64.29869766</v>
      </c>
      <c r="F124" s="139" t="s">
        <v>1675</v>
      </c>
      <c r="G124" s="139">
        <v>523.0</v>
      </c>
      <c r="H124" s="139">
        <v>382.0</v>
      </c>
      <c r="I124" s="140">
        <v>1298.0</v>
      </c>
      <c r="J124" s="141"/>
    </row>
    <row r="125" hidden="1">
      <c r="A125" s="142" t="s">
        <v>2186</v>
      </c>
      <c r="B125" s="142" t="s">
        <v>412</v>
      </c>
      <c r="C125" s="142" t="s">
        <v>94</v>
      </c>
      <c r="D125" s="142">
        <v>-33.66618345</v>
      </c>
      <c r="E125" s="142">
        <v>-63.53933292</v>
      </c>
      <c r="F125" s="142" t="s">
        <v>1675</v>
      </c>
      <c r="G125" s="142">
        <v>40.0</v>
      </c>
      <c r="H125" s="142">
        <v>27.0</v>
      </c>
      <c r="I125" s="142">
        <v>85.0</v>
      </c>
      <c r="J125" s="144"/>
    </row>
    <row r="126" hidden="1">
      <c r="A126" s="139" t="s">
        <v>2191</v>
      </c>
      <c r="B126" s="139" t="s">
        <v>346</v>
      </c>
      <c r="C126" s="139" t="s">
        <v>96</v>
      </c>
      <c r="D126" s="139">
        <v>-30.17523812</v>
      </c>
      <c r="E126" s="139">
        <v>-63.86413119</v>
      </c>
      <c r="F126" s="139" t="s">
        <v>1675</v>
      </c>
      <c r="G126" s="139">
        <v>78.0</v>
      </c>
      <c r="H126" s="139">
        <v>67.0</v>
      </c>
      <c r="I126" s="139">
        <v>236.0</v>
      </c>
      <c r="J126" s="141"/>
    </row>
    <row r="127" hidden="1">
      <c r="A127" s="142" t="s">
        <v>2196</v>
      </c>
      <c r="B127" s="142" t="s">
        <v>2198</v>
      </c>
      <c r="C127" s="142" t="s">
        <v>150</v>
      </c>
      <c r="D127" s="142">
        <v>-31.38542052</v>
      </c>
      <c r="E127" s="142">
        <v>-62.8281977</v>
      </c>
      <c r="F127" s="142" t="s">
        <v>1652</v>
      </c>
      <c r="G127" s="142">
        <v>702.0</v>
      </c>
      <c r="H127" s="142">
        <v>623.0</v>
      </c>
      <c r="I127" s="143">
        <v>1920.0</v>
      </c>
      <c r="J127" s="144"/>
    </row>
    <row r="128" hidden="1">
      <c r="A128" s="139" t="s">
        <v>2201</v>
      </c>
      <c r="B128" s="139" t="s">
        <v>417</v>
      </c>
      <c r="C128" s="139" t="s">
        <v>1646</v>
      </c>
      <c r="D128" s="139">
        <v>-32.57039396</v>
      </c>
      <c r="E128" s="139">
        <v>-64.39390493</v>
      </c>
      <c r="F128" s="139" t="s">
        <v>1652</v>
      </c>
      <c r="G128" s="140">
        <v>1184.0</v>
      </c>
      <c r="H128" s="140">
        <v>1024.0</v>
      </c>
      <c r="I128" s="140">
        <v>3007.0</v>
      </c>
      <c r="J128" s="141"/>
    </row>
    <row r="129" hidden="1">
      <c r="A129" s="142" t="s">
        <v>2206</v>
      </c>
      <c r="B129" s="142" t="s">
        <v>419</v>
      </c>
      <c r="C129" s="142" t="s">
        <v>32</v>
      </c>
      <c r="D129" s="142">
        <v>-32.20674699</v>
      </c>
      <c r="E129" s="142">
        <v>-64.40064261</v>
      </c>
      <c r="F129" s="142" t="s">
        <v>1652</v>
      </c>
      <c r="G129" s="143">
        <v>3379.0</v>
      </c>
      <c r="H129" s="143">
        <v>2572.0</v>
      </c>
      <c r="I129" s="143">
        <v>9107.0</v>
      </c>
      <c r="J129" s="144"/>
    </row>
    <row r="130" hidden="1">
      <c r="A130" s="139" t="s">
        <v>2210</v>
      </c>
      <c r="B130" s="139" t="s">
        <v>420</v>
      </c>
      <c r="C130" s="139" t="s">
        <v>408</v>
      </c>
      <c r="D130" s="139">
        <v>-31.07791215</v>
      </c>
      <c r="E130" s="139">
        <v>-63.79364055</v>
      </c>
      <c r="F130" s="139" t="s">
        <v>1675</v>
      </c>
      <c r="G130" s="139">
        <v>99.0</v>
      </c>
      <c r="H130" s="139">
        <v>89.0</v>
      </c>
      <c r="I130" s="139">
        <v>273.0</v>
      </c>
      <c r="J130" s="141"/>
    </row>
    <row r="131" hidden="1">
      <c r="A131" s="142" t="s">
        <v>2213</v>
      </c>
      <c r="B131" s="142" t="s">
        <v>2215</v>
      </c>
      <c r="C131" s="142" t="s">
        <v>1664</v>
      </c>
      <c r="D131" s="142">
        <v>-31.13448064</v>
      </c>
      <c r="E131" s="142">
        <v>-64.14015062</v>
      </c>
      <c r="F131" s="142" t="s">
        <v>1652</v>
      </c>
      <c r="G131" s="142">
        <v>753.0</v>
      </c>
      <c r="H131" s="142">
        <v>687.0</v>
      </c>
      <c r="I131" s="143">
        <v>2253.0</v>
      </c>
      <c r="J131" s="144"/>
    </row>
    <row r="132" hidden="1">
      <c r="A132" s="139" t="s">
        <v>2219</v>
      </c>
      <c r="B132" s="139" t="s">
        <v>2222</v>
      </c>
      <c r="C132" s="139" t="s">
        <v>1664</v>
      </c>
      <c r="D132" s="139">
        <v>-31.27572983</v>
      </c>
      <c r="E132" s="139">
        <v>-64.1646158</v>
      </c>
      <c r="F132" s="139" t="s">
        <v>1652</v>
      </c>
      <c r="G132" s="140">
        <v>3062.0</v>
      </c>
      <c r="H132" s="140">
        <v>2913.0</v>
      </c>
      <c r="I132" s="140">
        <v>12129.0</v>
      </c>
      <c r="J132" s="141"/>
    </row>
    <row r="133" hidden="1">
      <c r="A133" s="142" t="s">
        <v>2225</v>
      </c>
      <c r="B133" s="142" t="s">
        <v>177</v>
      </c>
      <c r="C133" s="142" t="s">
        <v>101</v>
      </c>
      <c r="D133" s="142">
        <v>-31.13007574</v>
      </c>
      <c r="E133" s="142">
        <v>-65.21597547</v>
      </c>
      <c r="F133" s="142" t="s">
        <v>1675</v>
      </c>
      <c r="G133" s="142">
        <v>249.0</v>
      </c>
      <c r="H133" s="142">
        <v>167.0</v>
      </c>
      <c r="I133" s="142">
        <v>522.0</v>
      </c>
      <c r="J133" s="144"/>
    </row>
    <row r="134" hidden="1">
      <c r="A134" s="139" t="s">
        <v>2228</v>
      </c>
      <c r="B134" s="139" t="s">
        <v>426</v>
      </c>
      <c r="C134" s="139" t="s">
        <v>120</v>
      </c>
      <c r="D134" s="139">
        <v>-31.38202743</v>
      </c>
      <c r="E134" s="139">
        <v>-64.53142186</v>
      </c>
      <c r="F134" s="139" t="s">
        <v>1675</v>
      </c>
      <c r="G134" s="139">
        <v>655.0</v>
      </c>
      <c r="H134" s="139">
        <v>284.0</v>
      </c>
      <c r="I134" s="139">
        <v>909.0</v>
      </c>
      <c r="J134" s="141"/>
    </row>
    <row r="135" hidden="1">
      <c r="A135" s="142" t="s">
        <v>2233</v>
      </c>
      <c r="B135" s="142" t="s">
        <v>428</v>
      </c>
      <c r="C135" s="142" t="s">
        <v>1747</v>
      </c>
      <c r="D135" s="142">
        <v>-32.93923162</v>
      </c>
      <c r="E135" s="142">
        <v>-63.24500803</v>
      </c>
      <c r="F135" s="142" t="s">
        <v>1652</v>
      </c>
      <c r="G135" s="143">
        <v>1573.0</v>
      </c>
      <c r="H135" s="143">
        <v>1413.0</v>
      </c>
      <c r="I135" s="143">
        <v>4130.0</v>
      </c>
      <c r="J135" s="144"/>
    </row>
    <row r="136" hidden="1">
      <c r="A136" s="139" t="s">
        <v>2236</v>
      </c>
      <c r="B136" s="139" t="s">
        <v>220</v>
      </c>
      <c r="C136" s="139" t="s">
        <v>215</v>
      </c>
      <c r="D136" s="139">
        <v>-29.92473822</v>
      </c>
      <c r="E136" s="139">
        <v>-63.5908148</v>
      </c>
      <c r="F136" s="139" t="s">
        <v>1675</v>
      </c>
      <c r="G136" s="139">
        <v>74.0</v>
      </c>
      <c r="H136" s="139">
        <v>59.0</v>
      </c>
      <c r="I136" s="139">
        <v>166.0</v>
      </c>
      <c r="J136" s="141"/>
    </row>
    <row r="137" hidden="1">
      <c r="A137" s="142" t="s">
        <v>2239</v>
      </c>
      <c r="B137" s="142" t="s">
        <v>432</v>
      </c>
      <c r="C137" s="142" t="s">
        <v>1702</v>
      </c>
      <c r="D137" s="142">
        <v>-31.58535762</v>
      </c>
      <c r="E137" s="142">
        <v>-64.45464818</v>
      </c>
      <c r="F137" s="142" t="s">
        <v>1675</v>
      </c>
      <c r="G137" s="142">
        <v>246.0</v>
      </c>
      <c r="H137" s="142">
        <v>189.0</v>
      </c>
      <c r="I137" s="142">
        <v>610.0</v>
      </c>
      <c r="J137" s="144"/>
    </row>
    <row r="138" hidden="1">
      <c r="A138" s="139" t="s">
        <v>2243</v>
      </c>
      <c r="B138" s="139" t="s">
        <v>435</v>
      </c>
      <c r="C138" s="139" t="s">
        <v>150</v>
      </c>
      <c r="D138" s="139">
        <v>-31.16457226</v>
      </c>
      <c r="E138" s="139">
        <v>-62.09631885</v>
      </c>
      <c r="F138" s="139" t="s">
        <v>1652</v>
      </c>
      <c r="G138" s="140">
        <v>2505.0</v>
      </c>
      <c r="H138" s="140">
        <v>2297.0</v>
      </c>
      <c r="I138" s="140">
        <v>6922.0</v>
      </c>
      <c r="J138" s="141"/>
    </row>
    <row r="139" hidden="1">
      <c r="A139" s="142" t="s">
        <v>2249</v>
      </c>
      <c r="B139" s="142" t="s">
        <v>437</v>
      </c>
      <c r="C139" s="142" t="s">
        <v>1683</v>
      </c>
      <c r="D139" s="142">
        <v>-33.12208059</v>
      </c>
      <c r="E139" s="142">
        <v>-62.30288417</v>
      </c>
      <c r="F139" s="142" t="s">
        <v>1652</v>
      </c>
      <c r="G139" s="142">
        <v>875.0</v>
      </c>
      <c r="H139" s="142">
        <v>810.0</v>
      </c>
      <c r="I139" s="143">
        <v>2397.0</v>
      </c>
      <c r="J139" s="144"/>
    </row>
    <row r="140" hidden="1">
      <c r="A140" s="139" t="s">
        <v>2254</v>
      </c>
      <c r="B140" s="139" t="s">
        <v>439</v>
      </c>
      <c r="C140" s="139" t="s">
        <v>94</v>
      </c>
      <c r="D140" s="139">
        <v>-32.81457295</v>
      </c>
      <c r="E140" s="139">
        <v>-63.87495722</v>
      </c>
      <c r="F140" s="139" t="s">
        <v>1652</v>
      </c>
      <c r="G140" s="140">
        <v>4238.0</v>
      </c>
      <c r="H140" s="140">
        <v>3800.0</v>
      </c>
      <c r="I140" s="140">
        <v>11837.0</v>
      </c>
      <c r="J140" s="141"/>
    </row>
    <row r="141" hidden="1">
      <c r="A141" s="142" t="s">
        <v>2257</v>
      </c>
      <c r="B141" s="142" t="s">
        <v>441</v>
      </c>
      <c r="C141" s="142" t="s">
        <v>94</v>
      </c>
      <c r="D141" s="142">
        <v>-32.75632726</v>
      </c>
      <c r="E141" s="142">
        <v>-63.78913255</v>
      </c>
      <c r="F141" s="142" t="s">
        <v>1652</v>
      </c>
      <c r="G141" s="143">
        <v>3843.0</v>
      </c>
      <c r="H141" s="143">
        <v>3475.0</v>
      </c>
      <c r="I141" s="143">
        <v>11083.0</v>
      </c>
      <c r="J141" s="144"/>
    </row>
    <row r="142" hidden="1">
      <c r="A142" s="139" t="s">
        <v>2264</v>
      </c>
      <c r="B142" s="139" t="s">
        <v>442</v>
      </c>
      <c r="C142" s="139" t="s">
        <v>161</v>
      </c>
      <c r="D142" s="139">
        <v>-32.32241421</v>
      </c>
      <c r="E142" s="139">
        <v>-63.86847166</v>
      </c>
      <c r="F142" s="139" t="s">
        <v>1675</v>
      </c>
      <c r="G142" s="139">
        <v>122.0</v>
      </c>
      <c r="H142" s="139">
        <v>90.0</v>
      </c>
      <c r="I142" s="139">
        <v>313.0</v>
      </c>
      <c r="J142" s="141"/>
    </row>
    <row r="143" hidden="1">
      <c r="A143" s="142" t="s">
        <v>2266</v>
      </c>
      <c r="B143" s="142" t="s">
        <v>388</v>
      </c>
      <c r="C143" s="142" t="s">
        <v>112</v>
      </c>
      <c r="D143" s="142">
        <v>-34.00707479</v>
      </c>
      <c r="E143" s="142">
        <v>-63.9234765</v>
      </c>
      <c r="F143" s="142" t="s">
        <v>1652</v>
      </c>
      <c r="G143" s="143">
        <v>2095.0</v>
      </c>
      <c r="H143" s="143">
        <v>1887.0</v>
      </c>
      <c r="I143" s="143">
        <v>5718.0</v>
      </c>
      <c r="J143" s="144"/>
    </row>
    <row r="144" hidden="1">
      <c r="A144" s="139" t="s">
        <v>2268</v>
      </c>
      <c r="B144" s="139" t="s">
        <v>31</v>
      </c>
      <c r="C144" s="139" t="s">
        <v>1683</v>
      </c>
      <c r="D144" s="139">
        <v>-32.73087748</v>
      </c>
      <c r="E144" s="139">
        <v>-61.91582667</v>
      </c>
      <c r="F144" s="139" t="s">
        <v>1652</v>
      </c>
      <c r="G144" s="140">
        <v>1133.0</v>
      </c>
      <c r="H144" s="139">
        <v>952.0</v>
      </c>
      <c r="I144" s="140">
        <v>2785.0</v>
      </c>
      <c r="J144" s="141"/>
    </row>
    <row r="145" hidden="1">
      <c r="A145" s="142" t="s">
        <v>2275</v>
      </c>
      <c r="B145" s="142" t="s">
        <v>79</v>
      </c>
      <c r="C145" s="142" t="s">
        <v>39</v>
      </c>
      <c r="D145" s="142">
        <v>-30.47864372</v>
      </c>
      <c r="E145" s="142">
        <v>-65.06159995</v>
      </c>
      <c r="F145" s="142" t="s">
        <v>1675</v>
      </c>
      <c r="G145" s="142">
        <v>188.0</v>
      </c>
      <c r="H145" s="142">
        <v>167.0</v>
      </c>
      <c r="I145" s="142">
        <v>554.0</v>
      </c>
      <c r="J145" s="144"/>
    </row>
    <row r="146" hidden="1">
      <c r="A146" s="139" t="s">
        <v>2279</v>
      </c>
      <c r="B146" s="139" t="s">
        <v>180</v>
      </c>
      <c r="C146" s="139" t="s">
        <v>101</v>
      </c>
      <c r="D146" s="139">
        <v>-31.10159295</v>
      </c>
      <c r="E146" s="139">
        <v>-65.32920934</v>
      </c>
      <c r="F146" s="139" t="s">
        <v>1675</v>
      </c>
      <c r="G146" s="139">
        <v>121.0</v>
      </c>
      <c r="H146" s="139">
        <v>81.0</v>
      </c>
      <c r="I146" s="139">
        <v>241.0</v>
      </c>
      <c r="J146" s="141"/>
    </row>
    <row r="147" hidden="1">
      <c r="A147" s="142" t="s">
        <v>2284</v>
      </c>
      <c r="B147" s="142" t="s">
        <v>449</v>
      </c>
      <c r="C147" s="142" t="s">
        <v>1683</v>
      </c>
      <c r="D147" s="142">
        <v>-33.46428794</v>
      </c>
      <c r="E147" s="142">
        <v>-62.43825531</v>
      </c>
      <c r="F147" s="142" t="s">
        <v>1652</v>
      </c>
      <c r="G147" s="143">
        <v>1060.0</v>
      </c>
      <c r="H147" s="142">
        <v>876.0</v>
      </c>
      <c r="I147" s="143">
        <v>2475.0</v>
      </c>
      <c r="J147" s="144"/>
    </row>
    <row r="148" hidden="1">
      <c r="A148" s="139" t="s">
        <v>2290</v>
      </c>
      <c r="B148" s="139" t="s">
        <v>222</v>
      </c>
      <c r="C148" s="139" t="s">
        <v>215</v>
      </c>
      <c r="D148" s="139">
        <v>-29.7209</v>
      </c>
      <c r="E148" s="139">
        <v>-63.51515261</v>
      </c>
      <c r="F148" s="139" t="s">
        <v>1675</v>
      </c>
      <c r="G148" s="139">
        <v>237.0</v>
      </c>
      <c r="H148" s="139">
        <v>177.0</v>
      </c>
      <c r="I148" s="139">
        <v>691.0</v>
      </c>
      <c r="J148" s="141"/>
    </row>
    <row r="149" hidden="1">
      <c r="A149" s="142" t="s">
        <v>2295</v>
      </c>
      <c r="B149" s="142" t="s">
        <v>452</v>
      </c>
      <c r="C149" s="142" t="s">
        <v>161</v>
      </c>
      <c r="D149" s="142">
        <v>-32.4278814</v>
      </c>
      <c r="E149" s="142">
        <v>-63.7334711</v>
      </c>
      <c r="F149" s="142" t="s">
        <v>1652</v>
      </c>
      <c r="G149" s="143">
        <v>4315.0</v>
      </c>
      <c r="H149" s="143">
        <v>3656.0</v>
      </c>
      <c r="I149" s="143">
        <v>10284.0</v>
      </c>
      <c r="J149" s="144"/>
    </row>
    <row r="150" hidden="1">
      <c r="A150" s="139" t="s">
        <v>2298</v>
      </c>
      <c r="B150" s="139" t="s">
        <v>454</v>
      </c>
      <c r="C150" s="139" t="s">
        <v>94</v>
      </c>
      <c r="D150" s="139">
        <v>-33.6684903</v>
      </c>
      <c r="E150" s="139">
        <v>-63.63625922</v>
      </c>
      <c r="F150" s="139" t="s">
        <v>1652</v>
      </c>
      <c r="G150" s="139">
        <v>470.0</v>
      </c>
      <c r="H150" s="139">
        <v>411.0</v>
      </c>
      <c r="I150" s="140">
        <v>1147.0</v>
      </c>
      <c r="J150" s="141"/>
    </row>
    <row r="151" hidden="1">
      <c r="A151" s="142" t="s">
        <v>2303</v>
      </c>
      <c r="B151" s="142" t="s">
        <v>456</v>
      </c>
      <c r="C151" s="142" t="s">
        <v>120</v>
      </c>
      <c r="D151" s="142">
        <v>-31.07528947</v>
      </c>
      <c r="E151" s="142">
        <v>-64.49082801</v>
      </c>
      <c r="F151" s="142" t="s">
        <v>1652</v>
      </c>
      <c r="G151" s="143">
        <v>2302.0</v>
      </c>
      <c r="H151" s="143">
        <v>1801.0</v>
      </c>
      <c r="I151" s="143">
        <v>5933.0</v>
      </c>
      <c r="J151" s="144"/>
    </row>
    <row r="152" hidden="1">
      <c r="A152" s="139" t="s">
        <v>2309</v>
      </c>
      <c r="B152" s="139" t="s">
        <v>366</v>
      </c>
      <c r="C152" s="139" t="s">
        <v>31</v>
      </c>
      <c r="D152" s="139">
        <v>-34.84131821</v>
      </c>
      <c r="E152" s="139">
        <v>-64.37467424</v>
      </c>
      <c r="F152" s="139" t="s">
        <v>1652</v>
      </c>
      <c r="G152" s="140">
        <v>3444.0</v>
      </c>
      <c r="H152" s="140">
        <v>3031.0</v>
      </c>
      <c r="I152" s="140">
        <v>9487.0</v>
      </c>
      <c r="J152" s="141"/>
    </row>
    <row r="153" hidden="1">
      <c r="A153" s="142" t="s">
        <v>2312</v>
      </c>
      <c r="B153" s="142" t="s">
        <v>459</v>
      </c>
      <c r="C153" s="142" t="s">
        <v>1674</v>
      </c>
      <c r="D153" s="142">
        <v>-32.81253602</v>
      </c>
      <c r="E153" s="142">
        <v>-63.0323971</v>
      </c>
      <c r="F153" s="142" t="s">
        <v>1652</v>
      </c>
      <c r="G153" s="142">
        <v>588.0</v>
      </c>
      <c r="H153" s="142">
        <v>512.0</v>
      </c>
      <c r="I153" s="143">
        <v>1556.0</v>
      </c>
      <c r="J153" s="144"/>
    </row>
    <row r="154" hidden="1">
      <c r="A154" s="139" t="s">
        <v>2316</v>
      </c>
      <c r="B154" s="139" t="s">
        <v>462</v>
      </c>
      <c r="C154" s="139" t="s">
        <v>1839</v>
      </c>
      <c r="D154" s="139">
        <v>-31.79847381</v>
      </c>
      <c r="E154" s="139">
        <v>-63.65008347</v>
      </c>
      <c r="F154" s="139" t="s">
        <v>1675</v>
      </c>
      <c r="G154" s="139">
        <v>69.0</v>
      </c>
      <c r="H154" s="139">
        <v>57.0</v>
      </c>
      <c r="I154" s="139">
        <v>163.0</v>
      </c>
      <c r="J154" s="141"/>
    </row>
    <row r="155" hidden="1">
      <c r="A155" s="142" t="s">
        <v>2321</v>
      </c>
      <c r="B155" s="142" t="s">
        <v>464</v>
      </c>
      <c r="C155" s="142" t="s">
        <v>1683</v>
      </c>
      <c r="D155" s="142">
        <v>-32.94564747</v>
      </c>
      <c r="E155" s="142">
        <v>-62.23079086</v>
      </c>
      <c r="F155" s="142" t="s">
        <v>1652</v>
      </c>
      <c r="G155" s="143">
        <v>1544.0</v>
      </c>
      <c r="H155" s="143">
        <v>1340.0</v>
      </c>
      <c r="I155" s="143">
        <v>3722.0</v>
      </c>
      <c r="J155" s="144"/>
    </row>
    <row r="156" hidden="1">
      <c r="A156" s="139" t="s">
        <v>2324</v>
      </c>
      <c r="B156" s="139" t="s">
        <v>466</v>
      </c>
      <c r="C156" s="139" t="s">
        <v>1683</v>
      </c>
      <c r="D156" s="139">
        <v>-33.23969757</v>
      </c>
      <c r="E156" s="139">
        <v>-62.4015958</v>
      </c>
      <c r="F156" s="139" t="s">
        <v>1652</v>
      </c>
      <c r="G156" s="140">
        <v>1685.0</v>
      </c>
      <c r="H156" s="140">
        <v>1509.0</v>
      </c>
      <c r="I156" s="140">
        <v>4390.0</v>
      </c>
      <c r="J156" s="141"/>
    </row>
    <row r="157" hidden="1">
      <c r="A157" s="142" t="s">
        <v>2329</v>
      </c>
      <c r="B157" s="142" t="s">
        <v>368</v>
      </c>
      <c r="C157" s="142" t="s">
        <v>31</v>
      </c>
      <c r="D157" s="142">
        <v>-34.79080612</v>
      </c>
      <c r="E157" s="142">
        <v>-63.78035739</v>
      </c>
      <c r="F157" s="142" t="s">
        <v>1652</v>
      </c>
      <c r="G157" s="142">
        <v>466.0</v>
      </c>
      <c r="H157" s="142">
        <v>381.0</v>
      </c>
      <c r="I157" s="143">
        <v>1120.0</v>
      </c>
      <c r="J157" s="144"/>
    </row>
    <row r="158" hidden="1">
      <c r="A158" s="139" t="s">
        <v>2332</v>
      </c>
      <c r="B158" s="139" t="s">
        <v>469</v>
      </c>
      <c r="C158" s="139" t="s">
        <v>161</v>
      </c>
      <c r="D158" s="139">
        <v>-32.16143135</v>
      </c>
      <c r="E158" s="139">
        <v>-63.46796982</v>
      </c>
      <c r="F158" s="139" t="s">
        <v>1652</v>
      </c>
      <c r="G158" s="140">
        <v>1964.0</v>
      </c>
      <c r="H158" s="140">
        <v>1649.0</v>
      </c>
      <c r="I158" s="140">
        <v>5250.0</v>
      </c>
      <c r="J158" s="141"/>
    </row>
    <row r="159" hidden="1">
      <c r="A159" s="142" t="s">
        <v>2336</v>
      </c>
      <c r="B159" s="142" t="s">
        <v>2277</v>
      </c>
      <c r="C159" s="142" t="s">
        <v>1664</v>
      </c>
      <c r="D159" s="142">
        <v>-30.97597263</v>
      </c>
      <c r="E159" s="142">
        <v>-64.09521825</v>
      </c>
      <c r="F159" s="142" t="s">
        <v>1652</v>
      </c>
      <c r="G159" s="143">
        <v>9971.0</v>
      </c>
      <c r="H159" s="143">
        <v>9221.0</v>
      </c>
      <c r="I159" s="143">
        <v>31864.0</v>
      </c>
      <c r="J159" s="144"/>
    </row>
    <row r="160" hidden="1">
      <c r="A160" s="139" t="s">
        <v>2342</v>
      </c>
      <c r="B160" s="139" t="s">
        <v>37</v>
      </c>
      <c r="C160" s="139" t="s">
        <v>31</v>
      </c>
      <c r="D160" s="139">
        <v>-34.51881462</v>
      </c>
      <c r="E160" s="139">
        <v>-63.94403947</v>
      </c>
      <c r="F160" s="139" t="s">
        <v>1652</v>
      </c>
      <c r="G160" s="140">
        <v>1744.0</v>
      </c>
      <c r="H160" s="140">
        <v>1554.0</v>
      </c>
      <c r="I160" s="140">
        <v>4823.0</v>
      </c>
      <c r="J160" s="141"/>
    </row>
    <row r="161" hidden="1">
      <c r="A161" s="142" t="s">
        <v>2346</v>
      </c>
      <c r="B161" s="142" t="s">
        <v>475</v>
      </c>
      <c r="C161" s="142" t="s">
        <v>1674</v>
      </c>
      <c r="D161" s="142">
        <v>-32.88344973</v>
      </c>
      <c r="E161" s="142">
        <v>-62.67961368</v>
      </c>
      <c r="F161" s="142" t="s">
        <v>1652</v>
      </c>
      <c r="G161" s="143">
        <v>3083.0</v>
      </c>
      <c r="H161" s="143">
        <v>2762.0</v>
      </c>
      <c r="I161" s="143">
        <v>8569.0</v>
      </c>
      <c r="J161" s="144"/>
    </row>
    <row r="162" hidden="1">
      <c r="A162" s="139" t="s">
        <v>2349</v>
      </c>
      <c r="B162" s="139" t="s">
        <v>2350</v>
      </c>
      <c r="C162" s="139" t="s">
        <v>408</v>
      </c>
      <c r="D162" s="139">
        <v>-31.36884862</v>
      </c>
      <c r="E162" s="139">
        <v>-63.53062842</v>
      </c>
      <c r="F162" s="139" t="s">
        <v>1675</v>
      </c>
      <c r="G162" s="139">
        <v>121.0</v>
      </c>
      <c r="H162" s="139">
        <v>99.0</v>
      </c>
      <c r="I162" s="139">
        <v>365.0</v>
      </c>
      <c r="J162" s="141"/>
    </row>
    <row r="163" hidden="1">
      <c r="A163" s="142" t="s">
        <v>2355</v>
      </c>
      <c r="B163" s="142" t="s">
        <v>85</v>
      </c>
      <c r="C163" s="142" t="s">
        <v>39</v>
      </c>
      <c r="D163" s="142">
        <v>-30.37227419</v>
      </c>
      <c r="E163" s="142">
        <v>-65.30815068</v>
      </c>
      <c r="F163" s="142" t="s">
        <v>1675</v>
      </c>
      <c r="G163" s="142">
        <v>50.0</v>
      </c>
      <c r="H163" s="142">
        <v>49.0</v>
      </c>
      <c r="I163" s="142">
        <v>180.0</v>
      </c>
      <c r="J163" s="144"/>
    </row>
    <row r="164" hidden="1">
      <c r="A164" s="139" t="s">
        <v>2358</v>
      </c>
      <c r="B164" s="139" t="s">
        <v>332</v>
      </c>
      <c r="C164" s="139" t="s">
        <v>1664</v>
      </c>
      <c r="D164" s="139">
        <v>-31.34579262</v>
      </c>
      <c r="E164" s="139">
        <v>-64.33848732</v>
      </c>
      <c r="F164" s="139" t="s">
        <v>1652</v>
      </c>
      <c r="G164" s="140">
        <v>9699.0</v>
      </c>
      <c r="H164" s="140">
        <v>8738.0</v>
      </c>
      <c r="I164" s="140">
        <v>32227.0</v>
      </c>
      <c r="J164" s="141"/>
    </row>
    <row r="165" hidden="1">
      <c r="A165" s="142" t="s">
        <v>2360</v>
      </c>
      <c r="B165" s="142" t="s">
        <v>481</v>
      </c>
      <c r="C165" s="142" t="s">
        <v>94</v>
      </c>
      <c r="D165" s="142">
        <v>-33.41797768</v>
      </c>
      <c r="E165" s="142">
        <v>-63.29362894</v>
      </c>
      <c r="F165" s="142" t="s">
        <v>1652</v>
      </c>
      <c r="G165" s="143">
        <v>4663.0</v>
      </c>
      <c r="H165" s="143">
        <v>4090.0</v>
      </c>
      <c r="I165" s="143">
        <v>12722.0</v>
      </c>
      <c r="J165" s="144"/>
    </row>
    <row r="166" hidden="1">
      <c r="A166" s="139" t="s">
        <v>2366</v>
      </c>
      <c r="B166" s="139" t="s">
        <v>2367</v>
      </c>
      <c r="C166" s="139" t="s">
        <v>1646</v>
      </c>
      <c r="D166" s="139">
        <v>-33.18684432</v>
      </c>
      <c r="E166" s="139">
        <v>-64.72511288</v>
      </c>
      <c r="F166" s="139" t="s">
        <v>1675</v>
      </c>
      <c r="G166" s="139">
        <v>67.0</v>
      </c>
      <c r="H166" s="139">
        <v>54.0</v>
      </c>
      <c r="I166" s="139">
        <v>165.0</v>
      </c>
      <c r="J166" s="141"/>
    </row>
    <row r="167" hidden="1">
      <c r="A167" s="142" t="s">
        <v>2370</v>
      </c>
      <c r="B167" s="142" t="s">
        <v>485</v>
      </c>
      <c r="C167" s="142" t="s">
        <v>1646</v>
      </c>
      <c r="D167" s="142">
        <v>-33.97964497</v>
      </c>
      <c r="E167" s="142">
        <v>-64.08345624</v>
      </c>
      <c r="F167" s="142" t="s">
        <v>1652</v>
      </c>
      <c r="G167" s="142">
        <v>317.0</v>
      </c>
      <c r="H167" s="142">
        <v>295.0</v>
      </c>
      <c r="I167" s="143">
        <v>1014.0</v>
      </c>
      <c r="J167" s="144"/>
    </row>
    <row r="168" hidden="1">
      <c r="A168" s="139" t="s">
        <v>2375</v>
      </c>
      <c r="B168" s="139" t="s">
        <v>389</v>
      </c>
      <c r="C168" s="139" t="s">
        <v>112</v>
      </c>
      <c r="D168" s="139">
        <v>-33.95364809</v>
      </c>
      <c r="E168" s="139">
        <v>-62.97730295</v>
      </c>
      <c r="F168" s="139" t="s">
        <v>1652</v>
      </c>
      <c r="G168" s="139">
        <v>502.0</v>
      </c>
      <c r="H168" s="139">
        <v>437.0</v>
      </c>
      <c r="I168" s="140">
        <v>1318.0</v>
      </c>
      <c r="J168" s="141"/>
    </row>
    <row r="169" hidden="1">
      <c r="A169" s="142" t="s">
        <v>2380</v>
      </c>
      <c r="B169" s="142" t="s">
        <v>38</v>
      </c>
      <c r="C169" s="142" t="s">
        <v>32</v>
      </c>
      <c r="D169" s="142">
        <v>-32.3031136</v>
      </c>
      <c r="E169" s="142">
        <v>-64.48304144</v>
      </c>
      <c r="F169" s="142" t="s">
        <v>1652</v>
      </c>
      <c r="G169" s="142">
        <v>847.0</v>
      </c>
      <c r="H169" s="142">
        <v>532.0</v>
      </c>
      <c r="I169" s="143">
        <v>1551.0</v>
      </c>
      <c r="J169" s="144"/>
    </row>
    <row r="170" hidden="1">
      <c r="A170" s="139" t="s">
        <v>2384</v>
      </c>
      <c r="B170" s="139" t="s">
        <v>489</v>
      </c>
      <c r="C170" s="139" t="s">
        <v>120</v>
      </c>
      <c r="D170" s="139">
        <v>-30.98213378</v>
      </c>
      <c r="E170" s="139">
        <v>-64.49419759</v>
      </c>
      <c r="F170" s="139" t="s">
        <v>1652</v>
      </c>
      <c r="G170" s="140">
        <v>3311.0</v>
      </c>
      <c r="H170" s="140">
        <v>2486.0</v>
      </c>
      <c r="I170" s="140">
        <v>7761.0</v>
      </c>
      <c r="J170" s="141"/>
    </row>
    <row r="171" hidden="1">
      <c r="A171" s="142" t="s">
        <v>2388</v>
      </c>
      <c r="B171" s="142" t="s">
        <v>151</v>
      </c>
      <c r="C171" s="142" t="s">
        <v>32</v>
      </c>
      <c r="D171" s="142">
        <v>-31.89978785</v>
      </c>
      <c r="E171" s="142">
        <v>-64.77316684</v>
      </c>
      <c r="F171" s="142" t="s">
        <v>1675</v>
      </c>
      <c r="G171" s="142">
        <v>352.0</v>
      </c>
      <c r="H171" s="142">
        <v>242.0</v>
      </c>
      <c r="I171" s="142">
        <v>776.0</v>
      </c>
      <c r="J171" s="144"/>
    </row>
    <row r="172" hidden="1">
      <c r="A172" s="139" t="s">
        <v>2393</v>
      </c>
      <c r="B172" s="139" t="s">
        <v>492</v>
      </c>
      <c r="C172" s="139" t="s">
        <v>120</v>
      </c>
      <c r="D172" s="139">
        <v>-31.09442652</v>
      </c>
      <c r="E172" s="139">
        <v>-64.48294765</v>
      </c>
      <c r="F172" s="139" t="s">
        <v>1652</v>
      </c>
      <c r="G172" s="140">
        <v>6333.0</v>
      </c>
      <c r="H172" s="140">
        <v>5134.0</v>
      </c>
      <c r="I172" s="140">
        <v>16379.0</v>
      </c>
      <c r="J172" s="141"/>
    </row>
    <row r="173" hidden="1">
      <c r="A173" s="142" t="s">
        <v>2397</v>
      </c>
      <c r="B173" s="142" t="s">
        <v>494</v>
      </c>
      <c r="C173" s="142" t="s">
        <v>150</v>
      </c>
      <c r="D173" s="142">
        <v>-31.40629587</v>
      </c>
      <c r="E173" s="142">
        <v>-62.63321754</v>
      </c>
      <c r="F173" s="142" t="s">
        <v>1652</v>
      </c>
      <c r="G173" s="143">
        <v>1406.0</v>
      </c>
      <c r="H173" s="143">
        <v>1253.0</v>
      </c>
      <c r="I173" s="143">
        <v>3804.0</v>
      </c>
      <c r="J173" s="144"/>
    </row>
    <row r="174" hidden="1">
      <c r="A174" s="139" t="s">
        <v>2400</v>
      </c>
      <c r="B174" s="139" t="s">
        <v>300</v>
      </c>
      <c r="C174" s="139" t="s">
        <v>1664</v>
      </c>
      <c r="D174" s="139">
        <v>-31.00862416</v>
      </c>
      <c r="E174" s="139">
        <v>-64.26789343</v>
      </c>
      <c r="F174" s="139" t="s">
        <v>1652</v>
      </c>
      <c r="G174" s="140">
        <v>1805.0</v>
      </c>
      <c r="H174" s="140">
        <v>1017.0</v>
      </c>
      <c r="I174" s="140">
        <v>3234.0</v>
      </c>
      <c r="J174" s="141"/>
    </row>
    <row r="175" hidden="1">
      <c r="A175" s="142" t="s">
        <v>2404</v>
      </c>
      <c r="B175" s="142" t="s">
        <v>91</v>
      </c>
      <c r="C175" s="142" t="s">
        <v>39</v>
      </c>
      <c r="D175" s="142">
        <v>-31.01329029</v>
      </c>
      <c r="E175" s="142">
        <v>-65.1028962</v>
      </c>
      <c r="F175" s="142" t="s">
        <v>1675</v>
      </c>
      <c r="G175" s="142">
        <v>146.0</v>
      </c>
      <c r="H175" s="142">
        <v>117.0</v>
      </c>
      <c r="I175" s="142">
        <v>411.0</v>
      </c>
      <c r="J175" s="144"/>
    </row>
    <row r="176" hidden="1">
      <c r="A176" s="139" t="s">
        <v>2408</v>
      </c>
      <c r="B176" s="139" t="s">
        <v>498</v>
      </c>
      <c r="C176" s="139" t="s">
        <v>1747</v>
      </c>
      <c r="D176" s="139">
        <v>-32.80252646</v>
      </c>
      <c r="E176" s="139">
        <v>-63.24709334</v>
      </c>
      <c r="F176" s="139" t="s">
        <v>1652</v>
      </c>
      <c r="G176" s="139">
        <v>588.0</v>
      </c>
      <c r="H176" s="139">
        <v>512.0</v>
      </c>
      <c r="I176" s="140">
        <v>1524.0</v>
      </c>
      <c r="J176" s="141"/>
    </row>
    <row r="177" hidden="1">
      <c r="A177" s="142" t="s">
        <v>2411</v>
      </c>
      <c r="B177" s="142" t="s">
        <v>500</v>
      </c>
      <c r="C177" s="142" t="s">
        <v>1702</v>
      </c>
      <c r="D177" s="142">
        <v>-31.72093982</v>
      </c>
      <c r="E177" s="142">
        <v>-64.48192749</v>
      </c>
      <c r="F177" s="142" t="s">
        <v>1675</v>
      </c>
      <c r="G177" s="142">
        <v>166.0</v>
      </c>
      <c r="H177" s="142">
        <v>52.0</v>
      </c>
      <c r="I177" s="142">
        <v>155.0</v>
      </c>
      <c r="J177" s="144"/>
    </row>
    <row r="178" hidden="1">
      <c r="A178" s="139" t="s">
        <v>2416</v>
      </c>
      <c r="B178" s="139" t="s">
        <v>502</v>
      </c>
      <c r="C178" s="139" t="s">
        <v>1747</v>
      </c>
      <c r="D178" s="139">
        <v>-32.61643457</v>
      </c>
      <c r="E178" s="139">
        <v>-63.40939923</v>
      </c>
      <c r="F178" s="139" t="s">
        <v>1652</v>
      </c>
      <c r="G178" s="139">
        <v>193.0</v>
      </c>
      <c r="H178" s="139">
        <v>175.0</v>
      </c>
      <c r="I178" s="139">
        <v>502.0</v>
      </c>
      <c r="J178" s="141"/>
    </row>
    <row r="179" hidden="1">
      <c r="A179" s="142" t="s">
        <v>2419</v>
      </c>
      <c r="B179" s="142" t="s">
        <v>327</v>
      </c>
      <c r="C179" s="142" t="s">
        <v>78</v>
      </c>
      <c r="D179" s="142">
        <v>-30.94223038</v>
      </c>
      <c r="E179" s="142">
        <v>-64.27693512</v>
      </c>
      <c r="F179" s="142" t="s">
        <v>1675</v>
      </c>
      <c r="G179" s="142">
        <v>349.0</v>
      </c>
      <c r="H179" s="142">
        <v>242.0</v>
      </c>
      <c r="I179" s="142">
        <v>952.0</v>
      </c>
      <c r="J179" s="144"/>
    </row>
    <row r="180" hidden="1">
      <c r="A180" s="139" t="s">
        <v>2423</v>
      </c>
      <c r="B180" s="139" t="s">
        <v>505</v>
      </c>
      <c r="C180" s="139" t="s">
        <v>150</v>
      </c>
      <c r="D180" s="139">
        <v>-30.90928975</v>
      </c>
      <c r="E180" s="139">
        <v>-62.21611231</v>
      </c>
      <c r="F180" s="139" t="s">
        <v>1652</v>
      </c>
      <c r="G180" s="139">
        <v>331.0</v>
      </c>
      <c r="H180" s="139">
        <v>298.0</v>
      </c>
      <c r="I180" s="139">
        <v>964.0</v>
      </c>
      <c r="J180" s="141"/>
    </row>
    <row r="181" hidden="1">
      <c r="A181" s="142" t="s">
        <v>2427</v>
      </c>
      <c r="B181" s="142" t="s">
        <v>407</v>
      </c>
      <c r="C181" s="142" t="s">
        <v>408</v>
      </c>
      <c r="D181" s="142">
        <v>-30.89413053</v>
      </c>
      <c r="E181" s="142">
        <v>-63.0013963</v>
      </c>
      <c r="F181" s="142" t="s">
        <v>1652</v>
      </c>
      <c r="G181" s="143">
        <v>1201.0</v>
      </c>
      <c r="H181" s="143">
        <v>1089.0</v>
      </c>
      <c r="I181" s="143">
        <v>3489.0</v>
      </c>
      <c r="J181" s="144"/>
    </row>
    <row r="182" hidden="1">
      <c r="A182" s="139" t="s">
        <v>2431</v>
      </c>
      <c r="B182" s="139" t="s">
        <v>285</v>
      </c>
      <c r="C182" s="139" t="s">
        <v>107</v>
      </c>
      <c r="D182" s="139">
        <v>-32.21752532</v>
      </c>
      <c r="E182" s="139">
        <v>-65.04826454</v>
      </c>
      <c r="F182" s="139" t="s">
        <v>1652</v>
      </c>
      <c r="G182" s="140">
        <v>1602.0</v>
      </c>
      <c r="H182" s="140">
        <v>1091.0</v>
      </c>
      <c r="I182" s="140">
        <v>3580.0</v>
      </c>
      <c r="J182" s="141"/>
    </row>
    <row r="183" hidden="1">
      <c r="A183" s="142" t="s">
        <v>2433</v>
      </c>
      <c r="B183" s="142" t="s">
        <v>184</v>
      </c>
      <c r="C183" s="142" t="s">
        <v>101</v>
      </c>
      <c r="D183" s="142">
        <v>-31.00966898</v>
      </c>
      <c r="E183" s="142">
        <v>-65.3612672</v>
      </c>
      <c r="F183" s="142" t="s">
        <v>1675</v>
      </c>
      <c r="G183" s="142">
        <v>74.0</v>
      </c>
      <c r="H183" s="142">
        <v>65.0</v>
      </c>
      <c r="I183" s="142">
        <v>220.0</v>
      </c>
      <c r="J183" s="144"/>
    </row>
    <row r="184" hidden="1">
      <c r="A184" s="139" t="s">
        <v>2438</v>
      </c>
      <c r="B184" s="139" t="s">
        <v>510</v>
      </c>
      <c r="C184" s="139" t="s">
        <v>1747</v>
      </c>
      <c r="D184" s="139">
        <v>-32.09700158</v>
      </c>
      <c r="E184" s="139">
        <v>-63.03435087</v>
      </c>
      <c r="F184" s="139" t="s">
        <v>1652</v>
      </c>
      <c r="G184" s="140">
        <v>1033.0</v>
      </c>
      <c r="H184" s="139">
        <v>900.0</v>
      </c>
      <c r="I184" s="140">
        <v>2757.0</v>
      </c>
      <c r="J184" s="141"/>
    </row>
    <row r="185" hidden="1">
      <c r="A185" s="142" t="s">
        <v>2441</v>
      </c>
      <c r="B185" s="142" t="s">
        <v>287</v>
      </c>
      <c r="C185" s="142" t="s">
        <v>107</v>
      </c>
      <c r="D185" s="142">
        <v>-32.06625261</v>
      </c>
      <c r="E185" s="142">
        <v>-65.02961725</v>
      </c>
      <c r="F185" s="142" t="s">
        <v>1675</v>
      </c>
      <c r="G185" s="142">
        <v>253.0</v>
      </c>
      <c r="H185" s="142">
        <v>132.0</v>
      </c>
      <c r="I185" s="142">
        <v>535.0</v>
      </c>
      <c r="J185" s="144"/>
    </row>
    <row r="186" hidden="1">
      <c r="A186" s="139" t="s">
        <v>2444</v>
      </c>
      <c r="B186" s="139" t="s">
        <v>414</v>
      </c>
      <c r="C186" s="139" t="s">
        <v>408</v>
      </c>
      <c r="D186" s="139">
        <v>-30.56557478</v>
      </c>
      <c r="E186" s="139">
        <v>-63.51696407</v>
      </c>
      <c r="F186" s="139" t="s">
        <v>1675</v>
      </c>
      <c r="G186" s="139">
        <v>109.0</v>
      </c>
      <c r="H186" s="139">
        <v>82.0</v>
      </c>
      <c r="I186" s="139">
        <v>241.0</v>
      </c>
      <c r="J186" s="141"/>
    </row>
    <row r="187" hidden="1">
      <c r="A187" s="142" t="s">
        <v>2448</v>
      </c>
      <c r="B187" s="142" t="s">
        <v>410</v>
      </c>
      <c r="C187" s="142" t="s">
        <v>408</v>
      </c>
      <c r="D187" s="142">
        <v>-30.89334295</v>
      </c>
      <c r="E187" s="142">
        <v>-63.25482545</v>
      </c>
      <c r="F187" s="142" t="s">
        <v>1652</v>
      </c>
      <c r="G187" s="142">
        <v>741.0</v>
      </c>
      <c r="H187" s="142">
        <v>668.0</v>
      </c>
      <c r="I187" s="143">
        <v>2185.0</v>
      </c>
      <c r="J187" s="144"/>
    </row>
    <row r="188" hidden="1">
      <c r="A188" s="139" t="s">
        <v>2451</v>
      </c>
      <c r="B188" s="139" t="s">
        <v>513</v>
      </c>
      <c r="C188" s="139" t="s">
        <v>408</v>
      </c>
      <c r="D188" s="139">
        <v>-31.06190191</v>
      </c>
      <c r="E188" s="139">
        <v>-63.15132661</v>
      </c>
      <c r="F188" s="139" t="s">
        <v>1675</v>
      </c>
      <c r="G188" s="139">
        <v>66.0</v>
      </c>
      <c r="H188" s="139">
        <v>58.0</v>
      </c>
      <c r="I188" s="139">
        <v>208.0</v>
      </c>
      <c r="J188" s="141"/>
    </row>
    <row r="189" hidden="1">
      <c r="A189" s="142" t="s">
        <v>2456</v>
      </c>
      <c r="B189" s="142" t="s">
        <v>2458</v>
      </c>
      <c r="C189" s="142" t="s">
        <v>1702</v>
      </c>
      <c r="D189" s="142">
        <v>-31.15284155</v>
      </c>
      <c r="E189" s="142">
        <v>-64.47345456</v>
      </c>
      <c r="F189" s="142" t="s">
        <v>1675</v>
      </c>
      <c r="G189" s="142">
        <v>76.0</v>
      </c>
      <c r="H189" s="142">
        <v>40.0</v>
      </c>
      <c r="I189" s="142">
        <v>129.0</v>
      </c>
      <c r="J189" s="144"/>
    </row>
    <row r="190" hidden="1">
      <c r="A190" s="139" t="s">
        <v>2460</v>
      </c>
      <c r="B190" s="139" t="s">
        <v>224</v>
      </c>
      <c r="C190" s="139" t="s">
        <v>215</v>
      </c>
      <c r="D190" s="139">
        <v>-30.18400405</v>
      </c>
      <c r="E190" s="139">
        <v>-62.94566898</v>
      </c>
      <c r="F190" s="139" t="s">
        <v>1675</v>
      </c>
      <c r="G190" s="139">
        <v>90.0</v>
      </c>
      <c r="H190" s="139">
        <v>61.0</v>
      </c>
      <c r="I190" s="139">
        <v>217.0</v>
      </c>
      <c r="J190" s="141"/>
    </row>
    <row r="191" hidden="1">
      <c r="A191" s="142" t="s">
        <v>2464</v>
      </c>
      <c r="B191" s="142" t="s">
        <v>515</v>
      </c>
      <c r="C191" s="142" t="s">
        <v>1702</v>
      </c>
      <c r="D191" s="142">
        <v>-31.73566623</v>
      </c>
      <c r="E191" s="142">
        <v>-64.45561019</v>
      </c>
      <c r="F191" s="142" t="s">
        <v>1675</v>
      </c>
      <c r="G191" s="142">
        <v>346.0</v>
      </c>
      <c r="H191" s="142">
        <v>137.0</v>
      </c>
      <c r="I191" s="142">
        <v>436.0</v>
      </c>
      <c r="J191" s="144"/>
    </row>
    <row r="192" hidden="1">
      <c r="A192" s="139" t="s">
        <v>2468</v>
      </c>
      <c r="B192" s="139" t="s">
        <v>516</v>
      </c>
      <c r="C192" s="139" t="s">
        <v>150</v>
      </c>
      <c r="D192" s="139">
        <v>-31.23653777</v>
      </c>
      <c r="E192" s="139">
        <v>-63.0610805</v>
      </c>
      <c r="F192" s="139" t="s">
        <v>1652</v>
      </c>
      <c r="G192" s="139">
        <v>468.0</v>
      </c>
      <c r="H192" s="139">
        <v>410.0</v>
      </c>
      <c r="I192" s="140">
        <v>1257.0</v>
      </c>
      <c r="J192" s="141"/>
    </row>
    <row r="193" hidden="1">
      <c r="A193" s="142" t="s">
        <v>2470</v>
      </c>
      <c r="B193" s="142" t="s">
        <v>517</v>
      </c>
      <c r="C193" s="142" t="s">
        <v>1674</v>
      </c>
      <c r="D193" s="142">
        <v>-33.15483984</v>
      </c>
      <c r="E193" s="142">
        <v>-62.85747619</v>
      </c>
      <c r="F193" s="142" t="s">
        <v>1652</v>
      </c>
      <c r="G193" s="143">
        <v>2356.0</v>
      </c>
      <c r="H193" s="143">
        <v>2129.0</v>
      </c>
      <c r="I193" s="143">
        <v>5957.0</v>
      </c>
      <c r="J193" s="144"/>
    </row>
    <row r="194" hidden="1">
      <c r="A194" s="139" t="s">
        <v>2476</v>
      </c>
      <c r="B194" s="139" t="s">
        <v>391</v>
      </c>
      <c r="C194" s="139" t="s">
        <v>112</v>
      </c>
      <c r="D194" s="139">
        <v>-34.12863223</v>
      </c>
      <c r="E194" s="139">
        <v>-63.39070171</v>
      </c>
      <c r="F194" s="139" t="s">
        <v>1652</v>
      </c>
      <c r="G194" s="140">
        <v>7996.0</v>
      </c>
      <c r="H194" s="140">
        <v>6945.0</v>
      </c>
      <c r="I194" s="140">
        <v>20658.0</v>
      </c>
      <c r="J194" s="141"/>
    </row>
    <row r="195" hidden="1">
      <c r="A195" s="142" t="s">
        <v>2478</v>
      </c>
      <c r="B195" s="142" t="s">
        <v>518</v>
      </c>
      <c r="C195" s="142" t="s">
        <v>1839</v>
      </c>
      <c r="D195" s="142">
        <v>-31.77569945</v>
      </c>
      <c r="E195" s="142">
        <v>-63.80032654</v>
      </c>
      <c r="F195" s="142" t="s">
        <v>1652</v>
      </c>
      <c r="G195" s="143">
        <v>2686.0</v>
      </c>
      <c r="H195" s="143">
        <v>2380.0</v>
      </c>
      <c r="I195" s="143">
        <v>7487.0</v>
      </c>
      <c r="J195" s="144"/>
    </row>
    <row r="196" hidden="1">
      <c r="A196" s="139" t="s">
        <v>2482</v>
      </c>
      <c r="B196" s="139" t="s">
        <v>519</v>
      </c>
      <c r="C196" s="139" t="s">
        <v>1646</v>
      </c>
      <c r="D196" s="139">
        <v>-33.28028234</v>
      </c>
      <c r="E196" s="139">
        <v>-63.97537615</v>
      </c>
      <c r="F196" s="139" t="s">
        <v>1652</v>
      </c>
      <c r="G196" s="139">
        <v>993.0</v>
      </c>
      <c r="H196" s="139">
        <v>804.0</v>
      </c>
      <c r="I196" s="140">
        <v>2443.0</v>
      </c>
      <c r="J196" s="141"/>
    </row>
    <row r="197" hidden="1">
      <c r="A197" s="142" t="s">
        <v>2487</v>
      </c>
      <c r="B197" s="142" t="s">
        <v>521</v>
      </c>
      <c r="C197" s="142" t="s">
        <v>1646</v>
      </c>
      <c r="D197" s="142">
        <v>-32.88840918</v>
      </c>
      <c r="E197" s="142">
        <v>-64.84484247</v>
      </c>
      <c r="F197" s="142" t="s">
        <v>1675</v>
      </c>
      <c r="G197" s="142">
        <v>499.0</v>
      </c>
      <c r="H197" s="142">
        <v>119.0</v>
      </c>
      <c r="I197" s="142">
        <v>342.0</v>
      </c>
      <c r="J197" s="144"/>
    </row>
    <row r="198" hidden="1">
      <c r="A198" s="139" t="s">
        <v>2489</v>
      </c>
      <c r="B198" s="139" t="s">
        <v>350</v>
      </c>
      <c r="C198" s="139" t="s">
        <v>96</v>
      </c>
      <c r="D198" s="139">
        <v>-30.38174579</v>
      </c>
      <c r="E198" s="139">
        <v>-63.59690036</v>
      </c>
      <c r="F198" s="139" t="s">
        <v>1652</v>
      </c>
      <c r="G198" s="139">
        <v>462.0</v>
      </c>
      <c r="H198" s="139">
        <v>376.0</v>
      </c>
      <c r="I198" s="140">
        <v>1179.0</v>
      </c>
      <c r="J198" s="141"/>
    </row>
    <row r="199" hidden="1">
      <c r="A199" s="142" t="s">
        <v>2492</v>
      </c>
      <c r="B199" s="142" t="s">
        <v>522</v>
      </c>
      <c r="C199" s="142" t="s">
        <v>32</v>
      </c>
      <c r="D199" s="142">
        <v>-32.10158659</v>
      </c>
      <c r="E199" s="142">
        <v>-64.33218497</v>
      </c>
      <c r="F199" s="142" t="s">
        <v>1675</v>
      </c>
      <c r="G199" s="142">
        <v>62.0</v>
      </c>
      <c r="H199" s="142">
        <v>52.0</v>
      </c>
      <c r="I199" s="142">
        <v>141.0</v>
      </c>
      <c r="J199" s="144"/>
    </row>
    <row r="200" hidden="1">
      <c r="A200" s="139" t="s">
        <v>2497</v>
      </c>
      <c r="B200" s="139" t="s">
        <v>2498</v>
      </c>
      <c r="C200" s="139" t="s">
        <v>32</v>
      </c>
      <c r="D200" s="139">
        <v>-32.39022209</v>
      </c>
      <c r="E200" s="139">
        <v>-64.52263767</v>
      </c>
      <c r="F200" s="139" t="s">
        <v>1675</v>
      </c>
      <c r="G200" s="139">
        <v>170.0</v>
      </c>
      <c r="H200" s="139">
        <v>91.0</v>
      </c>
      <c r="I200" s="139">
        <v>268.0</v>
      </c>
      <c r="J200" s="141"/>
    </row>
    <row r="201" hidden="1">
      <c r="A201" s="142" t="s">
        <v>2501</v>
      </c>
      <c r="B201" s="142" t="s">
        <v>252</v>
      </c>
      <c r="C201" s="142" t="s">
        <v>52</v>
      </c>
      <c r="D201" s="142">
        <v>-31.82404385</v>
      </c>
      <c r="E201" s="142">
        <v>-64.97142508</v>
      </c>
      <c r="F201" s="142" t="s">
        <v>1675</v>
      </c>
      <c r="G201" s="142">
        <v>315.0</v>
      </c>
      <c r="H201" s="142">
        <v>173.0</v>
      </c>
      <c r="I201" s="142">
        <v>700.0</v>
      </c>
      <c r="J201" s="144"/>
    </row>
    <row r="202" hidden="1">
      <c r="A202" s="139" t="s">
        <v>2504</v>
      </c>
      <c r="B202" s="139" t="s">
        <v>97</v>
      </c>
      <c r="C202" s="139" t="s">
        <v>39</v>
      </c>
      <c r="D202" s="139">
        <v>-30.91499306</v>
      </c>
      <c r="E202" s="139">
        <v>-64.73472536</v>
      </c>
      <c r="F202" s="139" t="s">
        <v>1675</v>
      </c>
      <c r="G202" s="139">
        <v>120.0</v>
      </c>
      <c r="H202" s="139">
        <v>68.0</v>
      </c>
      <c r="I202" s="139">
        <v>272.0</v>
      </c>
      <c r="J202" s="141"/>
    </row>
    <row r="203" hidden="1">
      <c r="A203" s="142" t="s">
        <v>2510</v>
      </c>
      <c r="B203" s="142" t="s">
        <v>526</v>
      </c>
      <c r="C203" s="142" t="s">
        <v>408</v>
      </c>
      <c r="D203" s="142">
        <v>-31.13179382</v>
      </c>
      <c r="E203" s="142">
        <v>-63.22788473</v>
      </c>
      <c r="F203" s="142" t="s">
        <v>1675</v>
      </c>
      <c r="G203" s="142">
        <v>41.0</v>
      </c>
      <c r="H203" s="142">
        <v>34.0</v>
      </c>
      <c r="I203" s="142">
        <v>109.0</v>
      </c>
      <c r="J203" s="144"/>
    </row>
    <row r="204" hidden="1">
      <c r="A204" s="139" t="s">
        <v>2513</v>
      </c>
      <c r="B204" s="139" t="s">
        <v>527</v>
      </c>
      <c r="C204" s="139" t="s">
        <v>1646</v>
      </c>
      <c r="D204" s="139">
        <v>-33.08980388</v>
      </c>
      <c r="E204" s="139">
        <v>-64.28536231</v>
      </c>
      <c r="F204" s="139" t="s">
        <v>1652</v>
      </c>
      <c r="G204" s="140">
        <v>2578.0</v>
      </c>
      <c r="H204" s="140">
        <v>2078.0</v>
      </c>
      <c r="I204" s="140">
        <v>6202.0</v>
      </c>
      <c r="J204" s="141"/>
    </row>
    <row r="205" hidden="1">
      <c r="A205" s="142" t="s">
        <v>2516</v>
      </c>
      <c r="B205" s="142" t="s">
        <v>528</v>
      </c>
      <c r="C205" s="142" t="s">
        <v>161</v>
      </c>
      <c r="D205" s="142">
        <v>-32.50921909</v>
      </c>
      <c r="E205" s="142">
        <v>-63.92895604</v>
      </c>
      <c r="F205" s="142" t="s">
        <v>1675</v>
      </c>
      <c r="G205" s="142">
        <v>84.0</v>
      </c>
      <c r="H205" s="142">
        <v>66.0</v>
      </c>
      <c r="I205" s="142">
        <v>190.0</v>
      </c>
      <c r="J205" s="144"/>
    </row>
    <row r="206" hidden="1">
      <c r="A206" s="139" t="s">
        <v>2522</v>
      </c>
      <c r="B206" s="139" t="s">
        <v>529</v>
      </c>
      <c r="C206" s="139" t="s">
        <v>1839</v>
      </c>
      <c r="D206" s="139">
        <v>-31.83139621</v>
      </c>
      <c r="E206" s="139">
        <v>-63.45063658</v>
      </c>
      <c r="F206" s="139" t="s">
        <v>1652</v>
      </c>
      <c r="G206" s="139">
        <v>617.0</v>
      </c>
      <c r="H206" s="139">
        <v>544.0</v>
      </c>
      <c r="I206" s="140">
        <v>1748.0</v>
      </c>
      <c r="J206" s="141"/>
    </row>
    <row r="207" hidden="1">
      <c r="A207" s="142" t="s">
        <v>2525</v>
      </c>
      <c r="B207" s="142" t="s">
        <v>198</v>
      </c>
      <c r="C207" s="142" t="s">
        <v>90</v>
      </c>
      <c r="D207" s="142">
        <v>-31.37777594</v>
      </c>
      <c r="E207" s="142">
        <v>-65.28983623</v>
      </c>
      <c r="F207" s="142" t="s">
        <v>1675</v>
      </c>
      <c r="G207" s="142">
        <v>62.0</v>
      </c>
      <c r="H207" s="142">
        <v>39.0</v>
      </c>
      <c r="I207" s="142">
        <v>123.0</v>
      </c>
      <c r="J207" s="144"/>
    </row>
    <row r="208" hidden="1">
      <c r="A208" s="139" t="s">
        <v>2529</v>
      </c>
      <c r="B208" s="139" t="s">
        <v>329</v>
      </c>
      <c r="C208" s="139" t="s">
        <v>78</v>
      </c>
      <c r="D208" s="139">
        <v>-30.56396286</v>
      </c>
      <c r="E208" s="139">
        <v>-64.00026658</v>
      </c>
      <c r="F208" s="139" t="s">
        <v>1652</v>
      </c>
      <c r="G208" s="139">
        <v>573.0</v>
      </c>
      <c r="H208" s="139">
        <v>504.0</v>
      </c>
      <c r="I208" s="140">
        <v>1664.0</v>
      </c>
      <c r="J208" s="141"/>
    </row>
    <row r="209" hidden="1">
      <c r="A209" s="142" t="s">
        <v>2532</v>
      </c>
      <c r="B209" s="142" t="s">
        <v>532</v>
      </c>
      <c r="C209" s="142" t="s">
        <v>1646</v>
      </c>
      <c r="D209" s="142">
        <v>-32.53470571</v>
      </c>
      <c r="E209" s="142">
        <v>-64.1045726</v>
      </c>
      <c r="F209" s="142" t="s">
        <v>1675</v>
      </c>
      <c r="G209" s="142">
        <v>62.0</v>
      </c>
      <c r="H209" s="142">
        <v>51.0</v>
      </c>
      <c r="I209" s="142">
        <v>148.0</v>
      </c>
      <c r="J209" s="144"/>
    </row>
    <row r="210" hidden="1">
      <c r="A210" s="139" t="s">
        <v>2535</v>
      </c>
      <c r="B210" s="139" t="s">
        <v>533</v>
      </c>
      <c r="C210" s="139" t="s">
        <v>161</v>
      </c>
      <c r="D210" s="139">
        <v>-32.69895583</v>
      </c>
      <c r="E210" s="139">
        <v>-63.70467421</v>
      </c>
      <c r="F210" s="139" t="s">
        <v>1652</v>
      </c>
      <c r="G210" s="140">
        <v>1856.0</v>
      </c>
      <c r="H210" s="140">
        <v>1626.0</v>
      </c>
      <c r="I210" s="140">
        <v>5144.0</v>
      </c>
      <c r="J210" s="141"/>
    </row>
    <row r="211" hidden="1">
      <c r="A211" s="142" t="s">
        <v>2540</v>
      </c>
      <c r="B211" s="142" t="s">
        <v>102</v>
      </c>
      <c r="C211" s="142" t="s">
        <v>39</v>
      </c>
      <c r="D211" s="142">
        <v>-30.68827243</v>
      </c>
      <c r="E211" s="142">
        <v>-64.84925827</v>
      </c>
      <c r="F211" s="142" t="s">
        <v>1675</v>
      </c>
      <c r="G211" s="142">
        <v>308.0</v>
      </c>
      <c r="H211" s="142">
        <v>268.0</v>
      </c>
      <c r="I211" s="142">
        <v>962.0</v>
      </c>
      <c r="J211" s="144"/>
    </row>
    <row r="212" hidden="1">
      <c r="A212" s="139" t="s">
        <v>2543</v>
      </c>
      <c r="B212" s="139" t="s">
        <v>255</v>
      </c>
      <c r="C212" s="139" t="s">
        <v>52</v>
      </c>
      <c r="D212" s="139">
        <v>-31.85356175</v>
      </c>
      <c r="E212" s="139">
        <v>-64.9798804</v>
      </c>
      <c r="F212" s="139" t="s">
        <v>1675</v>
      </c>
      <c r="G212" s="139">
        <v>422.0</v>
      </c>
      <c r="H212" s="139">
        <v>215.0</v>
      </c>
      <c r="I212" s="139">
        <v>703.0</v>
      </c>
      <c r="J212" s="141"/>
    </row>
    <row r="213" hidden="1">
      <c r="A213" s="142" t="s">
        <v>2546</v>
      </c>
      <c r="B213" s="142" t="s">
        <v>436</v>
      </c>
      <c r="C213" s="142" t="s">
        <v>408</v>
      </c>
      <c r="D213" s="142">
        <v>-30.75960088</v>
      </c>
      <c r="E213" s="142">
        <v>-63.20427581</v>
      </c>
      <c r="F213" s="142" t="s">
        <v>1675</v>
      </c>
      <c r="G213" s="142">
        <v>71.0</v>
      </c>
      <c r="H213" s="142">
        <v>49.0</v>
      </c>
      <c r="I213" s="142">
        <v>134.0</v>
      </c>
      <c r="J213" s="144"/>
    </row>
    <row r="214" hidden="1">
      <c r="A214" s="139" t="s">
        <v>2549</v>
      </c>
      <c r="B214" s="139" t="s">
        <v>290</v>
      </c>
      <c r="C214" s="139" t="s">
        <v>107</v>
      </c>
      <c r="D214" s="139">
        <v>-31.95305364</v>
      </c>
      <c r="E214" s="139">
        <v>-65.09796611</v>
      </c>
      <c r="F214" s="139" t="s">
        <v>1652</v>
      </c>
      <c r="G214" s="139">
        <v>681.0</v>
      </c>
      <c r="H214" s="139">
        <v>566.0</v>
      </c>
      <c r="I214" s="140">
        <v>1936.0</v>
      </c>
      <c r="J214" s="141"/>
    </row>
    <row r="215" hidden="1">
      <c r="A215" s="142" t="s">
        <v>2554</v>
      </c>
      <c r="B215" s="142" t="s">
        <v>534</v>
      </c>
      <c r="C215" s="142" t="s">
        <v>150</v>
      </c>
      <c r="D215" s="142">
        <v>-31.80243761</v>
      </c>
      <c r="E215" s="142">
        <v>-62.61659745</v>
      </c>
      <c r="F215" s="142" t="s">
        <v>1652</v>
      </c>
      <c r="G215" s="142">
        <v>507.0</v>
      </c>
      <c r="H215" s="142">
        <v>460.0</v>
      </c>
      <c r="I215" s="143">
        <v>1320.0</v>
      </c>
      <c r="J215" s="144"/>
    </row>
    <row r="216" hidden="1">
      <c r="A216" s="139" t="s">
        <v>2558</v>
      </c>
      <c r="B216" s="139" t="s">
        <v>535</v>
      </c>
      <c r="C216" s="139" t="s">
        <v>150</v>
      </c>
      <c r="D216" s="139">
        <v>-31.87038479</v>
      </c>
      <c r="E216" s="139">
        <v>-62.71966478</v>
      </c>
      <c r="F216" s="139" t="s">
        <v>1652</v>
      </c>
      <c r="G216" s="140">
        <v>6242.0</v>
      </c>
      <c r="H216" s="140">
        <v>5548.0</v>
      </c>
      <c r="I216" s="140">
        <v>16316.0</v>
      </c>
      <c r="J216" s="141"/>
    </row>
    <row r="217" hidden="1">
      <c r="A217" s="142" t="s">
        <v>2561</v>
      </c>
      <c r="B217" s="142" t="s">
        <v>536</v>
      </c>
      <c r="C217" s="142" t="s">
        <v>1646</v>
      </c>
      <c r="D217" s="142">
        <v>-33.28344479</v>
      </c>
      <c r="E217" s="142">
        <v>-64.57771249</v>
      </c>
      <c r="F217" s="142" t="s">
        <v>1652</v>
      </c>
      <c r="G217" s="142">
        <v>285.0</v>
      </c>
      <c r="H217" s="142">
        <v>245.0</v>
      </c>
      <c r="I217" s="142">
        <v>766.0</v>
      </c>
      <c r="J217" s="144"/>
    </row>
    <row r="218" hidden="1">
      <c r="A218" s="139" t="s">
        <v>2567</v>
      </c>
      <c r="B218" s="139" t="s">
        <v>393</v>
      </c>
      <c r="C218" s="139" t="s">
        <v>112</v>
      </c>
      <c r="D218" s="139">
        <v>-34.20418012</v>
      </c>
      <c r="E218" s="139">
        <v>-62.97584718</v>
      </c>
      <c r="F218" s="139" t="s">
        <v>1675</v>
      </c>
      <c r="G218" s="139">
        <v>23.0</v>
      </c>
      <c r="H218" s="139">
        <v>16.0</v>
      </c>
      <c r="I218" s="139">
        <v>55.0</v>
      </c>
      <c r="J218" s="141"/>
    </row>
    <row r="219" hidden="1">
      <c r="A219" s="142" t="s">
        <v>2578</v>
      </c>
      <c r="B219" s="142" t="s">
        <v>539</v>
      </c>
      <c r="C219" s="142" t="s">
        <v>1683</v>
      </c>
      <c r="D219" s="142">
        <v>-32.65935527</v>
      </c>
      <c r="E219" s="142">
        <v>-62.29726758</v>
      </c>
      <c r="F219" s="142" t="s">
        <v>1652</v>
      </c>
      <c r="G219" s="143">
        <v>4026.0</v>
      </c>
      <c r="H219" s="143">
        <v>3579.0</v>
      </c>
      <c r="I219" s="143">
        <v>10529.0</v>
      </c>
      <c r="J219" s="144"/>
    </row>
    <row r="220" hidden="1">
      <c r="A220" s="139" t="s">
        <v>2581</v>
      </c>
      <c r="B220" s="139" t="s">
        <v>540</v>
      </c>
      <c r="C220" s="139" t="s">
        <v>1702</v>
      </c>
      <c r="D220" s="139">
        <v>-31.52614432</v>
      </c>
      <c r="E220" s="139">
        <v>-64.28452442</v>
      </c>
      <c r="F220" s="139" t="s">
        <v>1675</v>
      </c>
      <c r="G220" s="139">
        <v>282.0</v>
      </c>
      <c r="H220" s="139">
        <v>289.0</v>
      </c>
      <c r="I220" s="140">
        <v>1092.0</v>
      </c>
      <c r="J220" s="141"/>
    </row>
    <row r="221" hidden="1">
      <c r="A221" s="142" t="s">
        <v>2583</v>
      </c>
      <c r="B221" s="142" t="s">
        <v>295</v>
      </c>
      <c r="C221" s="142" t="s">
        <v>107</v>
      </c>
      <c r="D221" s="142">
        <v>-31.9726992</v>
      </c>
      <c r="E221" s="142">
        <v>-65.44463823</v>
      </c>
      <c r="F221" s="142" t="s">
        <v>1652</v>
      </c>
      <c r="G221" s="142">
        <v>641.0</v>
      </c>
      <c r="H221" s="142">
        <v>589.0</v>
      </c>
      <c r="I221" s="143">
        <v>2306.0</v>
      </c>
      <c r="J221" s="144"/>
    </row>
    <row r="222" hidden="1">
      <c r="A222" s="139" t="s">
        <v>2585</v>
      </c>
      <c r="B222" s="139" t="s">
        <v>108</v>
      </c>
      <c r="C222" s="139" t="s">
        <v>39</v>
      </c>
      <c r="D222" s="139">
        <v>-30.55767682</v>
      </c>
      <c r="E222" s="139">
        <v>-64.95374658</v>
      </c>
      <c r="F222" s="139" t="s">
        <v>1675</v>
      </c>
      <c r="G222" s="139">
        <v>183.0</v>
      </c>
      <c r="H222" s="139">
        <v>147.0</v>
      </c>
      <c r="I222" s="139">
        <v>564.0</v>
      </c>
      <c r="J222" s="141"/>
    </row>
    <row r="223" hidden="1">
      <c r="A223" s="142" t="s">
        <v>2590</v>
      </c>
      <c r="B223" s="142" t="s">
        <v>108</v>
      </c>
      <c r="C223" s="142" t="s">
        <v>1839</v>
      </c>
      <c r="D223" s="142">
        <v>-30.55767682</v>
      </c>
      <c r="E223" s="142">
        <v>-64.95374658</v>
      </c>
      <c r="F223" s="142" t="s">
        <v>1675</v>
      </c>
      <c r="G223" s="142">
        <v>80.0</v>
      </c>
      <c r="H223" s="142">
        <v>66.0</v>
      </c>
      <c r="I223" s="142">
        <v>219.0</v>
      </c>
      <c r="J223" s="144"/>
    </row>
    <row r="224" hidden="1">
      <c r="A224" s="139" t="s">
        <v>2593</v>
      </c>
      <c r="B224" s="139" t="s">
        <v>542</v>
      </c>
      <c r="C224" s="139" t="s">
        <v>94</v>
      </c>
      <c r="D224" s="139">
        <v>-33.40035838</v>
      </c>
      <c r="E224" s="139">
        <v>-63.47238889</v>
      </c>
      <c r="F224" s="139" t="s">
        <v>1652</v>
      </c>
      <c r="G224" s="139">
        <v>215.0</v>
      </c>
      <c r="H224" s="139">
        <v>190.0</v>
      </c>
      <c r="I224" s="139">
        <v>563.0</v>
      </c>
      <c r="J224" s="141"/>
    </row>
    <row r="225" hidden="1">
      <c r="A225" s="142" t="s">
        <v>2596</v>
      </c>
      <c r="B225" s="142" t="s">
        <v>543</v>
      </c>
      <c r="C225" s="142" t="s">
        <v>120</v>
      </c>
      <c r="D225" s="142">
        <v>-30.92646468</v>
      </c>
      <c r="E225" s="142">
        <v>-64.50039239</v>
      </c>
      <c r="F225" s="142" t="s">
        <v>1652</v>
      </c>
      <c r="G225" s="142">
        <v>575.0</v>
      </c>
      <c r="H225" s="142">
        <v>352.0</v>
      </c>
      <c r="I225" s="143">
        <v>1245.0</v>
      </c>
      <c r="J225" s="144"/>
    </row>
    <row r="226" hidden="1">
      <c r="A226" s="139" t="s">
        <v>2600</v>
      </c>
      <c r="B226" s="139" t="s">
        <v>2601</v>
      </c>
      <c r="C226" s="139" t="s">
        <v>32</v>
      </c>
      <c r="D226" s="139">
        <v>-32.32112597</v>
      </c>
      <c r="E226" s="139">
        <v>-64.28074229</v>
      </c>
      <c r="F226" s="139" t="s">
        <v>1652</v>
      </c>
      <c r="G226" s="140">
        <v>1153.0</v>
      </c>
      <c r="H226" s="139">
        <v>980.0</v>
      </c>
      <c r="I226" s="140">
        <v>2964.0</v>
      </c>
      <c r="J226" s="141"/>
    </row>
    <row r="227" hidden="1">
      <c r="A227" s="142" t="s">
        <v>2604</v>
      </c>
      <c r="B227" s="142" t="s">
        <v>297</v>
      </c>
      <c r="C227" s="142" t="s">
        <v>107</v>
      </c>
      <c r="D227" s="142">
        <v>-31.90334247</v>
      </c>
      <c r="E227" s="142">
        <v>-64.98975494</v>
      </c>
      <c r="F227" s="142" t="s">
        <v>1675</v>
      </c>
      <c r="G227" s="142">
        <v>733.0</v>
      </c>
      <c r="H227" s="142">
        <v>413.0</v>
      </c>
      <c r="I227" s="143">
        <v>1228.0</v>
      </c>
      <c r="J227" s="144"/>
    </row>
    <row r="228" hidden="1">
      <c r="A228" s="139" t="s">
        <v>2608</v>
      </c>
      <c r="B228" s="139" t="s">
        <v>226</v>
      </c>
      <c r="C228" s="139" t="s">
        <v>215</v>
      </c>
      <c r="D228" s="139">
        <v>-29.80246261</v>
      </c>
      <c r="E228" s="139">
        <v>-63.6282467</v>
      </c>
      <c r="F228" s="139" t="s">
        <v>1675</v>
      </c>
      <c r="G228" s="139">
        <v>140.0</v>
      </c>
      <c r="H228" s="139">
        <v>92.0</v>
      </c>
      <c r="I228" s="139">
        <v>279.0</v>
      </c>
      <c r="J228" s="141"/>
    </row>
    <row r="229" hidden="1">
      <c r="A229" s="142" t="s">
        <v>2610</v>
      </c>
      <c r="B229" s="142" t="s">
        <v>331</v>
      </c>
      <c r="C229" s="142" t="s">
        <v>78</v>
      </c>
      <c r="D229" s="142">
        <v>-30.6266872</v>
      </c>
      <c r="E229" s="142">
        <v>-63.88611729</v>
      </c>
      <c r="F229" s="142" t="s">
        <v>1675</v>
      </c>
      <c r="G229" s="142">
        <v>67.0</v>
      </c>
      <c r="H229" s="142">
        <v>58.0</v>
      </c>
      <c r="I229" s="142">
        <v>187.0</v>
      </c>
      <c r="J229" s="144"/>
    </row>
    <row r="230" hidden="1">
      <c r="A230" s="139" t="s">
        <v>2614</v>
      </c>
      <c r="B230" s="139" t="s">
        <v>547</v>
      </c>
      <c r="C230" s="139" t="s">
        <v>32</v>
      </c>
      <c r="D230" s="139">
        <v>-31.8627444</v>
      </c>
      <c r="E230" s="139">
        <v>-64.37461843</v>
      </c>
      <c r="F230" s="139" t="s">
        <v>1675</v>
      </c>
      <c r="G230" s="139">
        <v>182.0</v>
      </c>
      <c r="H230" s="139">
        <v>100.0</v>
      </c>
      <c r="I230" s="139">
        <v>338.0</v>
      </c>
      <c r="J230" s="141"/>
    </row>
    <row r="231" hidden="1">
      <c r="A231" s="142" t="s">
        <v>2617</v>
      </c>
      <c r="B231" s="142" t="s">
        <v>160</v>
      </c>
      <c r="C231" s="142" t="s">
        <v>140</v>
      </c>
      <c r="D231" s="142">
        <v>-30.51918042</v>
      </c>
      <c r="E231" s="142">
        <v>-64.25228926</v>
      </c>
      <c r="F231" s="142" t="s">
        <v>1675</v>
      </c>
      <c r="G231" s="142">
        <v>24.0</v>
      </c>
      <c r="H231" s="142">
        <v>14.0</v>
      </c>
      <c r="I231" s="142">
        <v>95.0</v>
      </c>
      <c r="J231" s="144"/>
    </row>
    <row r="232" hidden="1">
      <c r="A232" s="139" t="s">
        <v>2621</v>
      </c>
      <c r="B232" s="139" t="s">
        <v>103</v>
      </c>
      <c r="C232" s="139" t="s">
        <v>32</v>
      </c>
      <c r="D232" s="139">
        <v>-31.91871849</v>
      </c>
      <c r="E232" s="139">
        <v>-64.57500304</v>
      </c>
      <c r="F232" s="139" t="s">
        <v>1675</v>
      </c>
      <c r="G232" s="140">
        <v>1006.0</v>
      </c>
      <c r="H232" s="139">
        <v>420.0</v>
      </c>
      <c r="I232" s="140">
        <v>1426.0</v>
      </c>
      <c r="J232" s="141"/>
    </row>
    <row r="233" hidden="1">
      <c r="A233" s="142" t="s">
        <v>2624</v>
      </c>
      <c r="B233" s="142" t="s">
        <v>548</v>
      </c>
      <c r="C233" s="142" t="s">
        <v>1683</v>
      </c>
      <c r="D233" s="142">
        <v>-32.88768094</v>
      </c>
      <c r="E233" s="142">
        <v>-61.95174498</v>
      </c>
      <c r="F233" s="142" t="s">
        <v>1652</v>
      </c>
      <c r="G233" s="143">
        <v>1131.0</v>
      </c>
      <c r="H233" s="142">
        <v>989.0</v>
      </c>
      <c r="I233" s="143">
        <v>2795.0</v>
      </c>
      <c r="J233" s="144"/>
    </row>
    <row r="234" hidden="1">
      <c r="A234" s="139" t="s">
        <v>2628</v>
      </c>
      <c r="B234" s="139" t="s">
        <v>202</v>
      </c>
      <c r="C234" s="139" t="s">
        <v>90</v>
      </c>
      <c r="D234" s="139">
        <v>-31.40714725</v>
      </c>
      <c r="E234" s="139">
        <v>-65.04701842</v>
      </c>
      <c r="F234" s="139" t="s">
        <v>1675</v>
      </c>
      <c r="G234" s="139">
        <v>83.0</v>
      </c>
      <c r="H234" s="139">
        <v>56.0</v>
      </c>
      <c r="I234" s="139">
        <v>157.0</v>
      </c>
      <c r="J234" s="141"/>
    </row>
    <row r="235" hidden="1">
      <c r="A235" s="142" t="s">
        <v>2633</v>
      </c>
      <c r="B235" s="142" t="s">
        <v>550</v>
      </c>
      <c r="C235" s="142" t="s">
        <v>161</v>
      </c>
      <c r="D235" s="142">
        <v>-32.0449728</v>
      </c>
      <c r="E235" s="142">
        <v>-63.20224025</v>
      </c>
      <c r="F235" s="142" t="s">
        <v>1652</v>
      </c>
      <c r="G235" s="142">
        <v>185.0</v>
      </c>
      <c r="H235" s="142">
        <v>172.0</v>
      </c>
      <c r="I235" s="142">
        <v>512.0</v>
      </c>
      <c r="J235" s="144"/>
    </row>
    <row r="236" hidden="1">
      <c r="A236" s="139" t="s">
        <v>2636</v>
      </c>
      <c r="B236" s="139" t="s">
        <v>551</v>
      </c>
      <c r="C236" s="139" t="s">
        <v>1702</v>
      </c>
      <c r="D236" s="139">
        <v>-31.64967812</v>
      </c>
      <c r="E236" s="139">
        <v>-64.08970445</v>
      </c>
      <c r="F236" s="139" t="s">
        <v>1652</v>
      </c>
      <c r="G236" s="139">
        <v>375.0</v>
      </c>
      <c r="H236" s="139">
        <v>318.0</v>
      </c>
      <c r="I236" s="140">
        <v>1041.0</v>
      </c>
      <c r="J236" s="141"/>
    </row>
    <row r="237" hidden="1">
      <c r="A237" s="142" t="s">
        <v>2640</v>
      </c>
      <c r="B237" s="142" t="s">
        <v>552</v>
      </c>
      <c r="C237" s="142" t="s">
        <v>1747</v>
      </c>
      <c r="D237" s="142">
        <v>-32.54050567</v>
      </c>
      <c r="E237" s="142">
        <v>-63.47689322</v>
      </c>
      <c r="F237" s="142" t="s">
        <v>1652</v>
      </c>
      <c r="G237" s="142">
        <v>199.0</v>
      </c>
      <c r="H237" s="142">
        <v>176.0</v>
      </c>
      <c r="I237" s="142">
        <v>563.0</v>
      </c>
      <c r="J237" s="144"/>
    </row>
    <row r="238" hidden="1">
      <c r="A238" s="139" t="s">
        <v>2643</v>
      </c>
      <c r="B238" s="139" t="s">
        <v>352</v>
      </c>
      <c r="C238" s="139" t="s">
        <v>96</v>
      </c>
      <c r="D238" s="139">
        <v>-29.80398897</v>
      </c>
      <c r="E238" s="139">
        <v>-64.70810431</v>
      </c>
      <c r="F238" s="139" t="s">
        <v>1652</v>
      </c>
      <c r="G238" s="139">
        <v>328.0</v>
      </c>
      <c r="H238" s="139">
        <v>264.0</v>
      </c>
      <c r="I238" s="139">
        <v>881.0</v>
      </c>
      <c r="J238" s="141"/>
    </row>
    <row r="239" hidden="1">
      <c r="A239" s="142" t="s">
        <v>2647</v>
      </c>
      <c r="B239" s="142" t="s">
        <v>553</v>
      </c>
      <c r="C239" s="142" t="s">
        <v>1839</v>
      </c>
      <c r="D239" s="142">
        <v>-31.64772629</v>
      </c>
      <c r="E239" s="142">
        <v>-63.34508172</v>
      </c>
      <c r="F239" s="142" t="s">
        <v>1652</v>
      </c>
      <c r="G239" s="143">
        <v>2115.0</v>
      </c>
      <c r="H239" s="143">
        <v>1944.0</v>
      </c>
      <c r="I239" s="143">
        <v>6281.0</v>
      </c>
      <c r="J239" s="144"/>
    </row>
    <row r="240" hidden="1">
      <c r="A240" s="139" t="s">
        <v>2651</v>
      </c>
      <c r="B240" s="139" t="s">
        <v>554</v>
      </c>
      <c r="C240" s="139" t="s">
        <v>32</v>
      </c>
      <c r="D240" s="139">
        <v>-32.31849827</v>
      </c>
      <c r="E240" s="139">
        <v>-64.7469859</v>
      </c>
      <c r="F240" s="139" t="s">
        <v>1675</v>
      </c>
      <c r="G240" s="139">
        <v>102.0</v>
      </c>
      <c r="H240" s="139">
        <v>58.0</v>
      </c>
      <c r="I240" s="139">
        <v>183.0</v>
      </c>
      <c r="J240" s="141"/>
    </row>
    <row r="241" hidden="1">
      <c r="A241" s="142" t="s">
        <v>2655</v>
      </c>
      <c r="B241" s="142" t="s">
        <v>299</v>
      </c>
      <c r="C241" s="142" t="s">
        <v>107</v>
      </c>
      <c r="D241" s="142">
        <v>-32.14972119</v>
      </c>
      <c r="E241" s="142">
        <v>-65.05848257</v>
      </c>
      <c r="F241" s="142" t="s">
        <v>1675</v>
      </c>
      <c r="G241" s="142">
        <v>634.0</v>
      </c>
      <c r="H241" s="142">
        <v>464.0</v>
      </c>
      <c r="I241" s="143">
        <v>1595.0</v>
      </c>
      <c r="J241" s="144"/>
    </row>
    <row r="242" hidden="1">
      <c r="A242" s="139" t="s">
        <v>2658</v>
      </c>
      <c r="B242" s="139" t="s">
        <v>555</v>
      </c>
      <c r="C242" s="139" t="s">
        <v>1702</v>
      </c>
      <c r="D242" s="139">
        <v>-31.46739928</v>
      </c>
      <c r="E242" s="139">
        <v>-64.3590212</v>
      </c>
      <c r="F242" s="139" t="s">
        <v>1652</v>
      </c>
      <c r="G242" s="140">
        <v>4029.0</v>
      </c>
      <c r="H242" s="140">
        <v>3617.0</v>
      </c>
      <c r="I242" s="140">
        <v>13102.0</v>
      </c>
      <c r="J242" s="141"/>
    </row>
    <row r="243" hidden="1">
      <c r="A243" s="142" t="s">
        <v>2663</v>
      </c>
      <c r="B243" s="142" t="s">
        <v>556</v>
      </c>
      <c r="C243" s="142" t="s">
        <v>1646</v>
      </c>
      <c r="D243" s="142">
        <v>-33.49040558</v>
      </c>
      <c r="E243" s="142">
        <v>-64.43087865</v>
      </c>
      <c r="F243" s="142" t="s">
        <v>1675</v>
      </c>
      <c r="G243" s="142">
        <v>111.0</v>
      </c>
      <c r="H243" s="142">
        <v>97.0</v>
      </c>
      <c r="I243" s="142">
        <v>368.0</v>
      </c>
      <c r="J243" s="144"/>
    </row>
    <row r="244" hidden="1">
      <c r="A244" s="139" t="s">
        <v>2666</v>
      </c>
      <c r="B244" s="139" t="s">
        <v>319</v>
      </c>
      <c r="C244" s="139" t="s">
        <v>1664</v>
      </c>
      <c r="D244" s="139">
        <v>-31.37425358</v>
      </c>
      <c r="E244" s="139">
        <v>-64.05369173</v>
      </c>
      <c r="F244" s="139" t="s">
        <v>1652</v>
      </c>
      <c r="G244" s="140">
        <v>3097.0</v>
      </c>
      <c r="H244" s="140">
        <v>3098.0</v>
      </c>
      <c r="I244" s="140">
        <v>12581.0</v>
      </c>
      <c r="J244" s="141"/>
    </row>
    <row r="245" hidden="1">
      <c r="A245" s="142" t="s">
        <v>2669</v>
      </c>
      <c r="B245" s="142" t="s">
        <v>557</v>
      </c>
      <c r="C245" s="142" t="s">
        <v>1839</v>
      </c>
      <c r="D245" s="142">
        <v>-31.84575732</v>
      </c>
      <c r="E245" s="142">
        <v>-63.74755801</v>
      </c>
      <c r="F245" s="142" t="s">
        <v>1652</v>
      </c>
      <c r="G245" s="142">
        <v>357.0</v>
      </c>
      <c r="H245" s="142">
        <v>318.0</v>
      </c>
      <c r="I245" s="142">
        <v>964.0</v>
      </c>
      <c r="J245" s="144"/>
    </row>
    <row r="246" hidden="1">
      <c r="A246" s="139" t="s">
        <v>2673</v>
      </c>
      <c r="B246" s="139" t="s">
        <v>433</v>
      </c>
      <c r="C246" s="139" t="s">
        <v>408</v>
      </c>
      <c r="D246" s="139">
        <v>-30.90860179</v>
      </c>
      <c r="E246" s="139">
        <v>-63.53160762</v>
      </c>
      <c r="F246" s="139" t="s">
        <v>1675</v>
      </c>
      <c r="G246" s="139">
        <v>38.0</v>
      </c>
      <c r="H246" s="139">
        <v>24.0</v>
      </c>
      <c r="I246" s="139">
        <v>69.0</v>
      </c>
      <c r="J246" s="141"/>
    </row>
    <row r="247" hidden="1">
      <c r="A247" s="142" t="s">
        <v>2676</v>
      </c>
      <c r="B247" s="142" t="s">
        <v>1683</v>
      </c>
      <c r="C247" s="142" t="s">
        <v>1683</v>
      </c>
      <c r="D247" s="142">
        <v>-32.69063629</v>
      </c>
      <c r="E247" s="142">
        <v>-62.10112652</v>
      </c>
      <c r="F247" s="142" t="s">
        <v>1652</v>
      </c>
      <c r="G247" s="143">
        <v>9787.0</v>
      </c>
      <c r="H247" s="143">
        <v>8876.0</v>
      </c>
      <c r="I247" s="143">
        <v>27071.0</v>
      </c>
      <c r="J247" s="144"/>
    </row>
    <row r="248" hidden="1">
      <c r="A248" s="139" t="s">
        <v>2679</v>
      </c>
      <c r="B248" s="139" t="s">
        <v>560</v>
      </c>
      <c r="C248" s="139" t="s">
        <v>150</v>
      </c>
      <c r="D248" s="139">
        <v>-30.99386497</v>
      </c>
      <c r="E248" s="139">
        <v>-62.82533848</v>
      </c>
      <c r="F248" s="139" t="s">
        <v>1652</v>
      </c>
      <c r="G248" s="139">
        <v>670.0</v>
      </c>
      <c r="H248" s="139">
        <v>590.0</v>
      </c>
      <c r="I248" s="140">
        <v>1799.0</v>
      </c>
      <c r="J248" s="141"/>
    </row>
    <row r="249" hidden="1">
      <c r="A249" s="142" t="s">
        <v>2684</v>
      </c>
      <c r="B249" s="142" t="s">
        <v>561</v>
      </c>
      <c r="C249" s="142" t="s">
        <v>1839</v>
      </c>
      <c r="D249" s="142">
        <v>-31.71471056</v>
      </c>
      <c r="E249" s="142">
        <v>-63.51071835</v>
      </c>
      <c r="F249" s="142" t="s">
        <v>1652</v>
      </c>
      <c r="G249" s="142">
        <v>361.0</v>
      </c>
      <c r="H249" s="142">
        <v>320.0</v>
      </c>
      <c r="I249" s="142">
        <v>981.0</v>
      </c>
      <c r="J249" s="144"/>
    </row>
    <row r="250" hidden="1">
      <c r="A250" s="139" t="s">
        <v>2687</v>
      </c>
      <c r="B250" s="139" t="s">
        <v>373</v>
      </c>
      <c r="C250" s="139" t="s">
        <v>31</v>
      </c>
      <c r="D250" s="139">
        <v>-34.48125659</v>
      </c>
      <c r="E250" s="139">
        <v>-64.17069638</v>
      </c>
      <c r="F250" s="139" t="s">
        <v>1652</v>
      </c>
      <c r="G250" s="139">
        <v>695.0</v>
      </c>
      <c r="H250" s="139">
        <v>614.0</v>
      </c>
      <c r="I250" s="140">
        <v>1842.0</v>
      </c>
      <c r="J250" s="141"/>
    </row>
    <row r="251" hidden="1">
      <c r="A251" s="142" t="s">
        <v>2691</v>
      </c>
      <c r="B251" s="142" t="s">
        <v>562</v>
      </c>
      <c r="C251" s="142" t="s">
        <v>120</v>
      </c>
      <c r="D251" s="142">
        <v>-31.47227156</v>
      </c>
      <c r="E251" s="142">
        <v>-64.54146968</v>
      </c>
      <c r="F251" s="142" t="s">
        <v>1675</v>
      </c>
      <c r="G251" s="142">
        <v>653.0</v>
      </c>
      <c r="H251" s="142">
        <v>422.0</v>
      </c>
      <c r="I251" s="143">
        <v>1383.0</v>
      </c>
      <c r="J251" s="144"/>
    </row>
    <row r="252" hidden="1">
      <c r="A252" s="139" t="s">
        <v>2700</v>
      </c>
      <c r="B252" s="139" t="s">
        <v>113</v>
      </c>
      <c r="C252" s="139" t="s">
        <v>39</v>
      </c>
      <c r="D252" s="139">
        <v>-30.64407669</v>
      </c>
      <c r="E252" s="139">
        <v>-64.92825613</v>
      </c>
      <c r="F252" s="139" t="s">
        <v>1675</v>
      </c>
      <c r="G252" s="139">
        <v>317.0</v>
      </c>
      <c r="H252" s="139">
        <v>246.0</v>
      </c>
      <c r="I252" s="139">
        <v>936.0</v>
      </c>
      <c r="J252" s="141"/>
    </row>
    <row r="253" hidden="1">
      <c r="A253" s="142" t="s">
        <v>2703</v>
      </c>
      <c r="B253" s="142" t="s">
        <v>396</v>
      </c>
      <c r="C253" s="142" t="s">
        <v>112</v>
      </c>
      <c r="D253" s="142">
        <v>-34.34867548</v>
      </c>
      <c r="E253" s="142">
        <v>-63.44515058</v>
      </c>
      <c r="F253" s="142" t="s">
        <v>1652</v>
      </c>
      <c r="G253" s="142">
        <v>473.0</v>
      </c>
      <c r="H253" s="142">
        <v>420.0</v>
      </c>
      <c r="I253" s="143">
        <v>1254.0</v>
      </c>
      <c r="J253" s="144"/>
    </row>
    <row r="254" hidden="1">
      <c r="A254" s="139" t="s">
        <v>2708</v>
      </c>
      <c r="B254" s="139" t="s">
        <v>265</v>
      </c>
      <c r="C254" s="139" t="s">
        <v>1664</v>
      </c>
      <c r="D254" s="139">
        <v>-31.26404437</v>
      </c>
      <c r="E254" s="139">
        <v>-64.30912777</v>
      </c>
      <c r="F254" s="139" t="s">
        <v>1652</v>
      </c>
      <c r="G254" s="140">
        <v>3415.0</v>
      </c>
      <c r="H254" s="140">
        <v>2874.0</v>
      </c>
      <c r="I254" s="140">
        <v>10317.0</v>
      </c>
      <c r="J254" s="141"/>
    </row>
    <row r="255" hidden="1">
      <c r="A255" s="142" t="s">
        <v>2718</v>
      </c>
      <c r="B255" s="142" t="s">
        <v>311</v>
      </c>
      <c r="C255" s="142" t="s">
        <v>1664</v>
      </c>
      <c r="D255" s="142">
        <v>-31.35535001</v>
      </c>
      <c r="E255" s="142">
        <v>-64.00318942</v>
      </c>
      <c r="F255" s="142" t="s">
        <v>1675</v>
      </c>
      <c r="G255" s="142">
        <v>435.0</v>
      </c>
      <c r="H255" s="142">
        <v>437.0</v>
      </c>
      <c r="I255" s="143">
        <v>2149.0</v>
      </c>
      <c r="J255" s="144"/>
    </row>
    <row r="256" hidden="1">
      <c r="A256" s="139" t="s">
        <v>2722</v>
      </c>
      <c r="B256" s="139" t="s">
        <v>257</v>
      </c>
      <c r="C256" s="139" t="s">
        <v>52</v>
      </c>
      <c r="D256" s="139">
        <v>-31.72942764</v>
      </c>
      <c r="E256" s="139">
        <v>-65.00500034</v>
      </c>
      <c r="F256" s="139" t="s">
        <v>1652</v>
      </c>
      <c r="G256" s="140">
        <v>4421.0</v>
      </c>
      <c r="H256" s="140">
        <v>2839.0</v>
      </c>
      <c r="I256" s="140">
        <v>9434.0</v>
      </c>
      <c r="J256" s="141"/>
    </row>
    <row r="257" hidden="1">
      <c r="A257" s="142" t="s">
        <v>2725</v>
      </c>
      <c r="B257" s="142" t="s">
        <v>2726</v>
      </c>
      <c r="C257" s="142" t="s">
        <v>150</v>
      </c>
      <c r="D257" s="142">
        <v>-30.91515318</v>
      </c>
      <c r="E257" s="142">
        <v>-62.67500955</v>
      </c>
      <c r="F257" s="142" t="s">
        <v>1652</v>
      </c>
      <c r="G257" s="143">
        <v>1047.0</v>
      </c>
      <c r="H257" s="142">
        <v>761.0</v>
      </c>
      <c r="I257" s="143">
        <v>2212.0</v>
      </c>
      <c r="J257" s="144"/>
    </row>
    <row r="258" hidden="1">
      <c r="A258" s="139" t="s">
        <v>2728</v>
      </c>
      <c r="B258" s="139" t="s">
        <v>565</v>
      </c>
      <c r="C258" s="139" t="s">
        <v>1683</v>
      </c>
      <c r="D258" s="139">
        <v>-32.91563744</v>
      </c>
      <c r="E258" s="139">
        <v>-62.45490096</v>
      </c>
      <c r="F258" s="139" t="s">
        <v>1652</v>
      </c>
      <c r="G258" s="140">
        <v>2347.0</v>
      </c>
      <c r="H258" s="140">
        <v>2061.0</v>
      </c>
      <c r="I258" s="140">
        <v>6285.0</v>
      </c>
      <c r="J258" s="141"/>
    </row>
    <row r="259" hidden="1">
      <c r="A259" s="142" t="s">
        <v>2731</v>
      </c>
      <c r="B259" s="142" t="s">
        <v>566</v>
      </c>
      <c r="C259" s="142" t="s">
        <v>408</v>
      </c>
      <c r="D259" s="142">
        <v>-31.34198602</v>
      </c>
      <c r="E259" s="142">
        <v>-63.9472253</v>
      </c>
      <c r="F259" s="142" t="s">
        <v>1652</v>
      </c>
      <c r="G259" s="143">
        <v>3256.0</v>
      </c>
      <c r="H259" s="143">
        <v>2910.0</v>
      </c>
      <c r="I259" s="143">
        <v>10332.0</v>
      </c>
      <c r="J259" s="144"/>
    </row>
    <row r="260" hidden="1">
      <c r="A260" s="139" t="s">
        <v>2735</v>
      </c>
      <c r="B260" s="139" t="s">
        <v>568</v>
      </c>
      <c r="C260" s="139" t="s">
        <v>1646</v>
      </c>
      <c r="D260" s="139">
        <v>-33.63908642</v>
      </c>
      <c r="E260" s="139">
        <v>-63.88967283</v>
      </c>
      <c r="F260" s="139" t="s">
        <v>1652</v>
      </c>
      <c r="G260" s="139">
        <v>232.0</v>
      </c>
      <c r="H260" s="139">
        <v>218.0</v>
      </c>
      <c r="I260" s="139">
        <v>694.0</v>
      </c>
      <c r="J260" s="141"/>
    </row>
    <row r="261" hidden="1">
      <c r="A261" s="142" t="s">
        <v>2738</v>
      </c>
      <c r="B261" s="142" t="s">
        <v>569</v>
      </c>
      <c r="C261" s="142" t="s">
        <v>1674</v>
      </c>
      <c r="D261" s="142">
        <v>-32.61128294</v>
      </c>
      <c r="E261" s="142">
        <v>-62.58974526</v>
      </c>
      <c r="F261" s="142" t="s">
        <v>1652</v>
      </c>
      <c r="G261" s="142">
        <v>149.0</v>
      </c>
      <c r="H261" s="142">
        <v>128.0</v>
      </c>
      <c r="I261" s="142">
        <v>436.0</v>
      </c>
      <c r="J261" s="144"/>
    </row>
    <row r="262" hidden="1">
      <c r="A262" s="139" t="s">
        <v>2742</v>
      </c>
      <c r="B262" s="139" t="s">
        <v>570</v>
      </c>
      <c r="C262" s="139" t="s">
        <v>1674</v>
      </c>
      <c r="D262" s="139">
        <v>-33.20424512</v>
      </c>
      <c r="E262" s="139">
        <v>-62.60048309</v>
      </c>
      <c r="F262" s="139" t="s">
        <v>1652</v>
      </c>
      <c r="G262" s="140">
        <v>2791.0</v>
      </c>
      <c r="H262" s="140">
        <v>2457.0</v>
      </c>
      <c r="I262" s="140">
        <v>7478.0</v>
      </c>
      <c r="J262" s="141"/>
    </row>
    <row r="263" hidden="1">
      <c r="A263" s="142" t="s">
        <v>2745</v>
      </c>
      <c r="B263" s="142" t="s">
        <v>571</v>
      </c>
      <c r="C263" s="142" t="s">
        <v>1702</v>
      </c>
      <c r="D263" s="142">
        <v>-31.91072278</v>
      </c>
      <c r="E263" s="142">
        <v>-64.23994229</v>
      </c>
      <c r="F263" s="142" t="s">
        <v>1652</v>
      </c>
      <c r="G263" s="142">
        <v>196.0</v>
      </c>
      <c r="H263" s="142">
        <v>182.0</v>
      </c>
      <c r="I263" s="142">
        <v>535.0</v>
      </c>
      <c r="J263" s="144"/>
    </row>
    <row r="264" hidden="1">
      <c r="A264" s="139" t="s">
        <v>2748</v>
      </c>
      <c r="B264" s="139" t="s">
        <v>572</v>
      </c>
      <c r="C264" s="139" t="s">
        <v>1674</v>
      </c>
      <c r="D264" s="139">
        <v>-32.59286539</v>
      </c>
      <c r="E264" s="139">
        <v>-62.83334064</v>
      </c>
      <c r="F264" s="139" t="s">
        <v>1652</v>
      </c>
      <c r="G264" s="140">
        <v>1320.0</v>
      </c>
      <c r="H264" s="140">
        <v>1104.0</v>
      </c>
      <c r="I264" s="140">
        <v>3397.0</v>
      </c>
      <c r="J264" s="141"/>
    </row>
    <row r="265" hidden="1">
      <c r="A265" s="142" t="s">
        <v>2751</v>
      </c>
      <c r="B265" s="142" t="s">
        <v>573</v>
      </c>
      <c r="C265" s="142" t="s">
        <v>150</v>
      </c>
      <c r="D265" s="142">
        <v>-30.71066778</v>
      </c>
      <c r="E265" s="142">
        <v>-62.00723646</v>
      </c>
      <c r="F265" s="142" t="s">
        <v>1652</v>
      </c>
      <c r="G265" s="143">
        <v>6236.0</v>
      </c>
      <c r="H265" s="143">
        <v>5653.0</v>
      </c>
      <c r="I265" s="143">
        <v>17124.0</v>
      </c>
      <c r="J265" s="144"/>
    </row>
    <row r="266" hidden="1">
      <c r="A266" s="139" t="s">
        <v>2752</v>
      </c>
      <c r="B266" s="139" t="s">
        <v>375</v>
      </c>
      <c r="C266" s="139" t="s">
        <v>31</v>
      </c>
      <c r="D266" s="139">
        <v>-34.44042024</v>
      </c>
      <c r="E266" s="139">
        <v>-64.34164131</v>
      </c>
      <c r="F266" s="139" t="s">
        <v>1675</v>
      </c>
      <c r="G266" s="139">
        <v>84.0</v>
      </c>
      <c r="H266" s="139">
        <v>65.0</v>
      </c>
      <c r="I266" s="139">
        <v>214.0</v>
      </c>
      <c r="J266" s="141"/>
    </row>
    <row r="267" hidden="1">
      <c r="A267" s="142" t="s">
        <v>2756</v>
      </c>
      <c r="B267" s="142" t="s">
        <v>575</v>
      </c>
      <c r="C267" s="142" t="s">
        <v>1674</v>
      </c>
      <c r="D267" s="142">
        <v>-32.36602249</v>
      </c>
      <c r="E267" s="142">
        <v>-62.30717484</v>
      </c>
      <c r="F267" s="142" t="s">
        <v>1652</v>
      </c>
      <c r="G267" s="143">
        <v>1975.0</v>
      </c>
      <c r="H267" s="143">
        <v>1773.0</v>
      </c>
      <c r="I267" s="143">
        <v>4923.0</v>
      </c>
      <c r="J267" s="144"/>
    </row>
    <row r="268" hidden="1">
      <c r="A268" s="139" t="s">
        <v>2760</v>
      </c>
      <c r="B268" s="139" t="s">
        <v>259</v>
      </c>
      <c r="C268" s="139" t="s">
        <v>52</v>
      </c>
      <c r="D268" s="139">
        <v>-31.7972047</v>
      </c>
      <c r="E268" s="139">
        <v>-65.00249878</v>
      </c>
      <c r="F268" s="139" t="s">
        <v>1652</v>
      </c>
      <c r="G268" s="140">
        <v>1378.0</v>
      </c>
      <c r="H268" s="139">
        <v>697.0</v>
      </c>
      <c r="I268" s="140">
        <v>2408.0</v>
      </c>
      <c r="J268" s="141"/>
    </row>
    <row r="269" hidden="1">
      <c r="A269" s="142" t="s">
        <v>2763</v>
      </c>
      <c r="B269" s="142" t="s">
        <v>416</v>
      </c>
      <c r="C269" s="142" t="s">
        <v>408</v>
      </c>
      <c r="D269" s="142">
        <v>-30.78129239</v>
      </c>
      <c r="E269" s="142">
        <v>-63.41036575</v>
      </c>
      <c r="F269" s="142" t="s">
        <v>1652</v>
      </c>
      <c r="G269" s="142">
        <v>819.0</v>
      </c>
      <c r="H269" s="142">
        <v>686.0</v>
      </c>
      <c r="I269" s="143">
        <v>2497.0</v>
      </c>
      <c r="J269" s="144"/>
    </row>
    <row r="270" hidden="1">
      <c r="A270" s="139" t="s">
        <v>2768</v>
      </c>
      <c r="B270" s="139" t="s">
        <v>577</v>
      </c>
      <c r="C270" s="139" t="s">
        <v>94</v>
      </c>
      <c r="D270" s="139">
        <v>-33.04476145</v>
      </c>
      <c r="E270" s="139">
        <v>-63.90606664</v>
      </c>
      <c r="F270" s="139" t="s">
        <v>1652</v>
      </c>
      <c r="G270" s="139">
        <v>252.0</v>
      </c>
      <c r="H270" s="139">
        <v>219.0</v>
      </c>
      <c r="I270" s="139">
        <v>644.0</v>
      </c>
      <c r="J270" s="141"/>
    </row>
    <row r="271" hidden="1">
      <c r="A271" s="142" t="s">
        <v>2772</v>
      </c>
      <c r="B271" s="142" t="s">
        <v>579</v>
      </c>
      <c r="C271" s="142" t="s">
        <v>161</v>
      </c>
      <c r="D271" s="142">
        <v>-32.03825861</v>
      </c>
      <c r="E271" s="142">
        <v>-63.57067645</v>
      </c>
      <c r="F271" s="142" t="s">
        <v>1652</v>
      </c>
      <c r="G271" s="143">
        <v>4510.0</v>
      </c>
      <c r="H271" s="143">
        <v>3931.0</v>
      </c>
      <c r="I271" s="143">
        <v>11809.0</v>
      </c>
      <c r="J271" s="144"/>
    </row>
    <row r="272" hidden="1">
      <c r="A272" s="139" t="s">
        <v>2774</v>
      </c>
      <c r="B272" s="139" t="s">
        <v>164</v>
      </c>
      <c r="C272" s="139" t="s">
        <v>140</v>
      </c>
      <c r="D272" s="139">
        <v>-30.60122642</v>
      </c>
      <c r="E272" s="139">
        <v>-64.85560552</v>
      </c>
      <c r="F272" s="139" t="s">
        <v>1675</v>
      </c>
      <c r="G272" s="139">
        <v>162.0</v>
      </c>
      <c r="H272" s="139">
        <v>149.0</v>
      </c>
      <c r="I272" s="139">
        <v>615.0</v>
      </c>
      <c r="J272" s="141"/>
    </row>
    <row r="273" hidden="1">
      <c r="A273" s="142" t="s">
        <v>2775</v>
      </c>
      <c r="B273" s="142" t="s">
        <v>377</v>
      </c>
      <c r="C273" s="142" t="s">
        <v>31</v>
      </c>
      <c r="D273" s="142">
        <v>-34.77263065</v>
      </c>
      <c r="E273" s="142">
        <v>-63.67215453</v>
      </c>
      <c r="F273" s="142" t="s">
        <v>1675</v>
      </c>
      <c r="G273" s="142">
        <v>29.0</v>
      </c>
      <c r="H273" s="142">
        <v>23.0</v>
      </c>
      <c r="I273" s="142">
        <v>63.0</v>
      </c>
      <c r="J273" s="144"/>
    </row>
    <row r="274" hidden="1">
      <c r="A274" s="139" t="s">
        <v>2779</v>
      </c>
      <c r="B274" s="139" t="s">
        <v>581</v>
      </c>
      <c r="C274" s="139" t="s">
        <v>1839</v>
      </c>
      <c r="D274" s="139">
        <v>-31.9134321</v>
      </c>
      <c r="E274" s="139">
        <v>-63.6820214</v>
      </c>
      <c r="F274" s="139" t="s">
        <v>1652</v>
      </c>
      <c r="G274" s="140">
        <v>4891.0</v>
      </c>
      <c r="H274" s="140">
        <v>4438.0</v>
      </c>
      <c r="I274" s="140">
        <v>13295.0</v>
      </c>
      <c r="J274" s="141"/>
    </row>
    <row r="275" hidden="1">
      <c r="A275" s="142" t="s">
        <v>2782</v>
      </c>
      <c r="B275" s="142" t="s">
        <v>582</v>
      </c>
      <c r="C275" s="142" t="s">
        <v>1674</v>
      </c>
      <c r="D275" s="142">
        <v>-32.84100733</v>
      </c>
      <c r="E275" s="142">
        <v>-62.86598555</v>
      </c>
      <c r="F275" s="142" t="s">
        <v>1652</v>
      </c>
      <c r="G275" s="142">
        <v>934.0</v>
      </c>
      <c r="H275" s="142">
        <v>814.0</v>
      </c>
      <c r="I275" s="143">
        <v>2613.0</v>
      </c>
      <c r="J275" s="144"/>
    </row>
    <row r="276" hidden="1">
      <c r="A276" s="139" t="s">
        <v>2786</v>
      </c>
      <c r="B276" s="139" t="s">
        <v>583</v>
      </c>
      <c r="C276" s="139" t="s">
        <v>94</v>
      </c>
      <c r="D276" s="139">
        <v>-33.75844602</v>
      </c>
      <c r="E276" s="139">
        <v>-63.49030233</v>
      </c>
      <c r="F276" s="139" t="s">
        <v>1675</v>
      </c>
      <c r="G276" s="139">
        <v>16.0</v>
      </c>
      <c r="H276" s="139">
        <v>16.0</v>
      </c>
      <c r="I276" s="139">
        <v>60.0</v>
      </c>
      <c r="J276" s="141"/>
    </row>
    <row r="277" hidden="1">
      <c r="A277" s="142" t="s">
        <v>2792</v>
      </c>
      <c r="B277" s="142" t="s">
        <v>584</v>
      </c>
      <c r="C277" s="142" t="s">
        <v>161</v>
      </c>
      <c r="D277" s="142">
        <v>-32.24099723</v>
      </c>
      <c r="E277" s="142">
        <v>-63.64297557</v>
      </c>
      <c r="F277" s="142" t="s">
        <v>1675</v>
      </c>
      <c r="G277" s="142">
        <v>53.0</v>
      </c>
      <c r="H277" s="142">
        <v>30.0</v>
      </c>
      <c r="I277" s="142">
        <v>95.0</v>
      </c>
      <c r="J277" s="144"/>
    </row>
    <row r="278" hidden="1">
      <c r="A278" s="139" t="s">
        <v>2798</v>
      </c>
      <c r="B278" s="139" t="s">
        <v>585</v>
      </c>
      <c r="C278" s="139" t="s">
        <v>161</v>
      </c>
      <c r="D278" s="139">
        <v>-32.25050208</v>
      </c>
      <c r="E278" s="139">
        <v>-63.65167624</v>
      </c>
      <c r="F278" s="139" t="s">
        <v>1652</v>
      </c>
      <c r="G278" s="139">
        <v>564.0</v>
      </c>
      <c r="H278" s="139">
        <v>442.0</v>
      </c>
      <c r="I278" s="140">
        <v>1212.0</v>
      </c>
      <c r="J278" s="141"/>
    </row>
    <row r="279" hidden="1">
      <c r="A279" s="142" t="s">
        <v>2802</v>
      </c>
      <c r="B279" s="142" t="s">
        <v>261</v>
      </c>
      <c r="C279" s="142" t="s">
        <v>52</v>
      </c>
      <c r="D279" s="142">
        <v>-31.6329536</v>
      </c>
      <c r="E279" s="142">
        <v>-65.05495329</v>
      </c>
      <c r="F279" s="142" t="s">
        <v>1675</v>
      </c>
      <c r="G279" s="142">
        <v>139.0</v>
      </c>
      <c r="H279" s="142">
        <v>64.0</v>
      </c>
      <c r="I279" s="142">
        <v>273.0</v>
      </c>
      <c r="J279" s="144"/>
    </row>
    <row r="280" hidden="1">
      <c r="A280" s="139" t="s">
        <v>2808</v>
      </c>
      <c r="B280" s="139" t="s">
        <v>586</v>
      </c>
      <c r="C280" s="139" t="s">
        <v>1674</v>
      </c>
      <c r="D280" s="139">
        <v>-33.12470041</v>
      </c>
      <c r="E280" s="139">
        <v>-63.04012472</v>
      </c>
      <c r="F280" s="139" t="s">
        <v>1652</v>
      </c>
      <c r="G280" s="140">
        <v>1053.0</v>
      </c>
      <c r="H280" s="139">
        <v>947.0</v>
      </c>
      <c r="I280" s="140">
        <v>2779.0</v>
      </c>
      <c r="J280" s="141"/>
    </row>
    <row r="281" hidden="1">
      <c r="A281" s="142" t="s">
        <v>2812</v>
      </c>
      <c r="B281" s="142" t="s">
        <v>587</v>
      </c>
      <c r="C281" s="142" t="s">
        <v>1747</v>
      </c>
      <c r="D281" s="142">
        <v>-32.74621804</v>
      </c>
      <c r="E281" s="142">
        <v>-63.34173576</v>
      </c>
      <c r="F281" s="142" t="s">
        <v>1652</v>
      </c>
      <c r="G281" s="142">
        <v>449.0</v>
      </c>
      <c r="H281" s="142">
        <v>390.0</v>
      </c>
      <c r="I281" s="143">
        <v>1201.0</v>
      </c>
      <c r="J281" s="144"/>
    </row>
    <row r="282" hidden="1">
      <c r="A282" s="139" t="s">
        <v>2815</v>
      </c>
      <c r="B282" s="139" t="s">
        <v>589</v>
      </c>
      <c r="C282" s="139" t="s">
        <v>94</v>
      </c>
      <c r="D282" s="139">
        <v>-33.17073686</v>
      </c>
      <c r="E282" s="139">
        <v>-64.04776304</v>
      </c>
      <c r="F282" s="139" t="s">
        <v>1675</v>
      </c>
      <c r="G282" s="139">
        <v>44.0</v>
      </c>
      <c r="H282" s="139">
        <v>29.0</v>
      </c>
      <c r="I282" s="139">
        <v>87.0</v>
      </c>
      <c r="J282" s="141"/>
    </row>
    <row r="283" hidden="1">
      <c r="A283" s="142" t="s">
        <v>2819</v>
      </c>
      <c r="B283" s="142" t="s">
        <v>118</v>
      </c>
      <c r="C283" s="142" t="s">
        <v>39</v>
      </c>
      <c r="D283" s="142">
        <v>-30.76743845</v>
      </c>
      <c r="E283" s="142">
        <v>-65.1904311</v>
      </c>
      <c r="F283" s="142" t="s">
        <v>1675</v>
      </c>
      <c r="G283" s="142">
        <v>301.0</v>
      </c>
      <c r="H283" s="142">
        <v>268.0</v>
      </c>
      <c r="I283" s="143">
        <v>1033.0</v>
      </c>
      <c r="J283" s="144"/>
    </row>
    <row r="284" hidden="1">
      <c r="A284" s="139" t="s">
        <v>2823</v>
      </c>
      <c r="B284" s="139" t="s">
        <v>590</v>
      </c>
      <c r="C284" s="139" t="s">
        <v>1839</v>
      </c>
      <c r="D284" s="139">
        <v>-31.68126524</v>
      </c>
      <c r="E284" s="139">
        <v>-63.88239584</v>
      </c>
      <c r="F284" s="139" t="s">
        <v>1652</v>
      </c>
      <c r="G284" s="140">
        <v>4943.0</v>
      </c>
      <c r="H284" s="140">
        <v>4383.0</v>
      </c>
      <c r="I284" s="140">
        <v>14809.0</v>
      </c>
      <c r="J284" s="141"/>
    </row>
    <row r="285" hidden="1">
      <c r="A285" s="142" t="s">
        <v>2828</v>
      </c>
      <c r="B285" s="142" t="s">
        <v>379</v>
      </c>
      <c r="C285" s="142" t="s">
        <v>31</v>
      </c>
      <c r="D285" s="142">
        <v>-34.83818361</v>
      </c>
      <c r="E285" s="142">
        <v>-63.91656305</v>
      </c>
      <c r="F285" s="142" t="s">
        <v>1675</v>
      </c>
      <c r="G285" s="142">
        <v>93.0</v>
      </c>
      <c r="H285" s="142">
        <v>87.0</v>
      </c>
      <c r="I285" s="142">
        <v>254.0</v>
      </c>
      <c r="J285" s="144"/>
    </row>
    <row r="286" hidden="1">
      <c r="A286" s="139" t="s">
        <v>2832</v>
      </c>
      <c r="B286" s="139" t="s">
        <v>591</v>
      </c>
      <c r="C286" s="139" t="s">
        <v>408</v>
      </c>
      <c r="D286" s="139">
        <v>-31.30059974</v>
      </c>
      <c r="E286" s="139">
        <v>-63.75767306</v>
      </c>
      <c r="F286" s="139" t="s">
        <v>1652</v>
      </c>
      <c r="G286" s="139">
        <v>434.0</v>
      </c>
      <c r="H286" s="139">
        <v>391.0</v>
      </c>
      <c r="I286" s="140">
        <v>1364.0</v>
      </c>
      <c r="J286" s="141"/>
    </row>
    <row r="287" hidden="1">
      <c r="A287" s="142" t="s">
        <v>2835</v>
      </c>
      <c r="B287" s="142" t="s">
        <v>427</v>
      </c>
      <c r="C287" s="142" t="s">
        <v>408</v>
      </c>
      <c r="D287" s="142">
        <v>-30.97835511</v>
      </c>
      <c r="E287" s="142">
        <v>-63.26068824</v>
      </c>
      <c r="F287" s="142" t="s">
        <v>1675</v>
      </c>
      <c r="G287" s="142">
        <v>24.0</v>
      </c>
      <c r="H287" s="142">
        <v>23.0</v>
      </c>
      <c r="I287" s="142">
        <v>67.0</v>
      </c>
      <c r="J287" s="144"/>
    </row>
    <row r="288" hidden="1">
      <c r="A288" s="139" t="s">
        <v>2838</v>
      </c>
      <c r="B288" s="139" t="s">
        <v>593</v>
      </c>
      <c r="C288" s="139" t="s">
        <v>150</v>
      </c>
      <c r="D288" s="139">
        <v>-31.30518476</v>
      </c>
      <c r="E288" s="139">
        <v>-62.13375398</v>
      </c>
      <c r="F288" s="139" t="s">
        <v>1675</v>
      </c>
      <c r="G288" s="139">
        <v>74.0</v>
      </c>
      <c r="H288" s="139">
        <v>63.0</v>
      </c>
      <c r="I288" s="139">
        <v>195.0</v>
      </c>
      <c r="J288" s="141"/>
    </row>
    <row r="289" hidden="1">
      <c r="A289" s="142" t="s">
        <v>2844</v>
      </c>
      <c r="B289" s="142" t="s">
        <v>594</v>
      </c>
      <c r="C289" s="142" t="s">
        <v>150</v>
      </c>
      <c r="D289" s="142">
        <v>-31.01404931</v>
      </c>
      <c r="E289" s="142">
        <v>-62.06204453</v>
      </c>
      <c r="F289" s="142" t="s">
        <v>1652</v>
      </c>
      <c r="G289" s="143">
        <v>1995.0</v>
      </c>
      <c r="H289" s="143">
        <v>1796.0</v>
      </c>
      <c r="I289" s="143">
        <v>5439.0</v>
      </c>
      <c r="J289" s="144"/>
    </row>
    <row r="290" hidden="1">
      <c r="A290" s="139" t="s">
        <v>2846</v>
      </c>
      <c r="B290" s="139" t="s">
        <v>595</v>
      </c>
      <c r="C290" s="139" t="s">
        <v>1702</v>
      </c>
      <c r="D290" s="139">
        <v>-31.78009583</v>
      </c>
      <c r="E290" s="139">
        <v>-64.54537763</v>
      </c>
      <c r="F290" s="139" t="s">
        <v>1675</v>
      </c>
      <c r="G290" s="140">
        <v>1419.0</v>
      </c>
      <c r="H290" s="139">
        <v>408.0</v>
      </c>
      <c r="I290" s="140">
        <v>1323.0</v>
      </c>
      <c r="J290" s="141"/>
    </row>
    <row r="291" hidden="1">
      <c r="A291" s="142" t="s">
        <v>2850</v>
      </c>
      <c r="B291" s="142" t="s">
        <v>596</v>
      </c>
      <c r="C291" s="142" t="s">
        <v>1839</v>
      </c>
      <c r="D291" s="142">
        <v>-32.02133658</v>
      </c>
      <c r="E291" s="142">
        <v>-62.9193088</v>
      </c>
      <c r="F291" s="142" t="s">
        <v>1652</v>
      </c>
      <c r="G291" s="143">
        <v>2114.0</v>
      </c>
      <c r="H291" s="143">
        <v>1896.0</v>
      </c>
      <c r="I291" s="143">
        <v>5718.0</v>
      </c>
      <c r="J291" s="144"/>
    </row>
    <row r="292" hidden="1">
      <c r="A292" s="139" t="s">
        <v>2854</v>
      </c>
      <c r="B292" s="139" t="s">
        <v>317</v>
      </c>
      <c r="C292" s="139" t="s">
        <v>72</v>
      </c>
      <c r="D292" s="139">
        <v>-29.57873631</v>
      </c>
      <c r="E292" s="139">
        <v>-64.10149445</v>
      </c>
      <c r="F292" s="139" t="s">
        <v>1675</v>
      </c>
      <c r="G292" s="139">
        <v>187.0</v>
      </c>
      <c r="H292" s="139">
        <v>143.0</v>
      </c>
      <c r="I292" s="139">
        <v>468.0</v>
      </c>
      <c r="J292" s="141"/>
    </row>
    <row r="293" hidden="1">
      <c r="A293" s="142" t="s">
        <v>2857</v>
      </c>
      <c r="B293" s="142" t="s">
        <v>597</v>
      </c>
      <c r="C293" s="142" t="s">
        <v>1674</v>
      </c>
      <c r="D293" s="142">
        <v>-33.88241068</v>
      </c>
      <c r="E293" s="142">
        <v>-62.84050166</v>
      </c>
      <c r="F293" s="142" t="s">
        <v>1652</v>
      </c>
      <c r="G293" s="142">
        <v>662.0</v>
      </c>
      <c r="H293" s="142">
        <v>562.0</v>
      </c>
      <c r="I293" s="143">
        <v>1662.0</v>
      </c>
      <c r="J293" s="144"/>
    </row>
    <row r="294" hidden="1">
      <c r="A294" s="139" t="s">
        <v>2862</v>
      </c>
      <c r="B294" s="139" t="s">
        <v>230</v>
      </c>
      <c r="C294" s="139" t="s">
        <v>215</v>
      </c>
      <c r="D294" s="139">
        <v>-30.26969589</v>
      </c>
      <c r="E294" s="139">
        <v>-63.42609188</v>
      </c>
      <c r="F294" s="139" t="s">
        <v>1675</v>
      </c>
      <c r="G294" s="139">
        <v>64.0</v>
      </c>
      <c r="H294" s="139">
        <v>47.0</v>
      </c>
      <c r="I294" s="139">
        <v>172.0</v>
      </c>
      <c r="J294" s="141"/>
    </row>
    <row r="295" hidden="1">
      <c r="A295" s="142" t="s">
        <v>2866</v>
      </c>
      <c r="B295" s="142" t="s">
        <v>599</v>
      </c>
      <c r="C295" s="142" t="s">
        <v>161</v>
      </c>
      <c r="D295" s="142">
        <v>-32.57580571</v>
      </c>
      <c r="E295" s="142">
        <v>-63.8102095</v>
      </c>
      <c r="F295" s="142" t="s">
        <v>1675</v>
      </c>
      <c r="G295" s="142">
        <v>68.0</v>
      </c>
      <c r="H295" s="142">
        <v>55.0</v>
      </c>
      <c r="I295" s="142">
        <v>175.0</v>
      </c>
      <c r="J295" s="144"/>
    </row>
    <row r="296" hidden="1">
      <c r="A296" s="139" t="s">
        <v>2869</v>
      </c>
      <c r="B296" s="139" t="s">
        <v>600</v>
      </c>
      <c r="C296" s="139" t="s">
        <v>150</v>
      </c>
      <c r="D296" s="139">
        <v>-31.54901374</v>
      </c>
      <c r="E296" s="139">
        <v>-62.22495669</v>
      </c>
      <c r="F296" s="139" t="s">
        <v>1652</v>
      </c>
      <c r="G296" s="139">
        <v>148.0</v>
      </c>
      <c r="H296" s="139">
        <v>118.0</v>
      </c>
      <c r="I296" s="139">
        <v>388.0</v>
      </c>
      <c r="J296" s="141"/>
    </row>
    <row r="297" hidden="1">
      <c r="A297" s="142" t="s">
        <v>2875</v>
      </c>
      <c r="B297" s="142" t="s">
        <v>167</v>
      </c>
      <c r="C297" s="142" t="s">
        <v>140</v>
      </c>
      <c r="D297" s="142">
        <v>-30.21417417</v>
      </c>
      <c r="E297" s="142">
        <v>-64.49936825</v>
      </c>
      <c r="F297" s="142" t="s">
        <v>1652</v>
      </c>
      <c r="G297" s="143">
        <v>1752.0</v>
      </c>
      <c r="H297" s="143">
        <v>1387.0</v>
      </c>
      <c r="I297" s="143">
        <v>5262.0</v>
      </c>
      <c r="J297" s="144"/>
    </row>
    <row r="298" hidden="1">
      <c r="A298" s="139" t="s">
        <v>2878</v>
      </c>
      <c r="B298" s="139" t="s">
        <v>601</v>
      </c>
      <c r="C298" s="139" t="s">
        <v>1702</v>
      </c>
      <c r="D298" s="139">
        <v>-31.64510003</v>
      </c>
      <c r="E298" s="139">
        <v>-64.25939869</v>
      </c>
      <c r="F298" s="139" t="s">
        <v>1675</v>
      </c>
      <c r="G298" s="139">
        <v>187.0</v>
      </c>
      <c r="H298" s="139">
        <v>169.0</v>
      </c>
      <c r="I298" s="139">
        <v>565.0</v>
      </c>
      <c r="J298" s="141"/>
    </row>
    <row r="299" hidden="1">
      <c r="A299" s="142" t="s">
        <v>2881</v>
      </c>
      <c r="B299" s="142" t="s">
        <v>380</v>
      </c>
      <c r="C299" s="142" t="s">
        <v>31</v>
      </c>
      <c r="D299" s="142">
        <v>-34.84265864</v>
      </c>
      <c r="E299" s="142">
        <v>-64.10031716</v>
      </c>
      <c r="F299" s="142" t="s">
        <v>1675</v>
      </c>
      <c r="G299" s="142">
        <v>17.0</v>
      </c>
      <c r="H299" s="142">
        <v>17.0</v>
      </c>
      <c r="I299" s="142">
        <v>67.0</v>
      </c>
      <c r="J299" s="144"/>
    </row>
    <row r="300" hidden="1">
      <c r="A300" s="139" t="s">
        <v>2885</v>
      </c>
      <c r="B300" s="139" t="s">
        <v>233</v>
      </c>
      <c r="C300" s="139" t="s">
        <v>215</v>
      </c>
      <c r="D300" s="139">
        <v>-30.0729914</v>
      </c>
      <c r="E300" s="139">
        <v>-63.82360256</v>
      </c>
      <c r="F300" s="139" t="s">
        <v>1675</v>
      </c>
      <c r="G300" s="139">
        <v>275.0</v>
      </c>
      <c r="H300" s="139">
        <v>212.0</v>
      </c>
      <c r="I300" s="139">
        <v>691.0</v>
      </c>
      <c r="J300" s="141"/>
    </row>
    <row r="301" hidden="1">
      <c r="A301" s="142" t="s">
        <v>2888</v>
      </c>
      <c r="B301" s="142" t="s">
        <v>2889</v>
      </c>
      <c r="C301" s="142" t="s">
        <v>94</v>
      </c>
      <c r="D301" s="142">
        <v>-33.20311381</v>
      </c>
      <c r="E301" s="142">
        <v>-63.86264553</v>
      </c>
      <c r="F301" s="142" t="s">
        <v>1652</v>
      </c>
      <c r="G301" s="142">
        <v>575.0</v>
      </c>
      <c r="H301" s="142">
        <v>536.0</v>
      </c>
      <c r="I301" s="143">
        <v>1742.0</v>
      </c>
      <c r="J301" s="144"/>
    </row>
    <row r="302" hidden="1">
      <c r="A302" s="139" t="s">
        <v>2892</v>
      </c>
      <c r="B302" s="139" t="s">
        <v>604</v>
      </c>
      <c r="C302" s="139" t="s">
        <v>1839</v>
      </c>
      <c r="D302" s="139">
        <v>-31.59585965</v>
      </c>
      <c r="E302" s="139">
        <v>-63.61702043</v>
      </c>
      <c r="F302" s="139" t="s">
        <v>1675</v>
      </c>
      <c r="G302" s="139">
        <v>167.0</v>
      </c>
      <c r="H302" s="139">
        <v>155.0</v>
      </c>
      <c r="I302" s="139">
        <v>540.0</v>
      </c>
      <c r="J302" s="141"/>
    </row>
    <row r="303" hidden="1">
      <c r="A303" s="142" t="s">
        <v>2898</v>
      </c>
      <c r="B303" s="142" t="s">
        <v>399</v>
      </c>
      <c r="C303" s="142" t="s">
        <v>112</v>
      </c>
      <c r="D303" s="142">
        <v>-34.05137204</v>
      </c>
      <c r="E303" s="142">
        <v>-63.73306552</v>
      </c>
      <c r="F303" s="142" t="s">
        <v>1675</v>
      </c>
      <c r="G303" s="142">
        <v>42.0</v>
      </c>
      <c r="H303" s="142">
        <v>37.0</v>
      </c>
      <c r="I303" s="142">
        <v>105.0</v>
      </c>
      <c r="J303" s="144"/>
    </row>
    <row r="304" hidden="1">
      <c r="A304" s="139" t="s">
        <v>2901</v>
      </c>
      <c r="B304" s="139" t="s">
        <v>2903</v>
      </c>
      <c r="C304" s="139" t="s">
        <v>1664</v>
      </c>
      <c r="D304" s="139">
        <v>-31.16975013</v>
      </c>
      <c r="E304" s="139">
        <v>-64.31750417</v>
      </c>
      <c r="F304" s="139" t="s">
        <v>1652</v>
      </c>
      <c r="G304" s="140">
        <v>7950.0</v>
      </c>
      <c r="H304" s="140">
        <v>6336.0</v>
      </c>
      <c r="I304" s="140">
        <v>20242.0</v>
      </c>
      <c r="J304" s="141"/>
    </row>
    <row r="305" hidden="1">
      <c r="A305" s="142" t="s">
        <v>2906</v>
      </c>
      <c r="B305" s="142" t="s">
        <v>1646</v>
      </c>
      <c r="C305" s="142" t="s">
        <v>1646</v>
      </c>
      <c r="D305" s="142">
        <v>-33.12383693</v>
      </c>
      <c r="E305" s="142">
        <v>-64.34900322</v>
      </c>
      <c r="F305" s="142" t="s">
        <v>1652</v>
      </c>
      <c r="G305" s="143">
        <v>63141.0</v>
      </c>
      <c r="H305" s="143">
        <v>51876.0</v>
      </c>
      <c r="I305" s="143">
        <v>158298.0</v>
      </c>
      <c r="J305" s="144"/>
    </row>
    <row r="306" hidden="1">
      <c r="A306" s="139" t="s">
        <v>2910</v>
      </c>
      <c r="B306" s="139" t="s">
        <v>2555</v>
      </c>
      <c r="C306" s="139" t="s">
        <v>32</v>
      </c>
      <c r="D306" s="139">
        <v>-32.52864216</v>
      </c>
      <c r="E306" s="139">
        <v>-64.58868756</v>
      </c>
      <c r="F306" s="139" t="s">
        <v>1652</v>
      </c>
      <c r="G306" s="139">
        <v>890.0</v>
      </c>
      <c r="H306" s="139">
        <v>451.0</v>
      </c>
      <c r="I306" s="140">
        <v>1326.0</v>
      </c>
      <c r="J306" s="141"/>
    </row>
    <row r="307" hidden="1">
      <c r="A307" s="142" t="s">
        <v>2914</v>
      </c>
      <c r="B307" s="142" t="s">
        <v>408</v>
      </c>
      <c r="C307" s="142" t="s">
        <v>408</v>
      </c>
      <c r="D307" s="142">
        <v>-31.33387179</v>
      </c>
      <c r="E307" s="142">
        <v>-63.61857238</v>
      </c>
      <c r="F307" s="142" t="s">
        <v>1652</v>
      </c>
      <c r="G307" s="143">
        <v>2395.0</v>
      </c>
      <c r="H307" s="143">
        <v>2100.0</v>
      </c>
      <c r="I307" s="143">
        <v>7389.0</v>
      </c>
      <c r="J307" s="144"/>
    </row>
    <row r="308" hidden="1">
      <c r="A308" s="139" t="s">
        <v>2919</v>
      </c>
      <c r="B308" s="139" t="s">
        <v>1839</v>
      </c>
      <c r="C308" s="139" t="s">
        <v>1839</v>
      </c>
      <c r="D308" s="139">
        <v>-31.65015276</v>
      </c>
      <c r="E308" s="139">
        <v>-63.91186284</v>
      </c>
      <c r="F308" s="139" t="s">
        <v>1652</v>
      </c>
      <c r="G308" s="140">
        <v>6597.0</v>
      </c>
      <c r="H308" s="140">
        <v>5974.0</v>
      </c>
      <c r="I308" s="140">
        <v>20427.0</v>
      </c>
      <c r="J308" s="141"/>
    </row>
    <row r="309" hidden="1">
      <c r="A309" s="142" t="s">
        <v>2924</v>
      </c>
      <c r="B309" s="142" t="s">
        <v>1695</v>
      </c>
      <c r="C309" s="142" t="s">
        <v>161</v>
      </c>
      <c r="D309" s="142">
        <v>-32.17673937</v>
      </c>
      <c r="E309" s="142">
        <v>-64.11296284</v>
      </c>
      <c r="F309" s="142" t="s">
        <v>1652</v>
      </c>
      <c r="G309" s="143">
        <v>18039.0</v>
      </c>
      <c r="H309" s="143">
        <v>15692.0</v>
      </c>
      <c r="I309" s="143">
        <v>46800.0</v>
      </c>
      <c r="J309" s="144"/>
    </row>
    <row r="310" hidden="1">
      <c r="A310" s="139" t="s">
        <v>2927</v>
      </c>
      <c r="B310" s="139" t="s">
        <v>401</v>
      </c>
      <c r="C310" s="139" t="s">
        <v>112</v>
      </c>
      <c r="D310" s="139">
        <v>-34.17177596</v>
      </c>
      <c r="E310" s="139">
        <v>-63.15402645</v>
      </c>
      <c r="F310" s="139" t="s">
        <v>1652</v>
      </c>
      <c r="G310" s="139">
        <v>212.0</v>
      </c>
      <c r="H310" s="139">
        <v>181.0</v>
      </c>
      <c r="I310" s="139">
        <v>535.0</v>
      </c>
      <c r="J310" s="141"/>
    </row>
    <row r="311" hidden="1">
      <c r="A311" s="142" t="s">
        <v>2930</v>
      </c>
      <c r="B311" s="142" t="s">
        <v>612</v>
      </c>
      <c r="C311" s="142" t="s">
        <v>96</v>
      </c>
      <c r="D311" s="142">
        <v>-30.43142827</v>
      </c>
      <c r="E311" s="142">
        <v>-63.47394137</v>
      </c>
      <c r="F311" s="142" t="s">
        <v>1675</v>
      </c>
      <c r="G311" s="142">
        <v>74.0</v>
      </c>
      <c r="H311" s="142">
        <v>56.0</v>
      </c>
      <c r="I311" s="142">
        <v>178.0</v>
      </c>
      <c r="J311" s="144"/>
    </row>
    <row r="312" hidden="1">
      <c r="A312" s="139" t="s">
        <v>2935</v>
      </c>
      <c r="B312" s="139" t="s">
        <v>613</v>
      </c>
      <c r="C312" s="139" t="s">
        <v>150</v>
      </c>
      <c r="D312" s="139">
        <v>-31.66339825</v>
      </c>
      <c r="E312" s="139">
        <v>-63.04796138</v>
      </c>
      <c r="F312" s="139" t="s">
        <v>1652</v>
      </c>
      <c r="G312" s="140">
        <v>1158.0</v>
      </c>
      <c r="H312" s="140">
        <v>1033.0</v>
      </c>
      <c r="I312" s="140">
        <v>3134.0</v>
      </c>
      <c r="J312" s="141"/>
    </row>
    <row r="313" hidden="1">
      <c r="A313" s="142" t="s">
        <v>2940</v>
      </c>
      <c r="B313" s="142" t="s">
        <v>615</v>
      </c>
      <c r="C313" s="142" t="s">
        <v>408</v>
      </c>
      <c r="D313" s="142">
        <v>-31.28932729</v>
      </c>
      <c r="E313" s="142">
        <v>-63.44543335</v>
      </c>
      <c r="F313" s="142" t="s">
        <v>1675</v>
      </c>
      <c r="G313" s="142">
        <v>57.0</v>
      </c>
      <c r="H313" s="142">
        <v>48.0</v>
      </c>
      <c r="I313" s="142">
        <v>151.0</v>
      </c>
      <c r="J313" s="144"/>
    </row>
    <row r="314" hidden="1">
      <c r="A314" s="139" t="s">
        <v>2943</v>
      </c>
      <c r="B314" s="139" t="s">
        <v>616</v>
      </c>
      <c r="C314" s="139" t="s">
        <v>1683</v>
      </c>
      <c r="D314" s="139">
        <v>-32.40971299</v>
      </c>
      <c r="E314" s="139">
        <v>-62.10234892</v>
      </c>
      <c r="F314" s="139" t="s">
        <v>1652</v>
      </c>
      <c r="G314" s="139">
        <v>380.0</v>
      </c>
      <c r="H314" s="139">
        <v>284.0</v>
      </c>
      <c r="I314" s="139">
        <v>812.0</v>
      </c>
      <c r="J314" s="141"/>
    </row>
    <row r="315" hidden="1">
      <c r="A315" s="142" t="s">
        <v>2949</v>
      </c>
      <c r="B315" s="142" t="s">
        <v>619</v>
      </c>
      <c r="C315" s="142" t="s">
        <v>1683</v>
      </c>
      <c r="D315" s="142">
        <v>-32.93387126</v>
      </c>
      <c r="E315" s="142">
        <v>-62.34371188</v>
      </c>
      <c r="F315" s="142" t="s">
        <v>1675</v>
      </c>
      <c r="G315" s="142">
        <v>96.0</v>
      </c>
      <c r="H315" s="142">
        <v>65.0</v>
      </c>
      <c r="I315" s="142">
        <v>186.0</v>
      </c>
      <c r="J315" s="144"/>
    </row>
    <row r="316" hidden="1">
      <c r="A316" s="139" t="s">
        <v>2953</v>
      </c>
      <c r="B316" s="139" t="s">
        <v>277</v>
      </c>
      <c r="C316" s="139" t="s">
        <v>1664</v>
      </c>
      <c r="D316" s="139">
        <v>-31.31530621</v>
      </c>
      <c r="E316" s="139">
        <v>-64.30352868</v>
      </c>
      <c r="F316" s="139" t="s">
        <v>1652</v>
      </c>
      <c r="G316" s="140">
        <v>3198.0</v>
      </c>
      <c r="H316" s="140">
        <v>2917.0</v>
      </c>
      <c r="I316" s="140">
        <v>10606.0</v>
      </c>
      <c r="J316" s="141"/>
    </row>
    <row r="317" hidden="1">
      <c r="A317" s="142" t="s">
        <v>2959</v>
      </c>
      <c r="B317" s="142" t="s">
        <v>205</v>
      </c>
      <c r="C317" s="142" t="s">
        <v>90</v>
      </c>
      <c r="D317" s="142">
        <v>-31.31785758</v>
      </c>
      <c r="E317" s="142">
        <v>-65.08952531</v>
      </c>
      <c r="F317" s="142" t="s">
        <v>1652</v>
      </c>
      <c r="G317" s="142">
        <v>834.0</v>
      </c>
      <c r="H317" s="142">
        <v>565.0</v>
      </c>
      <c r="I317" s="143">
        <v>1728.0</v>
      </c>
      <c r="J317" s="144"/>
    </row>
    <row r="318" hidden="1">
      <c r="A318" s="139" t="s">
        <v>2962</v>
      </c>
      <c r="B318" s="139" t="s">
        <v>288</v>
      </c>
      <c r="C318" s="139" t="s">
        <v>1664</v>
      </c>
      <c r="D318" s="139">
        <v>-31.13788085</v>
      </c>
      <c r="E318" s="139">
        <v>-64.29277244</v>
      </c>
      <c r="F318" s="139" t="s">
        <v>1652</v>
      </c>
      <c r="G318" s="140">
        <v>4159.0</v>
      </c>
      <c r="H318" s="140">
        <v>3036.0</v>
      </c>
      <c r="I318" s="140">
        <v>9842.0</v>
      </c>
      <c r="J318" s="141"/>
    </row>
    <row r="319" hidden="1">
      <c r="A319" s="142" t="s">
        <v>2965</v>
      </c>
      <c r="B319" s="142" t="s">
        <v>620</v>
      </c>
      <c r="C319" s="142" t="s">
        <v>1646</v>
      </c>
      <c r="D319" s="142">
        <v>-33.38402276</v>
      </c>
      <c r="E319" s="142">
        <v>-64.72287827</v>
      </c>
      <c r="F319" s="142" t="s">
        <v>1652</v>
      </c>
      <c r="G319" s="143">
        <v>3198.0</v>
      </c>
      <c r="H319" s="143">
        <v>2741.0</v>
      </c>
      <c r="I319" s="143">
        <v>7846.0</v>
      </c>
      <c r="J319" s="144"/>
    </row>
    <row r="320" hidden="1">
      <c r="A320" s="139" t="s">
        <v>2970</v>
      </c>
      <c r="B320" s="139" t="s">
        <v>622</v>
      </c>
      <c r="C320" s="139" t="s">
        <v>32</v>
      </c>
      <c r="D320" s="139">
        <v>-31.97762234</v>
      </c>
      <c r="E320" s="139">
        <v>-64.37558568</v>
      </c>
      <c r="F320" s="139" t="s">
        <v>1652</v>
      </c>
      <c r="G320" s="140">
        <v>1396.0</v>
      </c>
      <c r="H320" s="140">
        <v>1093.0</v>
      </c>
      <c r="I320" s="140">
        <v>3732.0</v>
      </c>
      <c r="J320" s="141"/>
    </row>
    <row r="321" hidden="1">
      <c r="A321" s="142" t="s">
        <v>2974</v>
      </c>
      <c r="B321" s="142" t="s">
        <v>623</v>
      </c>
      <c r="C321" s="142" t="s">
        <v>120</v>
      </c>
      <c r="D321" s="142">
        <v>-31.48279188</v>
      </c>
      <c r="E321" s="142">
        <v>-64.52781048</v>
      </c>
      <c r="F321" s="142" t="s">
        <v>1652</v>
      </c>
      <c r="G321" s="143">
        <v>2500.0</v>
      </c>
      <c r="H321" s="143">
        <v>1226.0</v>
      </c>
      <c r="I321" s="143">
        <v>3930.0</v>
      </c>
      <c r="J321" s="144"/>
    </row>
    <row r="322" hidden="1">
      <c r="A322" s="139" t="s">
        <v>2979</v>
      </c>
      <c r="B322" s="139" t="s">
        <v>624</v>
      </c>
      <c r="C322" s="139" t="s">
        <v>1674</v>
      </c>
      <c r="D322" s="139">
        <v>-32.21358074</v>
      </c>
      <c r="E322" s="139">
        <v>-62.63132888</v>
      </c>
      <c r="F322" s="139" t="s">
        <v>1652</v>
      </c>
      <c r="G322" s="139">
        <v>523.0</v>
      </c>
      <c r="H322" s="139">
        <v>442.0</v>
      </c>
      <c r="I322" s="140">
        <v>1314.0</v>
      </c>
      <c r="J322" s="141"/>
    </row>
    <row r="323" hidden="1">
      <c r="A323" s="142" t="s">
        <v>2982</v>
      </c>
      <c r="B323" s="142" t="s">
        <v>625</v>
      </c>
      <c r="C323" s="142" t="s">
        <v>1646</v>
      </c>
      <c r="D323" s="142">
        <v>-33.49854848</v>
      </c>
      <c r="E323" s="142">
        <v>-64.31473195</v>
      </c>
      <c r="F323" s="142" t="s">
        <v>1652</v>
      </c>
      <c r="G323" s="143">
        <v>1270.0</v>
      </c>
      <c r="H323" s="143">
        <v>1102.0</v>
      </c>
      <c r="I323" s="143">
        <v>3225.0</v>
      </c>
      <c r="J323" s="144"/>
    </row>
    <row r="324" hidden="1">
      <c r="A324" s="139" t="s">
        <v>2984</v>
      </c>
      <c r="B324" s="139" t="s">
        <v>186</v>
      </c>
      <c r="C324" s="139" t="s">
        <v>101</v>
      </c>
      <c r="D324" s="139">
        <v>-31.17655844</v>
      </c>
      <c r="E324" s="139">
        <v>-65.10182012</v>
      </c>
      <c r="F324" s="139" t="s">
        <v>1652</v>
      </c>
      <c r="G324" s="139">
        <v>735.0</v>
      </c>
      <c r="H324" s="139">
        <v>535.0</v>
      </c>
      <c r="I324" s="140">
        <v>1713.0</v>
      </c>
      <c r="J324" s="141"/>
    </row>
    <row r="325" hidden="1">
      <c r="A325" s="142" t="s">
        <v>2990</v>
      </c>
      <c r="B325" s="142" t="s">
        <v>627</v>
      </c>
      <c r="C325" s="142" t="s">
        <v>1702</v>
      </c>
      <c r="D325" s="142">
        <v>-31.71451496</v>
      </c>
      <c r="E325" s="142">
        <v>-64.62828019</v>
      </c>
      <c r="F325" s="142" t="s">
        <v>1675</v>
      </c>
      <c r="G325" s="142">
        <v>273.0</v>
      </c>
      <c r="H325" s="142">
        <v>65.0</v>
      </c>
      <c r="I325" s="142">
        <v>240.0</v>
      </c>
      <c r="J325" s="144"/>
    </row>
    <row r="326" hidden="1">
      <c r="A326" s="139" t="s">
        <v>2992</v>
      </c>
      <c r="B326" s="139" t="s">
        <v>628</v>
      </c>
      <c r="C326" s="139" t="s">
        <v>120</v>
      </c>
      <c r="D326" s="139">
        <v>-30.92114076</v>
      </c>
      <c r="E326" s="139">
        <v>-64.53637146</v>
      </c>
      <c r="F326" s="139" t="s">
        <v>1652</v>
      </c>
      <c r="G326" s="139">
        <v>401.0</v>
      </c>
      <c r="H326" s="139">
        <v>268.0</v>
      </c>
      <c r="I326" s="139">
        <v>857.0</v>
      </c>
      <c r="J326" s="141"/>
    </row>
    <row r="327" hidden="1">
      <c r="A327" s="142" t="s">
        <v>2995</v>
      </c>
      <c r="B327" s="142" t="s">
        <v>629</v>
      </c>
      <c r="C327" s="142" t="s">
        <v>150</v>
      </c>
      <c r="D327" s="142">
        <v>-31.42493894</v>
      </c>
      <c r="E327" s="142">
        <v>-62.08387673</v>
      </c>
      <c r="F327" s="142" t="s">
        <v>1652</v>
      </c>
      <c r="G327" s="143">
        <v>24190.0</v>
      </c>
      <c r="H327" s="143">
        <v>21019.0</v>
      </c>
      <c r="I327" s="143">
        <v>62211.0</v>
      </c>
      <c r="J327" s="144"/>
    </row>
    <row r="328" hidden="1">
      <c r="A328" s="139" t="s">
        <v>2999</v>
      </c>
      <c r="B328" s="139" t="s">
        <v>320</v>
      </c>
      <c r="C328" s="139" t="s">
        <v>72</v>
      </c>
      <c r="D328" s="139">
        <v>-29.78635291</v>
      </c>
      <c r="E328" s="139">
        <v>-63.94169776</v>
      </c>
      <c r="F328" s="139" t="s">
        <v>1652</v>
      </c>
      <c r="G328" s="139">
        <v>835.0</v>
      </c>
      <c r="H328" s="139">
        <v>713.0</v>
      </c>
      <c r="I328" s="140">
        <v>2506.0</v>
      </c>
      <c r="J328" s="141"/>
    </row>
    <row r="329" hidden="1">
      <c r="A329" s="142" t="s">
        <v>3001</v>
      </c>
      <c r="B329" s="142" t="s">
        <v>207</v>
      </c>
      <c r="C329" s="142" t="s">
        <v>90</v>
      </c>
      <c r="D329" s="142">
        <v>-31.34418449</v>
      </c>
      <c r="E329" s="142">
        <v>-64.91904827</v>
      </c>
      <c r="F329" s="142" t="s">
        <v>1675</v>
      </c>
      <c r="G329" s="142">
        <v>142.0</v>
      </c>
      <c r="H329" s="142">
        <v>126.0</v>
      </c>
      <c r="I329" s="142">
        <v>602.0</v>
      </c>
      <c r="J329" s="144"/>
    </row>
    <row r="330" hidden="1">
      <c r="A330" s="139" t="s">
        <v>3005</v>
      </c>
      <c r="B330" s="139" t="s">
        <v>630</v>
      </c>
      <c r="C330" s="139" t="s">
        <v>32</v>
      </c>
      <c r="D330" s="139">
        <v>-32.16590528</v>
      </c>
      <c r="E330" s="139">
        <v>-64.51790973</v>
      </c>
      <c r="F330" s="139" t="s">
        <v>1675</v>
      </c>
      <c r="G330" s="139">
        <v>316.0</v>
      </c>
      <c r="H330" s="139">
        <v>78.0</v>
      </c>
      <c r="I330" s="139">
        <v>247.0</v>
      </c>
      <c r="J330" s="141"/>
    </row>
    <row r="331" hidden="1">
      <c r="A331" s="142" t="s">
        <v>3010</v>
      </c>
      <c r="B331" s="142" t="s">
        <v>302</v>
      </c>
      <c r="C331" s="142" t="s">
        <v>107</v>
      </c>
      <c r="D331" s="142">
        <v>-32.02646965</v>
      </c>
      <c r="E331" s="142">
        <v>-65.03026837</v>
      </c>
      <c r="F331" s="142" t="s">
        <v>1652</v>
      </c>
      <c r="G331" s="142">
        <v>778.0</v>
      </c>
      <c r="H331" s="142">
        <v>526.0</v>
      </c>
      <c r="I331" s="143">
        <v>1825.0</v>
      </c>
      <c r="J331" s="144"/>
    </row>
    <row r="332" hidden="1">
      <c r="A332" s="139" t="s">
        <v>3013</v>
      </c>
      <c r="B332" s="139" t="s">
        <v>402</v>
      </c>
      <c r="C332" s="139" t="s">
        <v>112</v>
      </c>
      <c r="D332" s="139">
        <v>-34.51172972</v>
      </c>
      <c r="E332" s="139">
        <v>-63.70884182</v>
      </c>
      <c r="F332" s="139" t="s">
        <v>1675</v>
      </c>
      <c r="G332" s="139">
        <v>61.0</v>
      </c>
      <c r="H332" s="139">
        <v>46.0</v>
      </c>
      <c r="I332" s="139">
        <v>140.0</v>
      </c>
      <c r="J332" s="141"/>
    </row>
    <row r="333" hidden="1">
      <c r="A333" s="142" t="s">
        <v>3018</v>
      </c>
      <c r="B333" s="142" t="s">
        <v>306</v>
      </c>
      <c r="C333" s="142" t="s">
        <v>107</v>
      </c>
      <c r="D333" s="142">
        <v>-31.95650127</v>
      </c>
      <c r="E333" s="142">
        <v>-65.3118043</v>
      </c>
      <c r="F333" s="142" t="s">
        <v>1652</v>
      </c>
      <c r="G333" s="142">
        <v>801.0</v>
      </c>
      <c r="H333" s="142">
        <v>708.0</v>
      </c>
      <c r="I333" s="143">
        <v>2591.0</v>
      </c>
      <c r="J333" s="144"/>
    </row>
    <row r="334" hidden="1">
      <c r="A334" s="139" t="s">
        <v>3022</v>
      </c>
      <c r="B334" s="139" t="s">
        <v>356</v>
      </c>
      <c r="C334" s="139" t="s">
        <v>96</v>
      </c>
      <c r="D334" s="139">
        <v>-30.35626941</v>
      </c>
      <c r="E334" s="139">
        <v>-63.95029281</v>
      </c>
      <c r="F334" s="139" t="s">
        <v>1652</v>
      </c>
      <c r="G334" s="140">
        <v>1727.0</v>
      </c>
      <c r="H334" s="140">
        <v>1390.0</v>
      </c>
      <c r="I334" s="140">
        <v>4510.0</v>
      </c>
      <c r="J334" s="141"/>
    </row>
    <row r="335" hidden="1">
      <c r="A335" s="142" t="s">
        <v>3025</v>
      </c>
      <c r="B335" s="142" t="s">
        <v>358</v>
      </c>
      <c r="C335" s="142" t="s">
        <v>96</v>
      </c>
      <c r="D335" s="142">
        <v>-30.00695211</v>
      </c>
      <c r="E335" s="142">
        <v>-64.62393927</v>
      </c>
      <c r="F335" s="142" t="s">
        <v>1652</v>
      </c>
      <c r="G335" s="142">
        <v>273.0</v>
      </c>
      <c r="H335" s="142">
        <v>217.0</v>
      </c>
      <c r="I335" s="142">
        <v>777.0</v>
      </c>
      <c r="J335" s="144"/>
    </row>
    <row r="336" hidden="1">
      <c r="A336" s="139" t="s">
        <v>3032</v>
      </c>
      <c r="B336" s="139" t="s">
        <v>263</v>
      </c>
      <c r="C336" s="139" t="s">
        <v>52</v>
      </c>
      <c r="D336" s="139">
        <v>-31.67091966</v>
      </c>
      <c r="E336" s="139">
        <v>-65.01772099</v>
      </c>
      <c r="F336" s="139" t="s">
        <v>1675</v>
      </c>
      <c r="G336" s="139">
        <v>332.0</v>
      </c>
      <c r="H336" s="139">
        <v>256.0</v>
      </c>
      <c r="I336" s="140">
        <v>1045.0</v>
      </c>
      <c r="J336" s="141"/>
    </row>
    <row r="337" hidden="1">
      <c r="A337" s="142" t="s">
        <v>3035</v>
      </c>
      <c r="B337" s="142" t="s">
        <v>123</v>
      </c>
      <c r="C337" s="142" t="s">
        <v>39</v>
      </c>
      <c r="D337" s="142">
        <v>-30.7830129</v>
      </c>
      <c r="E337" s="142">
        <v>-64.63618956</v>
      </c>
      <c r="F337" s="142" t="s">
        <v>1652</v>
      </c>
      <c r="G337" s="143">
        <v>1042.0</v>
      </c>
      <c r="H337" s="142">
        <v>701.0</v>
      </c>
      <c r="I337" s="143">
        <v>2199.0</v>
      </c>
      <c r="J337" s="144"/>
    </row>
    <row r="338" hidden="1">
      <c r="A338" s="139" t="s">
        <v>3038</v>
      </c>
      <c r="B338" s="139" t="s">
        <v>637</v>
      </c>
      <c r="C338" s="139" t="s">
        <v>1674</v>
      </c>
      <c r="D338" s="139">
        <v>-32.63023588</v>
      </c>
      <c r="E338" s="139">
        <v>-62.484248</v>
      </c>
      <c r="F338" s="139" t="s">
        <v>1652</v>
      </c>
      <c r="G338" s="140">
        <v>1164.0</v>
      </c>
      <c r="H338" s="140">
        <v>1017.0</v>
      </c>
      <c r="I338" s="140">
        <v>3145.0</v>
      </c>
      <c r="J338" s="141"/>
    </row>
    <row r="339" hidden="1">
      <c r="A339" s="142" t="s">
        <v>3043</v>
      </c>
      <c r="B339" s="142" t="s">
        <v>266</v>
      </c>
      <c r="C339" s="142" t="s">
        <v>52</v>
      </c>
      <c r="D339" s="142">
        <v>-31.93647398</v>
      </c>
      <c r="E339" s="142">
        <v>-65.21886785</v>
      </c>
      <c r="F339" s="142" t="s">
        <v>1652</v>
      </c>
      <c r="G339" s="143">
        <v>1285.0</v>
      </c>
      <c r="H339" s="143">
        <v>1170.0</v>
      </c>
      <c r="I339" s="143">
        <v>4624.0</v>
      </c>
      <c r="J339" s="144"/>
    </row>
    <row r="340" hidden="1">
      <c r="A340" s="139" t="s">
        <v>3047</v>
      </c>
      <c r="B340" s="139" t="s">
        <v>360</v>
      </c>
      <c r="C340" s="139" t="s">
        <v>96</v>
      </c>
      <c r="D340" s="139">
        <v>-30.09108152</v>
      </c>
      <c r="E340" s="139">
        <v>-64.15492714</v>
      </c>
      <c r="F340" s="139" t="s">
        <v>1652</v>
      </c>
      <c r="G340" s="139">
        <v>203.0</v>
      </c>
      <c r="H340" s="139">
        <v>126.0</v>
      </c>
      <c r="I340" s="139">
        <v>379.0</v>
      </c>
      <c r="J340" s="141"/>
    </row>
    <row r="341" hidden="1">
      <c r="A341" s="142" t="s">
        <v>3051</v>
      </c>
      <c r="B341" s="142" t="s">
        <v>640</v>
      </c>
      <c r="C341" s="142" t="s">
        <v>120</v>
      </c>
      <c r="D341" s="142">
        <v>-31.34529886</v>
      </c>
      <c r="E341" s="142">
        <v>-64.45110339</v>
      </c>
      <c r="F341" s="142" t="s">
        <v>1675</v>
      </c>
      <c r="G341" s="142">
        <v>657.0</v>
      </c>
      <c r="H341" s="142">
        <v>344.0</v>
      </c>
      <c r="I341" s="143">
        <v>1128.0</v>
      </c>
      <c r="J341" s="144"/>
    </row>
    <row r="342" hidden="1">
      <c r="A342" s="139" t="s">
        <v>3056</v>
      </c>
      <c r="B342" s="139" t="s">
        <v>268</v>
      </c>
      <c r="C342" s="139" t="s">
        <v>52</v>
      </c>
      <c r="D342" s="139">
        <v>-31.85055697</v>
      </c>
      <c r="E342" s="139">
        <v>-65.42947436</v>
      </c>
      <c r="F342" s="139" t="s">
        <v>1675</v>
      </c>
      <c r="G342" s="139">
        <v>464.0</v>
      </c>
      <c r="H342" s="139">
        <v>475.0</v>
      </c>
      <c r="I342" s="140">
        <v>1783.0</v>
      </c>
      <c r="J342" s="141"/>
    </row>
    <row r="343" hidden="1">
      <c r="A343" s="142" t="s">
        <v>3059</v>
      </c>
      <c r="B343" s="142" t="s">
        <v>3060</v>
      </c>
      <c r="C343" s="142" t="s">
        <v>1646</v>
      </c>
      <c r="D343" s="142">
        <v>-33.20518997</v>
      </c>
      <c r="E343" s="142">
        <v>-64.43782868</v>
      </c>
      <c r="F343" s="142" t="s">
        <v>1652</v>
      </c>
      <c r="G343" s="143">
        <v>1459.0</v>
      </c>
      <c r="H343" s="143">
        <v>1190.0</v>
      </c>
      <c r="I343" s="143">
        <v>3898.0</v>
      </c>
      <c r="J343" s="144"/>
    </row>
    <row r="344" hidden="1">
      <c r="A344" s="139" t="s">
        <v>3065</v>
      </c>
      <c r="B344" s="139" t="s">
        <v>235</v>
      </c>
      <c r="C344" s="139" t="s">
        <v>215</v>
      </c>
      <c r="D344" s="139">
        <v>-30.11570686</v>
      </c>
      <c r="E344" s="139">
        <v>-63.84290271</v>
      </c>
      <c r="F344" s="139" t="s">
        <v>1675</v>
      </c>
      <c r="G344" s="139">
        <v>129.0</v>
      </c>
      <c r="H344" s="139">
        <v>87.0</v>
      </c>
      <c r="I344" s="139">
        <v>296.0</v>
      </c>
      <c r="J344" s="141"/>
    </row>
    <row r="345" hidden="1">
      <c r="A345" s="142" t="s">
        <v>3069</v>
      </c>
      <c r="B345" s="142" t="s">
        <v>641</v>
      </c>
      <c r="C345" s="142" t="s">
        <v>94</v>
      </c>
      <c r="D345" s="142">
        <v>-33.17647914</v>
      </c>
      <c r="E345" s="142">
        <v>-63.28660764</v>
      </c>
      <c r="F345" s="142" t="s">
        <v>1652</v>
      </c>
      <c r="G345" s="142">
        <v>861.0</v>
      </c>
      <c r="H345" s="142">
        <v>763.0</v>
      </c>
      <c r="I345" s="143">
        <v>2417.0</v>
      </c>
      <c r="J345" s="144"/>
    </row>
    <row r="346" hidden="1">
      <c r="A346" s="139" t="s">
        <v>3072</v>
      </c>
      <c r="B346" s="139" t="s">
        <v>3073</v>
      </c>
      <c r="C346" s="139" t="s">
        <v>120</v>
      </c>
      <c r="D346" s="139">
        <v>-31.27563826</v>
      </c>
      <c r="E346" s="139">
        <v>-64.46362726</v>
      </c>
      <c r="F346" s="139" t="s">
        <v>1652</v>
      </c>
      <c r="G346" s="140">
        <v>4020.0</v>
      </c>
      <c r="H346" s="140">
        <v>2903.0</v>
      </c>
      <c r="I346" s="140">
        <v>9691.0</v>
      </c>
      <c r="J346" s="141"/>
    </row>
    <row r="347" hidden="1">
      <c r="A347" s="142" t="s">
        <v>3074</v>
      </c>
      <c r="B347" s="142" t="s">
        <v>644</v>
      </c>
      <c r="C347" s="142" t="s">
        <v>32</v>
      </c>
      <c r="D347" s="142">
        <v>-32.06437801</v>
      </c>
      <c r="E347" s="142">
        <v>-64.53956196</v>
      </c>
      <c r="F347" s="142" t="s">
        <v>1652</v>
      </c>
      <c r="G347" s="143">
        <v>6384.0</v>
      </c>
      <c r="H347" s="143">
        <v>4020.0</v>
      </c>
      <c r="I347" s="143">
        <v>12830.0</v>
      </c>
      <c r="J347" s="144"/>
    </row>
    <row r="348" hidden="1">
      <c r="A348" s="139" t="s">
        <v>3077</v>
      </c>
      <c r="B348" s="139" t="s">
        <v>3078</v>
      </c>
      <c r="C348" s="139" t="s">
        <v>408</v>
      </c>
      <c r="D348" s="139">
        <v>-31.15352766</v>
      </c>
      <c r="E348" s="139">
        <v>-63.3994126</v>
      </c>
      <c r="F348" s="139" t="s">
        <v>1652</v>
      </c>
      <c r="G348" s="140">
        <v>2664.0</v>
      </c>
      <c r="H348" s="140">
        <v>2334.0</v>
      </c>
      <c r="I348" s="140">
        <v>7805.0</v>
      </c>
      <c r="J348" s="141"/>
    </row>
    <row r="349" hidden="1">
      <c r="A349" s="142" t="s">
        <v>3080</v>
      </c>
      <c r="B349" s="142" t="s">
        <v>646</v>
      </c>
      <c r="C349" s="142" t="s">
        <v>1839</v>
      </c>
      <c r="D349" s="142">
        <v>-31.38598541</v>
      </c>
      <c r="E349" s="142">
        <v>-63.4196375</v>
      </c>
      <c r="F349" s="142" t="s">
        <v>1652</v>
      </c>
      <c r="G349" s="142">
        <v>991.0</v>
      </c>
      <c r="H349" s="142">
        <v>863.0</v>
      </c>
      <c r="I349" s="143">
        <v>2787.0</v>
      </c>
      <c r="J349" s="144"/>
    </row>
    <row r="350" hidden="1">
      <c r="A350" s="139" t="s">
        <v>3083</v>
      </c>
      <c r="B350" s="139" t="s">
        <v>335</v>
      </c>
      <c r="C350" s="139" t="s">
        <v>78</v>
      </c>
      <c r="D350" s="139">
        <v>-30.7744712</v>
      </c>
      <c r="E350" s="139">
        <v>-64.10950291</v>
      </c>
      <c r="F350" s="139" t="s">
        <v>1652</v>
      </c>
      <c r="G350" s="139">
        <v>412.0</v>
      </c>
      <c r="H350" s="139">
        <v>386.0</v>
      </c>
      <c r="I350" s="140">
        <v>1455.0</v>
      </c>
      <c r="J350" s="141"/>
    </row>
    <row r="351" hidden="1">
      <c r="A351" s="142" t="s">
        <v>3085</v>
      </c>
      <c r="B351" s="142" t="s">
        <v>3087</v>
      </c>
      <c r="C351" s="142" t="s">
        <v>150</v>
      </c>
      <c r="D351" s="142">
        <v>-31.70348169</v>
      </c>
      <c r="E351" s="142">
        <v>-62.48346224</v>
      </c>
      <c r="F351" s="142" t="s">
        <v>1652</v>
      </c>
      <c r="G351" s="142">
        <v>925.0</v>
      </c>
      <c r="H351" s="142">
        <v>820.0</v>
      </c>
      <c r="I351" s="143">
        <v>2496.0</v>
      </c>
      <c r="J351" s="144"/>
    </row>
    <row r="352" hidden="1">
      <c r="A352" s="139" t="s">
        <v>3089</v>
      </c>
      <c r="B352" s="139" t="s">
        <v>272</v>
      </c>
      <c r="C352" s="139" t="s">
        <v>52</v>
      </c>
      <c r="D352" s="139">
        <v>-31.91267323</v>
      </c>
      <c r="E352" s="139">
        <v>-65.16693448</v>
      </c>
      <c r="F352" s="139" t="s">
        <v>1675</v>
      </c>
      <c r="G352" s="139">
        <v>251.0</v>
      </c>
      <c r="H352" s="139">
        <v>190.0</v>
      </c>
      <c r="I352" s="139">
        <v>749.0</v>
      </c>
      <c r="J352" s="141"/>
    </row>
    <row r="353" hidden="1">
      <c r="A353" s="142" t="s">
        <v>3091</v>
      </c>
      <c r="B353" s="142" t="s">
        <v>237</v>
      </c>
      <c r="C353" s="142" t="s">
        <v>215</v>
      </c>
      <c r="D353" s="142">
        <v>-30.16040551</v>
      </c>
      <c r="E353" s="142">
        <v>-63.59248998</v>
      </c>
      <c r="F353" s="142" t="s">
        <v>1652</v>
      </c>
      <c r="G353" s="142">
        <v>800.0</v>
      </c>
      <c r="H353" s="142">
        <v>684.0</v>
      </c>
      <c r="I353" s="143">
        <v>2481.0</v>
      </c>
      <c r="J353" s="144"/>
    </row>
    <row r="354" hidden="1">
      <c r="A354" s="139" t="s">
        <v>3092</v>
      </c>
      <c r="B354" s="139" t="s">
        <v>651</v>
      </c>
      <c r="C354" s="139" t="s">
        <v>150</v>
      </c>
      <c r="D354" s="139">
        <v>-30.92572547</v>
      </c>
      <c r="E354" s="139">
        <v>-61.97415934</v>
      </c>
      <c r="F354" s="139" t="s">
        <v>1652</v>
      </c>
      <c r="G354" s="139">
        <v>211.0</v>
      </c>
      <c r="H354" s="139">
        <v>204.0</v>
      </c>
      <c r="I354" s="139">
        <v>620.0</v>
      </c>
      <c r="J354" s="141"/>
    </row>
    <row r="355" hidden="1">
      <c r="A355" s="142" t="s">
        <v>3096</v>
      </c>
      <c r="B355" s="142" t="s">
        <v>652</v>
      </c>
      <c r="C355" s="142" t="s">
        <v>32</v>
      </c>
      <c r="D355" s="142">
        <v>-32.1650007</v>
      </c>
      <c r="E355" s="142">
        <v>-64.37918413</v>
      </c>
      <c r="F355" s="142" t="s">
        <v>1675</v>
      </c>
      <c r="G355" s="142">
        <v>180.0</v>
      </c>
      <c r="H355" s="142">
        <v>56.0</v>
      </c>
      <c r="I355" s="142">
        <v>170.0</v>
      </c>
      <c r="J355" s="144"/>
    </row>
    <row r="356" hidden="1">
      <c r="A356" s="139" t="s">
        <v>3097</v>
      </c>
      <c r="B356" s="139" t="s">
        <v>403</v>
      </c>
      <c r="C356" s="139" t="s">
        <v>112</v>
      </c>
      <c r="D356" s="139">
        <v>-34.47067433</v>
      </c>
      <c r="E356" s="139">
        <v>-63.54028609</v>
      </c>
      <c r="F356" s="139" t="s">
        <v>1652</v>
      </c>
      <c r="G356" s="140">
        <v>1216.0</v>
      </c>
      <c r="H356" s="140">
        <v>1057.0</v>
      </c>
      <c r="I356" s="140">
        <v>3209.0</v>
      </c>
      <c r="J356" s="141"/>
    </row>
    <row r="357" hidden="1">
      <c r="A357" s="142" t="s">
        <v>3098</v>
      </c>
      <c r="B357" s="142" t="s">
        <v>129</v>
      </c>
      <c r="C357" s="142" t="s">
        <v>39</v>
      </c>
      <c r="D357" s="142">
        <v>-30.63877241</v>
      </c>
      <c r="E357" s="142">
        <v>-65.38874113</v>
      </c>
      <c r="F357" s="142" t="s">
        <v>1652</v>
      </c>
      <c r="G357" s="142">
        <v>861.0</v>
      </c>
      <c r="H357" s="142">
        <v>682.0</v>
      </c>
      <c r="I357" s="143">
        <v>2678.0</v>
      </c>
      <c r="J357" s="144"/>
    </row>
    <row r="358" hidden="1">
      <c r="A358" s="139" t="s">
        <v>3100</v>
      </c>
      <c r="B358" s="139" t="s">
        <v>576</v>
      </c>
      <c r="C358" s="139" t="s">
        <v>1747</v>
      </c>
      <c r="D358" s="139">
        <v>-32.2496253</v>
      </c>
      <c r="E358" s="139">
        <v>-62.93088116</v>
      </c>
      <c r="F358" s="139" t="s">
        <v>1652</v>
      </c>
      <c r="G358" s="139">
        <v>161.0</v>
      </c>
      <c r="H358" s="139">
        <v>137.0</v>
      </c>
      <c r="I358" s="139">
        <v>405.0</v>
      </c>
      <c r="J358" s="141"/>
    </row>
    <row r="359" hidden="1">
      <c r="A359" s="142" t="s">
        <v>3102</v>
      </c>
      <c r="B359" s="142" t="s">
        <v>339</v>
      </c>
      <c r="C359" s="142" t="s">
        <v>78</v>
      </c>
      <c r="D359" s="142">
        <v>-30.47441271</v>
      </c>
      <c r="E359" s="142">
        <v>-63.98471401</v>
      </c>
      <c r="F359" s="142" t="s">
        <v>1675</v>
      </c>
      <c r="G359" s="142">
        <v>170.0</v>
      </c>
      <c r="H359" s="142">
        <v>101.0</v>
      </c>
      <c r="I359" s="142">
        <v>350.0</v>
      </c>
      <c r="J359" s="144"/>
    </row>
    <row r="360" hidden="1">
      <c r="A360" s="139" t="s">
        <v>3105</v>
      </c>
      <c r="B360" s="139" t="s">
        <v>341</v>
      </c>
      <c r="C360" s="139" t="s">
        <v>78</v>
      </c>
      <c r="D360" s="139">
        <v>-30.94292927</v>
      </c>
      <c r="E360" s="139">
        <v>-64.09403294</v>
      </c>
      <c r="F360" s="139" t="s">
        <v>1652</v>
      </c>
      <c r="G360" s="139">
        <v>374.0</v>
      </c>
      <c r="H360" s="139">
        <v>351.0</v>
      </c>
      <c r="I360" s="140">
        <v>1344.0</v>
      </c>
      <c r="J360" s="141"/>
    </row>
    <row r="361" hidden="1">
      <c r="A361" s="142" t="s">
        <v>3108</v>
      </c>
      <c r="B361" s="142" t="s">
        <v>654</v>
      </c>
      <c r="C361" s="142" t="s">
        <v>1646</v>
      </c>
      <c r="D361" s="142">
        <v>-33.43999215</v>
      </c>
      <c r="E361" s="142">
        <v>-64.83088226</v>
      </c>
      <c r="F361" s="142" t="s">
        <v>1675</v>
      </c>
      <c r="G361" s="142">
        <v>149.0</v>
      </c>
      <c r="H361" s="142">
        <v>111.0</v>
      </c>
      <c r="I361" s="142">
        <v>307.0</v>
      </c>
      <c r="J361" s="144"/>
    </row>
    <row r="362" hidden="1">
      <c r="A362" s="139" t="s">
        <v>3110</v>
      </c>
      <c r="B362" s="139" t="s">
        <v>209</v>
      </c>
      <c r="C362" s="139" t="s">
        <v>90</v>
      </c>
      <c r="D362" s="139">
        <v>-31.35448848</v>
      </c>
      <c r="E362" s="139">
        <v>-64.97590613</v>
      </c>
      <c r="F362" s="139" t="s">
        <v>1675</v>
      </c>
      <c r="G362" s="139">
        <v>164.0</v>
      </c>
      <c r="H362" s="139">
        <v>81.0</v>
      </c>
      <c r="I362" s="139">
        <v>254.0</v>
      </c>
      <c r="J362" s="141"/>
    </row>
    <row r="363" hidden="1">
      <c r="A363" s="142" t="s">
        <v>3113</v>
      </c>
      <c r="B363" s="142" t="s">
        <v>655</v>
      </c>
      <c r="C363" s="142" t="s">
        <v>120</v>
      </c>
      <c r="D363" s="142">
        <v>-31.4733149</v>
      </c>
      <c r="E363" s="142">
        <v>-64.56694306</v>
      </c>
      <c r="F363" s="142" t="s">
        <v>1675</v>
      </c>
      <c r="G363" s="142">
        <v>211.0</v>
      </c>
      <c r="H363" s="142">
        <v>41.0</v>
      </c>
      <c r="I363" s="142">
        <v>147.0</v>
      </c>
      <c r="J363" s="144"/>
    </row>
    <row r="364" hidden="1">
      <c r="A364" s="139" t="s">
        <v>3117</v>
      </c>
      <c r="B364" s="139" t="s">
        <v>191</v>
      </c>
      <c r="C364" s="139" t="s">
        <v>101</v>
      </c>
      <c r="D364" s="139">
        <v>-31.24985022</v>
      </c>
      <c r="E364" s="139">
        <v>-65.16928708</v>
      </c>
      <c r="F364" s="139" t="s">
        <v>1675</v>
      </c>
      <c r="G364" s="139">
        <v>59.0</v>
      </c>
      <c r="H364" s="139">
        <v>41.0</v>
      </c>
      <c r="I364" s="139">
        <v>123.0</v>
      </c>
      <c r="J364" s="141"/>
    </row>
    <row r="365" hidden="1">
      <c r="A365" s="142" t="s">
        <v>3120</v>
      </c>
      <c r="B365" s="142" t="s">
        <v>656</v>
      </c>
      <c r="C365" s="142" t="s">
        <v>161</v>
      </c>
      <c r="D365" s="142">
        <v>-32.23758481</v>
      </c>
      <c r="E365" s="142">
        <v>-63.97986577</v>
      </c>
      <c r="F365" s="142" t="s">
        <v>1652</v>
      </c>
      <c r="G365" s="143">
        <v>2130.0</v>
      </c>
      <c r="H365" s="143">
        <v>1823.0</v>
      </c>
      <c r="I365" s="143">
        <v>5309.0</v>
      </c>
      <c r="J365" s="144"/>
    </row>
    <row r="366" hidden="1">
      <c r="A366" s="139" t="s">
        <v>3122</v>
      </c>
      <c r="B366" s="139" t="s">
        <v>657</v>
      </c>
      <c r="C366" s="139" t="s">
        <v>120</v>
      </c>
      <c r="D366" s="139">
        <v>-31.3547964</v>
      </c>
      <c r="E366" s="139">
        <v>-64.59234725</v>
      </c>
      <c r="F366" s="139" t="s">
        <v>1652</v>
      </c>
      <c r="G366" s="140">
        <v>3664.0</v>
      </c>
      <c r="H366" s="140">
        <v>2041.0</v>
      </c>
      <c r="I366" s="140">
        <v>6841.0</v>
      </c>
      <c r="J366" s="141"/>
    </row>
    <row r="367" hidden="1">
      <c r="A367" s="142" t="s">
        <v>3125</v>
      </c>
      <c r="B367" s="142" t="s">
        <v>658</v>
      </c>
      <c r="C367" s="142" t="s">
        <v>1747</v>
      </c>
      <c r="D367" s="142">
        <v>-32.69312681</v>
      </c>
      <c r="E367" s="142">
        <v>-63.43710652</v>
      </c>
      <c r="F367" s="142" t="s">
        <v>1652</v>
      </c>
      <c r="G367" s="142">
        <v>757.0</v>
      </c>
      <c r="H367" s="142">
        <v>709.0</v>
      </c>
      <c r="I367" s="143">
        <v>2207.0</v>
      </c>
      <c r="J367" s="144"/>
    </row>
    <row r="368" hidden="1">
      <c r="A368" s="139" t="s">
        <v>3128</v>
      </c>
      <c r="B368" s="139" t="s">
        <v>659</v>
      </c>
      <c r="C368" s="139" t="s">
        <v>1664</v>
      </c>
      <c r="D368" s="139">
        <v>-31.1245075</v>
      </c>
      <c r="E368" s="139">
        <v>-63.89179527</v>
      </c>
      <c r="F368" s="139" t="s">
        <v>1675</v>
      </c>
      <c r="G368" s="139">
        <v>161.0</v>
      </c>
      <c r="H368" s="139">
        <v>141.0</v>
      </c>
      <c r="I368" s="139">
        <v>514.0</v>
      </c>
      <c r="J368" s="141"/>
    </row>
    <row r="369" hidden="1">
      <c r="A369" s="142" t="s">
        <v>3131</v>
      </c>
      <c r="B369" s="142" t="s">
        <v>3132</v>
      </c>
      <c r="C369" s="142" t="s">
        <v>1747</v>
      </c>
      <c r="D369" s="142">
        <v>-32.28707333</v>
      </c>
      <c r="E369" s="142">
        <v>-63.3536813</v>
      </c>
      <c r="F369" s="142" t="s">
        <v>1652</v>
      </c>
      <c r="G369" s="143">
        <v>1059.0</v>
      </c>
      <c r="H369" s="142">
        <v>876.0</v>
      </c>
      <c r="I369" s="143">
        <v>2676.0</v>
      </c>
      <c r="J369" s="144"/>
    </row>
    <row r="370" hidden="1">
      <c r="A370" s="139" t="s">
        <v>3134</v>
      </c>
      <c r="B370" s="139" t="s">
        <v>662</v>
      </c>
      <c r="C370" s="139" t="s">
        <v>1702</v>
      </c>
      <c r="D370" s="139">
        <v>-31.55378381</v>
      </c>
      <c r="E370" s="139">
        <v>-64.00737095</v>
      </c>
      <c r="F370" s="139" t="s">
        <v>1652</v>
      </c>
      <c r="G370" s="140">
        <v>1136.0</v>
      </c>
      <c r="H370" s="140">
        <v>1044.0</v>
      </c>
      <c r="I370" s="140">
        <v>4107.0</v>
      </c>
      <c r="J370" s="141"/>
    </row>
    <row r="371" hidden="1">
      <c r="A371" s="142" t="s">
        <v>3137</v>
      </c>
      <c r="B371" s="142" t="s">
        <v>663</v>
      </c>
      <c r="C371" s="142" t="s">
        <v>150</v>
      </c>
      <c r="D371" s="142">
        <v>-31.10890493</v>
      </c>
      <c r="E371" s="142">
        <v>-62.9870277</v>
      </c>
      <c r="F371" s="142" t="s">
        <v>1675</v>
      </c>
      <c r="G371" s="142">
        <v>65.0</v>
      </c>
      <c r="H371" s="142">
        <v>57.0</v>
      </c>
      <c r="I371" s="142">
        <v>173.0</v>
      </c>
      <c r="J371" s="144"/>
    </row>
    <row r="372" hidden="1">
      <c r="A372" s="139" t="s">
        <v>3139</v>
      </c>
      <c r="B372" s="139" t="s">
        <v>193</v>
      </c>
      <c r="C372" s="139" t="s">
        <v>101</v>
      </c>
      <c r="D372" s="139">
        <v>-30.95987382</v>
      </c>
      <c r="E372" s="139">
        <v>-65.31039727</v>
      </c>
      <c r="F372" s="139" t="s">
        <v>1675</v>
      </c>
      <c r="G372" s="139">
        <v>86.0</v>
      </c>
      <c r="H372" s="139">
        <v>56.0</v>
      </c>
      <c r="I372" s="139">
        <v>186.0</v>
      </c>
      <c r="J372" s="141"/>
    </row>
    <row r="373" hidden="1">
      <c r="A373" s="142" t="s">
        <v>3142</v>
      </c>
      <c r="B373" s="142" t="s">
        <v>664</v>
      </c>
      <c r="C373" s="142" t="s">
        <v>1646</v>
      </c>
      <c r="D373" s="142">
        <v>-33.81968363</v>
      </c>
      <c r="E373" s="142">
        <v>-64.45767007</v>
      </c>
      <c r="F373" s="142" t="s">
        <v>1652</v>
      </c>
      <c r="G373" s="142">
        <v>155.0</v>
      </c>
      <c r="H373" s="142">
        <v>132.0</v>
      </c>
      <c r="I373" s="142">
        <v>414.0</v>
      </c>
      <c r="J373" s="144"/>
    </row>
    <row r="374" hidden="1">
      <c r="A374" s="139" t="s">
        <v>3145</v>
      </c>
      <c r="B374" s="139" t="s">
        <v>3146</v>
      </c>
      <c r="C374" s="139" t="s">
        <v>150</v>
      </c>
      <c r="D374" s="139">
        <v>-31.42434269</v>
      </c>
      <c r="E374" s="139">
        <v>-63.19356046</v>
      </c>
      <c r="F374" s="139" t="s">
        <v>1652</v>
      </c>
      <c r="G374" s="140">
        <v>1186.0</v>
      </c>
      <c r="H374" s="140">
        <v>1047.0</v>
      </c>
      <c r="I374" s="140">
        <v>3185.0</v>
      </c>
      <c r="J374" s="141"/>
    </row>
    <row r="375" hidden="1">
      <c r="A375" s="142" t="s">
        <v>3148</v>
      </c>
      <c r="B375" s="142" t="s">
        <v>132</v>
      </c>
      <c r="C375" s="142" t="s">
        <v>39</v>
      </c>
      <c r="D375" s="142">
        <v>-30.74659145</v>
      </c>
      <c r="E375" s="142">
        <v>-65.23562126</v>
      </c>
      <c r="F375" s="142" t="s">
        <v>1675</v>
      </c>
      <c r="G375" s="142">
        <v>251.0</v>
      </c>
      <c r="H375" s="142">
        <v>223.0</v>
      </c>
      <c r="I375" s="142">
        <v>907.0</v>
      </c>
      <c r="J375" s="144"/>
    </row>
    <row r="376" hidden="1">
      <c r="A376" s="139" t="s">
        <v>3151</v>
      </c>
      <c r="B376" s="139" t="s">
        <v>667</v>
      </c>
      <c r="C376" s="139" t="s">
        <v>94</v>
      </c>
      <c r="D376" s="139">
        <v>-33.03144005</v>
      </c>
      <c r="E376" s="139">
        <v>-63.50611989</v>
      </c>
      <c r="F376" s="139" t="s">
        <v>1652</v>
      </c>
      <c r="G376" s="140">
        <v>2059.0</v>
      </c>
      <c r="H376" s="140">
        <v>1775.0</v>
      </c>
      <c r="I376" s="140">
        <v>5167.0</v>
      </c>
      <c r="J376" s="141"/>
    </row>
    <row r="377" hidden="1">
      <c r="A377" s="142" t="s">
        <v>3154</v>
      </c>
      <c r="B377" s="142" t="s">
        <v>668</v>
      </c>
      <c r="C377" s="142" t="s">
        <v>1664</v>
      </c>
      <c r="D377" s="142">
        <v>-31.23715238</v>
      </c>
      <c r="E377" s="142">
        <v>-64.31176369</v>
      </c>
      <c r="F377" s="142" t="s">
        <v>1652</v>
      </c>
      <c r="G377" s="143">
        <v>6605.0</v>
      </c>
      <c r="H377" s="143">
        <v>5395.0</v>
      </c>
      <c r="I377" s="143">
        <v>18483.0</v>
      </c>
      <c r="J377" s="144"/>
    </row>
    <row r="378" hidden="1">
      <c r="A378" s="139" t="s">
        <v>3157</v>
      </c>
      <c r="B378" s="139" t="s">
        <v>669</v>
      </c>
      <c r="C378" s="139" t="s">
        <v>1702</v>
      </c>
      <c r="D378" s="139">
        <v>-31.7299564</v>
      </c>
      <c r="E378" s="139">
        <v>-64.42021374</v>
      </c>
      <c r="F378" s="139" t="s">
        <v>1675</v>
      </c>
      <c r="G378" s="139">
        <v>348.0</v>
      </c>
      <c r="H378" s="139">
        <v>170.0</v>
      </c>
      <c r="I378" s="139">
        <v>487.0</v>
      </c>
      <c r="J378" s="141"/>
    </row>
    <row r="379" hidden="1">
      <c r="A379" s="142" t="s">
        <v>3160</v>
      </c>
      <c r="B379" s="142" t="s">
        <v>670</v>
      </c>
      <c r="C379" s="142" t="s">
        <v>120</v>
      </c>
      <c r="D379" s="142">
        <v>-31.1139612</v>
      </c>
      <c r="E379" s="142">
        <v>-64.48515894</v>
      </c>
      <c r="F379" s="142" t="s">
        <v>1652</v>
      </c>
      <c r="G379" s="143">
        <v>2512.0</v>
      </c>
      <c r="H379" s="143">
        <v>1867.0</v>
      </c>
      <c r="I379" s="143">
        <v>6252.0</v>
      </c>
      <c r="J379" s="144"/>
    </row>
    <row r="380" hidden="1">
      <c r="A380" s="139" t="s">
        <v>3162</v>
      </c>
      <c r="B380" s="139" t="s">
        <v>672</v>
      </c>
      <c r="C380" s="139" t="s">
        <v>1674</v>
      </c>
      <c r="D380" s="139">
        <v>-33.74605175</v>
      </c>
      <c r="E380" s="139">
        <v>-63.09728163</v>
      </c>
      <c r="F380" s="139" t="s">
        <v>1652</v>
      </c>
      <c r="G380" s="139">
        <v>671.0</v>
      </c>
      <c r="H380" s="139">
        <v>549.0</v>
      </c>
      <c r="I380" s="140">
        <v>1594.0</v>
      </c>
      <c r="J380" s="141"/>
    </row>
    <row r="381" hidden="1">
      <c r="A381" s="142" t="s">
        <v>3164</v>
      </c>
      <c r="B381" s="142" t="s">
        <v>673</v>
      </c>
      <c r="C381" s="142" t="s">
        <v>1646</v>
      </c>
      <c r="D381" s="142">
        <v>-33.91564167</v>
      </c>
      <c r="E381" s="142">
        <v>-64.38985456</v>
      </c>
      <c r="F381" s="142" t="s">
        <v>1652</v>
      </c>
      <c r="G381" s="143">
        <v>3676.0</v>
      </c>
      <c r="H381" s="143">
        <v>3163.0</v>
      </c>
      <c r="I381" s="143">
        <v>10170.0</v>
      </c>
      <c r="J381" s="144"/>
    </row>
    <row r="382" hidden="1">
      <c r="A382" s="139" t="s">
        <v>3168</v>
      </c>
      <c r="B382" s="139" t="s">
        <v>674</v>
      </c>
      <c r="C382" s="139" t="s">
        <v>1664</v>
      </c>
      <c r="D382" s="139">
        <v>-31.29364963</v>
      </c>
      <c r="E382" s="139">
        <v>-64.29770131</v>
      </c>
      <c r="F382" s="139" t="s">
        <v>1652</v>
      </c>
      <c r="G382" s="140">
        <v>9034.0</v>
      </c>
      <c r="H382" s="140">
        <v>7988.0</v>
      </c>
      <c r="I382" s="140">
        <v>28374.0</v>
      </c>
      <c r="J382" s="141"/>
    </row>
    <row r="383" hidden="1">
      <c r="A383" s="142" t="s">
        <v>3171</v>
      </c>
      <c r="B383" s="142" t="s">
        <v>124</v>
      </c>
      <c r="C383" s="142" t="s">
        <v>32</v>
      </c>
      <c r="D383" s="142">
        <v>-32.18618405</v>
      </c>
      <c r="E383" s="142">
        <v>-64.56738921</v>
      </c>
      <c r="F383" s="142" t="s">
        <v>1675</v>
      </c>
      <c r="G383" s="142">
        <v>325.0</v>
      </c>
      <c r="H383" s="142">
        <v>145.0</v>
      </c>
      <c r="I383" s="142">
        <v>450.0</v>
      </c>
      <c r="J383" s="144"/>
    </row>
    <row r="384" hidden="1">
      <c r="A384" s="139" t="s">
        <v>3173</v>
      </c>
      <c r="B384" s="139" t="s">
        <v>675</v>
      </c>
      <c r="C384" s="139" t="s">
        <v>161</v>
      </c>
      <c r="D384" s="139">
        <v>-32.16273859</v>
      </c>
      <c r="E384" s="139">
        <v>-63.89242243</v>
      </c>
      <c r="F384" s="139" t="s">
        <v>1652</v>
      </c>
      <c r="G384" s="139">
        <v>932.0</v>
      </c>
      <c r="H384" s="139">
        <v>789.0</v>
      </c>
      <c r="I384" s="140">
        <v>2355.0</v>
      </c>
      <c r="J384" s="141"/>
    </row>
    <row r="385" hidden="1">
      <c r="A385" s="142" t="s">
        <v>3175</v>
      </c>
      <c r="B385" s="142" t="s">
        <v>241</v>
      </c>
      <c r="C385" s="142" t="s">
        <v>215</v>
      </c>
      <c r="D385" s="142">
        <v>-29.81291025</v>
      </c>
      <c r="E385" s="142">
        <v>-63.35512612</v>
      </c>
      <c r="F385" s="142" t="s">
        <v>1675</v>
      </c>
      <c r="G385" s="142">
        <v>94.0</v>
      </c>
      <c r="H385" s="142">
        <v>87.0</v>
      </c>
      <c r="I385" s="142">
        <v>276.0</v>
      </c>
      <c r="J385" s="144"/>
    </row>
    <row r="386" hidden="1">
      <c r="A386" s="139" t="s">
        <v>3178</v>
      </c>
      <c r="B386" s="139" t="s">
        <v>677</v>
      </c>
      <c r="C386" s="139" t="s">
        <v>120</v>
      </c>
      <c r="D386" s="139">
        <v>-31.41791694</v>
      </c>
      <c r="E386" s="139">
        <v>-64.49402916</v>
      </c>
      <c r="F386" s="139" t="s">
        <v>1652</v>
      </c>
      <c r="G386" s="140">
        <v>28632.0</v>
      </c>
      <c r="H386" s="140">
        <v>19198.0</v>
      </c>
      <c r="I386" s="140">
        <v>62750.0</v>
      </c>
      <c r="J386" s="141"/>
    </row>
    <row r="387" hidden="1">
      <c r="A387" s="142" t="s">
        <v>3183</v>
      </c>
      <c r="B387" s="142" t="s">
        <v>678</v>
      </c>
      <c r="C387" s="142" t="s">
        <v>1664</v>
      </c>
      <c r="D387" s="142">
        <v>-31.07066518</v>
      </c>
      <c r="E387" s="142">
        <v>-64.31623539</v>
      </c>
      <c r="F387" s="142" t="s">
        <v>1675</v>
      </c>
      <c r="G387" s="142">
        <v>319.0</v>
      </c>
      <c r="H387" s="142">
        <v>96.0</v>
      </c>
      <c r="I387" s="142">
        <v>280.0</v>
      </c>
      <c r="J387" s="144"/>
    </row>
    <row r="388" hidden="1">
      <c r="A388" s="139" t="s">
        <v>3185</v>
      </c>
      <c r="B388" s="139" t="s">
        <v>3186</v>
      </c>
      <c r="C388" s="139" t="s">
        <v>1702</v>
      </c>
      <c r="D388" s="139">
        <v>-31.79187976</v>
      </c>
      <c r="E388" s="139">
        <v>-64.50865476</v>
      </c>
      <c r="F388" s="139" t="s">
        <v>1675</v>
      </c>
      <c r="G388" s="139">
        <v>552.0</v>
      </c>
      <c r="H388" s="139">
        <v>237.0</v>
      </c>
      <c r="I388" s="139">
        <v>762.0</v>
      </c>
      <c r="J388" s="141"/>
    </row>
    <row r="389" hidden="1">
      <c r="A389" s="142" t="s">
        <v>3188</v>
      </c>
      <c r="B389" s="142" t="s">
        <v>163</v>
      </c>
      <c r="C389" s="142" t="s">
        <v>32</v>
      </c>
      <c r="D389" s="142">
        <v>-31.82827536</v>
      </c>
      <c r="E389" s="142">
        <v>-64.52130249</v>
      </c>
      <c r="F389" s="142" t="s">
        <v>1675</v>
      </c>
      <c r="G389" s="142">
        <v>692.0</v>
      </c>
      <c r="H389" s="142">
        <v>347.0</v>
      </c>
      <c r="I389" s="143">
        <v>1165.0</v>
      </c>
      <c r="J389" s="144"/>
    </row>
    <row r="390" hidden="1">
      <c r="A390" s="139" t="s">
        <v>3190</v>
      </c>
      <c r="B390" s="139" t="s">
        <v>1587</v>
      </c>
      <c r="C390" s="139" t="s">
        <v>150</v>
      </c>
      <c r="D390" s="139">
        <v>-31.32210017</v>
      </c>
      <c r="E390" s="139">
        <v>-62.8139981</v>
      </c>
      <c r="F390" s="139" t="s">
        <v>1652</v>
      </c>
      <c r="G390" s="139">
        <v>698.0</v>
      </c>
      <c r="H390" s="139">
        <v>574.0</v>
      </c>
      <c r="I390" s="140">
        <v>1886.0</v>
      </c>
      <c r="J390" s="141"/>
    </row>
    <row r="391" hidden="1">
      <c r="A391" s="142" t="s">
        <v>3196</v>
      </c>
      <c r="B391" s="142" t="s">
        <v>276</v>
      </c>
      <c r="C391" s="142" t="s">
        <v>52</v>
      </c>
      <c r="D391" s="142">
        <v>-31.70646073</v>
      </c>
      <c r="E391" s="142">
        <v>-65.01860639</v>
      </c>
      <c r="F391" s="142" t="s">
        <v>1652</v>
      </c>
      <c r="G391" s="143">
        <v>2746.0</v>
      </c>
      <c r="H391" s="143">
        <v>1758.0</v>
      </c>
      <c r="I391" s="143">
        <v>6351.0</v>
      </c>
      <c r="J391" s="144"/>
    </row>
    <row r="392" hidden="1">
      <c r="A392" s="139" t="s">
        <v>3198</v>
      </c>
      <c r="B392" s="139" t="s">
        <v>308</v>
      </c>
      <c r="C392" s="139" t="s">
        <v>107</v>
      </c>
      <c r="D392" s="139">
        <v>-31.94708654</v>
      </c>
      <c r="E392" s="139">
        <v>-65.05211534</v>
      </c>
      <c r="F392" s="139" t="s">
        <v>1652</v>
      </c>
      <c r="G392" s="140">
        <v>1885.0</v>
      </c>
      <c r="H392" s="140">
        <v>1325.0</v>
      </c>
      <c r="I392" s="140">
        <v>4116.0</v>
      </c>
      <c r="J392" s="141"/>
    </row>
    <row r="393" hidden="1">
      <c r="A393" s="142" t="s">
        <v>3201</v>
      </c>
      <c r="B393" s="142" t="s">
        <v>245</v>
      </c>
      <c r="C393" s="142" t="s">
        <v>215</v>
      </c>
      <c r="D393" s="142">
        <v>-29.90652313</v>
      </c>
      <c r="E393" s="142">
        <v>-63.72256197</v>
      </c>
      <c r="F393" s="142" t="s">
        <v>1652</v>
      </c>
      <c r="G393" s="143">
        <v>1724.0</v>
      </c>
      <c r="H393" s="143">
        <v>1382.0</v>
      </c>
      <c r="I393" s="143">
        <v>4911.0</v>
      </c>
      <c r="J393" s="144"/>
    </row>
    <row r="394" hidden="1">
      <c r="A394" s="139" t="s">
        <v>3206</v>
      </c>
      <c r="B394" s="139" t="s">
        <v>211</v>
      </c>
      <c r="C394" s="139" t="s">
        <v>90</v>
      </c>
      <c r="D394" s="139">
        <v>-31.49015758</v>
      </c>
      <c r="E394" s="139">
        <v>-65.28095055</v>
      </c>
      <c r="F394" s="139" t="s">
        <v>1675</v>
      </c>
      <c r="G394" s="139">
        <v>124.0</v>
      </c>
      <c r="H394" s="139">
        <v>70.0</v>
      </c>
      <c r="I394" s="139">
        <v>201.0</v>
      </c>
      <c r="J394" s="141"/>
    </row>
    <row r="395" hidden="1">
      <c r="A395" s="142" t="s">
        <v>3208</v>
      </c>
      <c r="B395" s="142" t="s">
        <v>134</v>
      </c>
      <c r="C395" s="142" t="s">
        <v>39</v>
      </c>
      <c r="D395" s="142">
        <v>-30.85523126</v>
      </c>
      <c r="E395" s="142">
        <v>-64.98489144</v>
      </c>
      <c r="F395" s="142" t="s">
        <v>1652</v>
      </c>
      <c r="G395" s="143">
        <v>3024.0</v>
      </c>
      <c r="H395" s="143">
        <v>2675.0</v>
      </c>
      <c r="I395" s="143">
        <v>9927.0</v>
      </c>
      <c r="J395" s="144"/>
    </row>
    <row r="396" hidden="1">
      <c r="A396" s="139" t="s">
        <v>3211</v>
      </c>
      <c r="B396" s="139" t="s">
        <v>685</v>
      </c>
      <c r="C396" s="139" t="s">
        <v>32</v>
      </c>
      <c r="D396" s="139">
        <v>-32.17635122</v>
      </c>
      <c r="E396" s="139">
        <v>-64.4569385</v>
      </c>
      <c r="F396" s="139" t="s">
        <v>1652</v>
      </c>
      <c r="G396" s="140">
        <v>2089.0</v>
      </c>
      <c r="H396" s="140">
        <v>1055.0</v>
      </c>
      <c r="I396" s="140">
        <v>3303.0</v>
      </c>
      <c r="J396" s="141"/>
    </row>
    <row r="397" hidden="1">
      <c r="A397" s="142" t="s">
        <v>3215</v>
      </c>
      <c r="B397" s="142" t="s">
        <v>686</v>
      </c>
      <c r="C397" s="142" t="s">
        <v>1702</v>
      </c>
      <c r="D397" s="142">
        <v>-31.62128637</v>
      </c>
      <c r="E397" s="142">
        <v>-64.394138</v>
      </c>
      <c r="F397" s="142" t="s">
        <v>1675</v>
      </c>
      <c r="G397" s="142">
        <v>656.0</v>
      </c>
      <c r="H397" s="142">
        <v>556.0</v>
      </c>
      <c r="I397" s="143">
        <v>2011.0</v>
      </c>
      <c r="J397" s="144"/>
    </row>
    <row r="398" hidden="1">
      <c r="A398" s="139" t="s">
        <v>3217</v>
      </c>
      <c r="B398" s="139" t="s">
        <v>687</v>
      </c>
      <c r="C398" s="139" t="s">
        <v>1839</v>
      </c>
      <c r="D398" s="139">
        <v>-31.5541005</v>
      </c>
      <c r="E398" s="139">
        <v>-63.53569732</v>
      </c>
      <c r="F398" s="139" t="s">
        <v>1652</v>
      </c>
      <c r="G398" s="140">
        <v>5423.0</v>
      </c>
      <c r="H398" s="140">
        <v>4755.0</v>
      </c>
      <c r="I398" s="140">
        <v>15394.0</v>
      </c>
      <c r="J398" s="141"/>
    </row>
    <row r="399" hidden="1">
      <c r="A399" s="142" t="s">
        <v>3222</v>
      </c>
      <c r="B399" s="142" t="s">
        <v>343</v>
      </c>
      <c r="C399" s="142" t="s">
        <v>78</v>
      </c>
      <c r="D399" s="142">
        <v>-30.70462187</v>
      </c>
      <c r="E399" s="142">
        <v>-64.06814144</v>
      </c>
      <c r="F399" s="142" t="s">
        <v>1652</v>
      </c>
      <c r="G399" s="143">
        <v>2882.0</v>
      </c>
      <c r="H399" s="143">
        <v>2483.0</v>
      </c>
      <c r="I399" s="143">
        <v>8439.0</v>
      </c>
      <c r="J399" s="144"/>
    </row>
    <row r="400" hidden="1">
      <c r="A400" s="139" t="s">
        <v>3225</v>
      </c>
      <c r="B400" s="139" t="s">
        <v>310</v>
      </c>
      <c r="C400" s="139" t="s">
        <v>107</v>
      </c>
      <c r="D400" s="139">
        <v>-31.94497676</v>
      </c>
      <c r="E400" s="139">
        <v>-65.1902397</v>
      </c>
      <c r="F400" s="139" t="s">
        <v>1652</v>
      </c>
      <c r="G400" s="140">
        <v>10617.0</v>
      </c>
      <c r="H400" s="140">
        <v>9495.0</v>
      </c>
      <c r="I400" s="140">
        <v>31853.0</v>
      </c>
      <c r="J400" s="141"/>
    </row>
    <row r="401" hidden="1">
      <c r="A401" s="142" t="s">
        <v>3227</v>
      </c>
      <c r="B401" s="142" t="s">
        <v>689</v>
      </c>
      <c r="C401" s="142" t="s">
        <v>1646</v>
      </c>
      <c r="D401" s="142">
        <v>-32.89255542</v>
      </c>
      <c r="E401" s="142">
        <v>-64.86795523</v>
      </c>
      <c r="F401" s="142" t="s">
        <v>1675</v>
      </c>
      <c r="G401" s="142">
        <v>109.0</v>
      </c>
      <c r="H401" s="142">
        <v>32.0</v>
      </c>
      <c r="I401" s="142">
        <v>84.0</v>
      </c>
      <c r="J401" s="144"/>
    </row>
    <row r="402" hidden="1">
      <c r="A402" s="139" t="s">
        <v>3230</v>
      </c>
      <c r="B402" s="139" t="s">
        <v>690</v>
      </c>
      <c r="C402" s="139" t="s">
        <v>1683</v>
      </c>
      <c r="D402" s="139">
        <v>-32.83475781</v>
      </c>
      <c r="E402" s="139">
        <v>-62.29525897</v>
      </c>
      <c r="F402" s="139" t="s">
        <v>1675</v>
      </c>
      <c r="G402" s="139">
        <v>14.0</v>
      </c>
      <c r="H402" s="139">
        <v>8.0</v>
      </c>
      <c r="I402" s="139">
        <v>26.0</v>
      </c>
      <c r="J402" s="141"/>
    </row>
    <row r="403" hidden="1">
      <c r="A403" s="142" t="s">
        <v>3232</v>
      </c>
      <c r="B403" s="142" t="s">
        <v>418</v>
      </c>
      <c r="C403" s="142" t="s">
        <v>408</v>
      </c>
      <c r="D403" s="142">
        <v>-30.89370769</v>
      </c>
      <c r="E403" s="142">
        <v>-63.11715294</v>
      </c>
      <c r="F403" s="142" t="s">
        <v>1652</v>
      </c>
      <c r="G403" s="142">
        <v>329.0</v>
      </c>
      <c r="H403" s="142">
        <v>312.0</v>
      </c>
      <c r="I403" s="142">
        <v>939.0</v>
      </c>
      <c r="J403" s="144"/>
    </row>
    <row r="404" hidden="1">
      <c r="A404" s="139" t="s">
        <v>3233</v>
      </c>
      <c r="B404" s="139" t="s">
        <v>179</v>
      </c>
      <c r="C404" s="139" t="s">
        <v>32</v>
      </c>
      <c r="D404" s="139">
        <v>-31.97649281</v>
      </c>
      <c r="E404" s="139">
        <v>-64.55905366</v>
      </c>
      <c r="F404" s="139" t="s">
        <v>1652</v>
      </c>
      <c r="G404" s="140">
        <v>3805.0</v>
      </c>
      <c r="H404" s="140">
        <v>2676.0</v>
      </c>
      <c r="I404" s="140">
        <v>8257.0</v>
      </c>
      <c r="J404" s="141"/>
    </row>
    <row r="405" hidden="1">
      <c r="A405" s="142" t="s">
        <v>3237</v>
      </c>
      <c r="B405" s="142" t="s">
        <v>692</v>
      </c>
      <c r="C405" s="142" t="s">
        <v>120</v>
      </c>
      <c r="D405" s="142">
        <v>-31.05027193</v>
      </c>
      <c r="E405" s="142">
        <v>-64.49678538</v>
      </c>
      <c r="F405" s="142" t="s">
        <v>1652</v>
      </c>
      <c r="G405" s="143">
        <v>2926.0</v>
      </c>
      <c r="H405" s="143">
        <v>2030.0</v>
      </c>
      <c r="I405" s="143">
        <v>6810.0</v>
      </c>
      <c r="J405" s="144"/>
    </row>
    <row r="406" hidden="1">
      <c r="A406" s="139" t="s">
        <v>3238</v>
      </c>
      <c r="B406" s="139" t="s">
        <v>170</v>
      </c>
      <c r="C406" s="139" t="s">
        <v>140</v>
      </c>
      <c r="D406" s="139">
        <v>-30.67920554</v>
      </c>
      <c r="E406" s="139">
        <v>-64.16015406</v>
      </c>
      <c r="F406" s="139" t="s">
        <v>1675</v>
      </c>
      <c r="G406" s="139">
        <v>106.0</v>
      </c>
      <c r="H406" s="139">
        <v>89.0</v>
      </c>
      <c r="I406" s="139">
        <v>341.0</v>
      </c>
      <c r="J406" s="141"/>
    </row>
    <row r="407" hidden="1">
      <c r="A407" s="142" t="s">
        <v>3240</v>
      </c>
      <c r="B407" s="142" t="s">
        <v>382</v>
      </c>
      <c r="C407" s="142" t="s">
        <v>31</v>
      </c>
      <c r="D407" s="142">
        <v>-34.84052061</v>
      </c>
      <c r="E407" s="142">
        <v>-64.58710003</v>
      </c>
      <c r="F407" s="142" t="s">
        <v>1652</v>
      </c>
      <c r="G407" s="143">
        <v>2057.0</v>
      </c>
      <c r="H407" s="143">
        <v>1805.0</v>
      </c>
      <c r="I407" s="143">
        <v>5658.0</v>
      </c>
      <c r="J407" s="144"/>
    </row>
    <row r="408" hidden="1">
      <c r="A408" s="139" t="s">
        <v>3244</v>
      </c>
      <c r="B408" s="139" t="s">
        <v>693</v>
      </c>
      <c r="C408" s="139" t="s">
        <v>1702</v>
      </c>
      <c r="D408" s="139">
        <v>-31.72965925</v>
      </c>
      <c r="E408" s="139">
        <v>-64.42945142</v>
      </c>
      <c r="F408" s="139" t="s">
        <v>1675</v>
      </c>
      <c r="G408" s="139">
        <v>722.0</v>
      </c>
      <c r="H408" s="139">
        <v>329.0</v>
      </c>
      <c r="I408" s="139">
        <v>995.0</v>
      </c>
      <c r="J408" s="141"/>
    </row>
    <row r="409" hidden="1">
      <c r="A409" s="142" t="s">
        <v>3247</v>
      </c>
      <c r="B409" s="142" t="s">
        <v>695</v>
      </c>
      <c r="C409" s="142" t="s">
        <v>1702</v>
      </c>
      <c r="D409" s="142">
        <v>-31.73448799</v>
      </c>
      <c r="E409" s="142">
        <v>-64.43906895</v>
      </c>
      <c r="F409" s="142" t="s">
        <v>1675</v>
      </c>
      <c r="G409" s="142">
        <v>859.0</v>
      </c>
      <c r="H409" s="142">
        <v>397.0</v>
      </c>
      <c r="I409" s="143">
        <v>1378.0</v>
      </c>
      <c r="J409" s="144"/>
    </row>
    <row r="410" hidden="1">
      <c r="A410" s="139" t="s">
        <v>3249</v>
      </c>
      <c r="B410" s="139" t="s">
        <v>696</v>
      </c>
      <c r="C410" s="139" t="s">
        <v>1674</v>
      </c>
      <c r="D410" s="139">
        <v>-32.76683762</v>
      </c>
      <c r="E410" s="139">
        <v>-62.72713513</v>
      </c>
      <c r="F410" s="139" t="s">
        <v>1675</v>
      </c>
      <c r="G410" s="139">
        <v>12.0</v>
      </c>
      <c r="H410" s="139">
        <v>10.0</v>
      </c>
      <c r="I410" s="139">
        <v>26.0</v>
      </c>
      <c r="J410" s="141"/>
    </row>
    <row r="411" hidden="1">
      <c r="A411" s="142" t="s">
        <v>3254</v>
      </c>
      <c r="B411" s="142" t="s">
        <v>2023</v>
      </c>
      <c r="C411" s="142" t="s">
        <v>1747</v>
      </c>
      <c r="D411" s="142">
        <v>-32.4130126</v>
      </c>
      <c r="E411" s="142">
        <v>-63.24827071</v>
      </c>
      <c r="F411" s="142" t="s">
        <v>1652</v>
      </c>
      <c r="G411" s="143">
        <v>33161.0</v>
      </c>
      <c r="H411" s="143">
        <v>27001.0</v>
      </c>
      <c r="I411" s="143">
        <v>79946.0</v>
      </c>
      <c r="J411" s="144"/>
    </row>
    <row r="412" hidden="1">
      <c r="A412" s="139" t="s">
        <v>3257</v>
      </c>
      <c r="B412" s="139" t="s">
        <v>698</v>
      </c>
      <c r="C412" s="139" t="s">
        <v>1747</v>
      </c>
      <c r="D412" s="139">
        <v>-32.43547641</v>
      </c>
      <c r="E412" s="139">
        <v>-63.24785758</v>
      </c>
      <c r="F412" s="139" t="s">
        <v>1652</v>
      </c>
      <c r="G412" s="140">
        <v>6482.0</v>
      </c>
      <c r="H412" s="140">
        <v>5823.0</v>
      </c>
      <c r="I412" s="140">
        <v>19362.0</v>
      </c>
      <c r="J412" s="141"/>
    </row>
    <row r="413" hidden="1">
      <c r="A413" s="142" t="s">
        <v>3259</v>
      </c>
      <c r="B413" s="142" t="s">
        <v>699</v>
      </c>
      <c r="C413" s="142" t="s">
        <v>1702</v>
      </c>
      <c r="D413" s="142">
        <v>-31.59262395</v>
      </c>
      <c r="E413" s="142">
        <v>-64.34708259</v>
      </c>
      <c r="F413" s="142" t="s">
        <v>1652</v>
      </c>
      <c r="G413" s="142">
        <v>942.0</v>
      </c>
      <c r="H413" s="142">
        <v>771.0</v>
      </c>
      <c r="I413" s="143">
        <v>2861.0</v>
      </c>
      <c r="J413" s="144"/>
    </row>
    <row r="414" hidden="1">
      <c r="A414" s="139" t="s">
        <v>3262</v>
      </c>
      <c r="B414" s="139" t="s">
        <v>701</v>
      </c>
      <c r="C414" s="139" t="s">
        <v>120</v>
      </c>
      <c r="D414" s="139">
        <v>-31.34645551</v>
      </c>
      <c r="E414" s="139">
        <v>-64.48244876</v>
      </c>
      <c r="F414" s="139" t="s">
        <v>1675</v>
      </c>
      <c r="G414" s="140">
        <v>1340.0</v>
      </c>
      <c r="H414" s="139">
        <v>587.0</v>
      </c>
      <c r="I414" s="140">
        <v>1888.0</v>
      </c>
      <c r="J414" s="141"/>
    </row>
    <row r="415" hidden="1">
      <c r="A415" s="142" t="s">
        <v>3264</v>
      </c>
      <c r="B415" s="142" t="s">
        <v>702</v>
      </c>
      <c r="C415" s="142" t="s">
        <v>32</v>
      </c>
      <c r="D415" s="142">
        <v>-32.23480721</v>
      </c>
      <c r="E415" s="142">
        <v>-64.51460267</v>
      </c>
      <c r="F415" s="142" t="s">
        <v>1675</v>
      </c>
      <c r="G415" s="142">
        <v>181.0</v>
      </c>
      <c r="H415" s="142">
        <v>30.0</v>
      </c>
      <c r="I415" s="142">
        <v>79.0</v>
      </c>
      <c r="J415" s="144"/>
    </row>
    <row r="416" hidden="1">
      <c r="A416" s="139" t="s">
        <v>3268</v>
      </c>
      <c r="B416" s="139" t="s">
        <v>3269</v>
      </c>
      <c r="C416" s="139" t="s">
        <v>120</v>
      </c>
      <c r="D416" s="139">
        <v>-31.48267503</v>
      </c>
      <c r="E416" s="139">
        <v>-64.56472629</v>
      </c>
      <c r="F416" s="139" t="s">
        <v>1652</v>
      </c>
      <c r="G416" s="140">
        <v>1067.0</v>
      </c>
      <c r="H416" s="139">
        <v>577.0</v>
      </c>
      <c r="I416" s="140">
        <v>1921.0</v>
      </c>
      <c r="J416" s="141"/>
    </row>
    <row r="417" hidden="1">
      <c r="A417" s="142" t="s">
        <v>3271</v>
      </c>
      <c r="B417" s="142" t="s">
        <v>405</v>
      </c>
      <c r="C417" s="142" t="s">
        <v>112</v>
      </c>
      <c r="D417" s="142">
        <v>-34.2979366</v>
      </c>
      <c r="E417" s="142">
        <v>-63.26853898</v>
      </c>
      <c r="F417" s="142" t="s">
        <v>1652</v>
      </c>
      <c r="G417" s="142">
        <v>200.0</v>
      </c>
      <c r="H417" s="142">
        <v>159.0</v>
      </c>
      <c r="I417" s="142">
        <v>515.0</v>
      </c>
      <c r="J417" s="144"/>
    </row>
    <row r="418" hidden="1">
      <c r="A418" s="139" t="s">
        <v>3273</v>
      </c>
      <c r="B418" s="139" t="s">
        <v>704</v>
      </c>
      <c r="C418" s="139" t="s">
        <v>32</v>
      </c>
      <c r="D418" s="139">
        <v>-32.19109059</v>
      </c>
      <c r="E418" s="139">
        <v>-64.4742299</v>
      </c>
      <c r="F418" s="139" t="s">
        <v>1652</v>
      </c>
      <c r="G418" s="140">
        <v>1879.0</v>
      </c>
      <c r="H418" s="139">
        <v>890.0</v>
      </c>
      <c r="I418" s="140">
        <v>2663.0</v>
      </c>
      <c r="J418" s="141"/>
    </row>
    <row r="419" hidden="1">
      <c r="A419" s="142" t="s">
        <v>3275</v>
      </c>
      <c r="B419" s="142" t="s">
        <v>705</v>
      </c>
      <c r="C419" s="142" t="s">
        <v>150</v>
      </c>
      <c r="D419" s="142">
        <v>-31.63377541</v>
      </c>
      <c r="E419" s="142">
        <v>-62.89706623</v>
      </c>
      <c r="F419" s="142" t="s">
        <v>1675</v>
      </c>
      <c r="G419" s="142">
        <v>27.0</v>
      </c>
      <c r="H419" s="142">
        <v>22.0</v>
      </c>
      <c r="I419" s="142">
        <v>82.0</v>
      </c>
      <c r="J419" s="144"/>
    </row>
    <row r="420" hidden="1">
      <c r="A420" s="139" t="s">
        <v>3279</v>
      </c>
      <c r="B420" s="139" t="s">
        <v>706</v>
      </c>
      <c r="C420" s="139" t="s">
        <v>1702</v>
      </c>
      <c r="D420" s="139">
        <v>-31.82592543</v>
      </c>
      <c r="E420" s="139">
        <v>-64.38355448</v>
      </c>
      <c r="F420" s="139" t="s">
        <v>1675</v>
      </c>
      <c r="G420" s="139">
        <v>704.0</v>
      </c>
      <c r="H420" s="139">
        <v>398.0</v>
      </c>
      <c r="I420" s="140">
        <v>1249.0</v>
      </c>
      <c r="J420" s="141"/>
    </row>
    <row r="421" hidden="1">
      <c r="A421" s="142" t="s">
        <v>3281</v>
      </c>
      <c r="B421" s="142" t="s">
        <v>707</v>
      </c>
      <c r="C421" s="142" t="s">
        <v>120</v>
      </c>
      <c r="D421" s="142">
        <v>-31.36638134</v>
      </c>
      <c r="E421" s="142">
        <v>-64.52199859</v>
      </c>
      <c r="F421" s="142" t="s">
        <v>1652</v>
      </c>
      <c r="G421" s="143">
        <v>1161.0</v>
      </c>
      <c r="H421" s="142">
        <v>750.0</v>
      </c>
      <c r="I421" s="143">
        <v>2472.0</v>
      </c>
      <c r="J421" s="144"/>
    </row>
    <row r="422" hidden="1">
      <c r="A422" s="139" t="s">
        <v>3286</v>
      </c>
      <c r="B422" s="139" t="s">
        <v>384</v>
      </c>
      <c r="C422" s="139" t="s">
        <v>31</v>
      </c>
      <c r="D422" s="139">
        <v>-34.12285384</v>
      </c>
      <c r="E422" s="139">
        <v>-64.72517936</v>
      </c>
      <c r="F422" s="139" t="s">
        <v>1675</v>
      </c>
      <c r="G422" s="139">
        <v>166.0</v>
      </c>
      <c r="H422" s="139">
        <v>120.0</v>
      </c>
      <c r="I422" s="139">
        <v>373.0</v>
      </c>
      <c r="J422" s="141"/>
    </row>
    <row r="423" hidden="1">
      <c r="A423" s="142" t="s">
        <v>3289</v>
      </c>
      <c r="B423" s="142" t="s">
        <v>279</v>
      </c>
      <c r="C423" s="142" t="s">
        <v>52</v>
      </c>
      <c r="D423" s="142">
        <v>-31.93624111</v>
      </c>
      <c r="E423" s="142">
        <v>-65.19309831</v>
      </c>
      <c r="F423" s="142" t="s">
        <v>1652</v>
      </c>
      <c r="G423" s="143">
        <v>1544.0</v>
      </c>
      <c r="H423" s="143">
        <v>1414.0</v>
      </c>
      <c r="I423" s="143">
        <v>5264.0</v>
      </c>
      <c r="J423" s="144"/>
    </row>
    <row r="424" hidden="1">
      <c r="A424" s="139" t="s">
        <v>3291</v>
      </c>
      <c r="B424" s="139" t="s">
        <v>361</v>
      </c>
      <c r="C424" s="139" t="s">
        <v>96</v>
      </c>
      <c r="D424" s="139">
        <v>-30.39535423</v>
      </c>
      <c r="E424" s="139">
        <v>-64.12230894</v>
      </c>
      <c r="F424" s="139" t="s">
        <v>1652</v>
      </c>
      <c r="G424" s="139">
        <v>734.0</v>
      </c>
      <c r="H424" s="139">
        <v>499.0</v>
      </c>
      <c r="I424" s="140">
        <v>1597.0</v>
      </c>
      <c r="J424" s="141"/>
    </row>
    <row r="425" hidden="1">
      <c r="A425" s="142" t="s">
        <v>3295</v>
      </c>
      <c r="B425" s="142" t="s">
        <v>386</v>
      </c>
      <c r="C425" s="142" t="s">
        <v>31</v>
      </c>
      <c r="D425" s="142">
        <v>-34.34144582</v>
      </c>
      <c r="E425" s="142">
        <v>-64.9208144</v>
      </c>
      <c r="F425" s="142" t="s">
        <v>1652</v>
      </c>
      <c r="G425" s="143">
        <v>1085.0</v>
      </c>
      <c r="H425" s="142">
        <v>896.0</v>
      </c>
      <c r="I425" s="143">
        <v>3002.0</v>
      </c>
      <c r="J425" s="144"/>
    </row>
    <row r="426" hidden="1">
      <c r="A426" s="139" t="s">
        <v>3298</v>
      </c>
      <c r="B426" s="139" t="s">
        <v>711</v>
      </c>
      <c r="C426" s="139" t="s">
        <v>32</v>
      </c>
      <c r="D426" s="139">
        <v>-32.0992361</v>
      </c>
      <c r="E426" s="139">
        <v>-64.75358472</v>
      </c>
      <c r="F426" s="139" t="s">
        <v>1652</v>
      </c>
      <c r="G426" s="139">
        <v>786.0</v>
      </c>
      <c r="H426" s="139">
        <v>420.0</v>
      </c>
      <c r="I426" s="140">
        <v>1634.0</v>
      </c>
      <c r="J426" s="141"/>
    </row>
    <row r="427" hidden="1">
      <c r="A427" s="142" t="s">
        <v>3300</v>
      </c>
      <c r="B427" s="142" t="s">
        <v>713</v>
      </c>
      <c r="C427" s="142" t="s">
        <v>1646</v>
      </c>
      <c r="D427" s="142">
        <v>-33.87373761</v>
      </c>
      <c r="E427" s="142">
        <v>-64.689594</v>
      </c>
      <c r="F427" s="142" t="s">
        <v>1675</v>
      </c>
      <c r="G427" s="142">
        <v>187.0</v>
      </c>
      <c r="H427" s="142">
        <v>165.0</v>
      </c>
      <c r="I427" s="142">
        <v>608.0</v>
      </c>
      <c r="J427" s="144"/>
    </row>
    <row r="428" hidden="1">
      <c r="A428" s="139" t="s">
        <v>3305</v>
      </c>
      <c r="B428" s="139" t="s">
        <v>714</v>
      </c>
      <c r="C428" s="139" t="s">
        <v>1674</v>
      </c>
      <c r="D428" s="139">
        <v>-33.171677</v>
      </c>
      <c r="E428" s="139">
        <v>-62.76941611</v>
      </c>
      <c r="F428" s="139" t="s">
        <v>1652</v>
      </c>
      <c r="G428" s="139">
        <v>659.0</v>
      </c>
      <c r="H428" s="139">
        <v>544.0</v>
      </c>
      <c r="I428" s="140">
        <v>1517.0</v>
      </c>
      <c r="J428" s="141"/>
    </row>
  </sheetData>
  <autoFilter ref="$A$1:$I$428">
    <filterColumn colId="1">
      <filters>
        <filter val="AMBUL"/>
      </filters>
    </filterColumn>
  </autoFil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9" t="s">
        <v>3436</v>
      </c>
      <c r="B1" s="160" t="s">
        <v>3439</v>
      </c>
      <c r="C1" s="160" t="s">
        <v>6</v>
      </c>
      <c r="D1" s="160" t="s">
        <v>7</v>
      </c>
      <c r="E1" s="160" t="s">
        <v>8</v>
      </c>
      <c r="F1" s="160" t="s">
        <v>9</v>
      </c>
      <c r="G1" s="160" t="s">
        <v>3444</v>
      </c>
      <c r="H1" s="160" t="s">
        <v>3445</v>
      </c>
      <c r="I1" s="160" t="s">
        <v>14</v>
      </c>
      <c r="J1" s="160" t="s">
        <v>3446</v>
      </c>
      <c r="K1" s="161" t="s">
        <v>3448</v>
      </c>
      <c r="L1" s="162" t="s">
        <v>3450</v>
      </c>
      <c r="M1" s="162" t="s">
        <v>3452</v>
      </c>
    </row>
    <row r="2">
      <c r="A2" s="163">
        <v>33.0</v>
      </c>
      <c r="B2" s="164">
        <v>45278.0</v>
      </c>
      <c r="C2" s="165" t="s">
        <v>39</v>
      </c>
      <c r="D2" s="165" t="s">
        <v>39</v>
      </c>
      <c r="E2" s="165" t="s">
        <v>3460</v>
      </c>
      <c r="F2" s="166"/>
      <c r="G2" s="167" t="s">
        <v>3465</v>
      </c>
      <c r="H2" s="167" t="s">
        <v>3467</v>
      </c>
      <c r="I2" s="165" t="s">
        <v>1603</v>
      </c>
      <c r="J2" s="167" t="s">
        <v>141</v>
      </c>
      <c r="K2" s="168">
        <v>0.88</v>
      </c>
      <c r="L2" s="169" t="s">
        <v>3472</v>
      </c>
      <c r="M2" s="166"/>
    </row>
    <row r="3">
      <c r="A3" s="163">
        <v>59.0</v>
      </c>
      <c r="B3" s="170">
        <v>45308.0</v>
      </c>
      <c r="C3" s="165" t="s">
        <v>3511</v>
      </c>
      <c r="D3" s="165" t="s">
        <v>391</v>
      </c>
      <c r="E3" s="165" t="s">
        <v>3460</v>
      </c>
      <c r="F3" s="166"/>
      <c r="G3" s="167" t="s">
        <v>3512</v>
      </c>
      <c r="H3" s="167" t="s">
        <v>3513</v>
      </c>
      <c r="I3" s="165" t="s">
        <v>3514</v>
      </c>
      <c r="J3" s="167" t="s">
        <v>3515</v>
      </c>
      <c r="K3" s="168">
        <v>0.0</v>
      </c>
      <c r="L3" s="169" t="s">
        <v>3516</v>
      </c>
      <c r="M3" s="166"/>
    </row>
    <row r="4">
      <c r="A4" s="163">
        <v>60.0</v>
      </c>
      <c r="B4" s="170">
        <v>45308.0</v>
      </c>
      <c r="C4" s="165" t="s">
        <v>31</v>
      </c>
      <c r="D4" s="165" t="s">
        <v>382</v>
      </c>
      <c r="E4" s="165" t="s">
        <v>3460</v>
      </c>
      <c r="F4" s="166"/>
      <c r="G4" s="167" t="s">
        <v>3524</v>
      </c>
      <c r="H4" s="167" t="s">
        <v>3526</v>
      </c>
      <c r="I4" s="165" t="s">
        <v>3514</v>
      </c>
      <c r="J4" s="167" t="s">
        <v>56</v>
      </c>
      <c r="K4" s="171">
        <v>1.0</v>
      </c>
      <c r="L4" s="169" t="s">
        <v>3528</v>
      </c>
      <c r="M4" s="166"/>
    </row>
    <row r="5">
      <c r="A5" s="163">
        <v>138.0</v>
      </c>
      <c r="B5" s="170">
        <v>45301.0</v>
      </c>
      <c r="C5" s="165" t="s">
        <v>107</v>
      </c>
      <c r="D5" s="165" t="s">
        <v>310</v>
      </c>
      <c r="E5" s="165" t="s">
        <v>3460</v>
      </c>
      <c r="F5" s="172"/>
      <c r="G5" s="173" t="s">
        <v>3533</v>
      </c>
      <c r="H5" s="174"/>
      <c r="I5" s="165" t="s">
        <v>1603</v>
      </c>
      <c r="J5" s="167" t="s">
        <v>3534</v>
      </c>
      <c r="K5" s="168">
        <v>0.2</v>
      </c>
      <c r="L5" s="169" t="s">
        <v>3535</v>
      </c>
      <c r="M5" s="166"/>
    </row>
    <row r="6">
      <c r="A6" s="163">
        <v>143.0</v>
      </c>
      <c r="B6" s="170">
        <v>45369.0</v>
      </c>
      <c r="C6" s="165" t="s">
        <v>72</v>
      </c>
      <c r="D6" s="165" t="s">
        <v>320</v>
      </c>
      <c r="E6" s="165" t="s">
        <v>3460</v>
      </c>
      <c r="F6" s="172"/>
      <c r="G6" s="173" t="s">
        <v>3539</v>
      </c>
      <c r="H6" s="174"/>
      <c r="I6" s="165" t="s">
        <v>1603</v>
      </c>
      <c r="J6" s="167" t="s">
        <v>141</v>
      </c>
      <c r="K6" s="168">
        <v>0.81</v>
      </c>
      <c r="L6" s="169" t="s">
        <v>3540</v>
      </c>
      <c r="M6" s="165" t="s">
        <v>3543</v>
      </c>
    </row>
    <row r="7">
      <c r="A7" s="163">
        <v>161.0</v>
      </c>
      <c r="B7" s="170">
        <v>45376.0</v>
      </c>
      <c r="C7" s="165" t="s">
        <v>140</v>
      </c>
      <c r="D7" s="165" t="s">
        <v>387</v>
      </c>
      <c r="E7" s="165" t="s">
        <v>3460</v>
      </c>
      <c r="F7" s="172"/>
      <c r="G7" s="173" t="s">
        <v>3544</v>
      </c>
      <c r="H7" s="167" t="s">
        <v>3545</v>
      </c>
      <c r="I7" s="165" t="s">
        <v>1603</v>
      </c>
      <c r="J7" s="167" t="s">
        <v>3547</v>
      </c>
      <c r="K7" s="168">
        <v>0.0</v>
      </c>
      <c r="L7" s="169" t="s">
        <v>3549</v>
      </c>
      <c r="M7" s="166"/>
    </row>
    <row r="8">
      <c r="A8" s="163">
        <v>182.0</v>
      </c>
      <c r="B8" s="170">
        <v>45381.0</v>
      </c>
      <c r="C8" s="165" t="s">
        <v>90</v>
      </c>
      <c r="D8" s="165" t="s">
        <v>205</v>
      </c>
      <c r="E8" s="165" t="s">
        <v>3460</v>
      </c>
      <c r="F8" s="172"/>
      <c r="G8" s="173" t="s">
        <v>3554</v>
      </c>
      <c r="H8" s="167" t="s">
        <v>3555</v>
      </c>
      <c r="I8" s="165" t="s">
        <v>1603</v>
      </c>
      <c r="J8" s="167" t="s">
        <v>3556</v>
      </c>
      <c r="K8" s="168">
        <v>0.0</v>
      </c>
      <c r="L8" s="169" t="s">
        <v>3557</v>
      </c>
      <c r="M8" s="166"/>
    </row>
    <row r="9">
      <c r="A9" s="163">
        <v>243.0</v>
      </c>
      <c r="B9" s="164">
        <v>45278.0</v>
      </c>
      <c r="C9" s="165" t="s">
        <v>39</v>
      </c>
      <c r="D9" s="165" t="s">
        <v>39</v>
      </c>
      <c r="E9" s="165" t="s">
        <v>3460</v>
      </c>
      <c r="F9" s="172"/>
      <c r="G9" s="173" t="s">
        <v>3564</v>
      </c>
      <c r="H9" s="174"/>
      <c r="I9" s="165" t="s">
        <v>1603</v>
      </c>
      <c r="J9" s="167" t="s">
        <v>3534</v>
      </c>
      <c r="K9" s="168">
        <v>0.0</v>
      </c>
      <c r="L9" s="169" t="s">
        <v>3565</v>
      </c>
      <c r="M9" s="165" t="s">
        <v>3566</v>
      </c>
    </row>
    <row r="10">
      <c r="A10" s="163">
        <v>250.0</v>
      </c>
      <c r="B10" s="170">
        <v>45323.0</v>
      </c>
      <c r="C10" s="165" t="s">
        <v>31</v>
      </c>
      <c r="D10" s="165" t="s">
        <v>366</v>
      </c>
      <c r="E10" s="165" t="s">
        <v>3460</v>
      </c>
      <c r="F10" s="172"/>
      <c r="G10" s="173" t="s">
        <v>3570</v>
      </c>
      <c r="H10" s="174"/>
      <c r="I10" s="165" t="s">
        <v>1603</v>
      </c>
      <c r="J10" s="167" t="s">
        <v>141</v>
      </c>
      <c r="K10" s="168">
        <v>0.99</v>
      </c>
      <c r="L10" s="175" t="s">
        <v>3571</v>
      </c>
      <c r="M10" s="176" t="s">
        <v>3576</v>
      </c>
    </row>
    <row r="11">
      <c r="A11" s="163">
        <v>303.0</v>
      </c>
      <c r="B11" s="170">
        <v>45376.0</v>
      </c>
      <c r="C11" s="165" t="s">
        <v>101</v>
      </c>
      <c r="D11" s="165" t="s">
        <v>186</v>
      </c>
      <c r="E11" s="165" t="s">
        <v>3460</v>
      </c>
      <c r="F11" s="172"/>
      <c r="G11" s="173" t="s">
        <v>3585</v>
      </c>
      <c r="H11" s="174"/>
      <c r="I11" s="165" t="s">
        <v>1603</v>
      </c>
      <c r="J11" s="167" t="s">
        <v>141</v>
      </c>
      <c r="K11" s="168">
        <v>0.94</v>
      </c>
      <c r="L11" s="169" t="s">
        <v>3587</v>
      </c>
      <c r="M11" s="166"/>
    </row>
    <row r="12">
      <c r="A12" s="163">
        <v>307.0</v>
      </c>
      <c r="B12" s="170">
        <v>45376.0</v>
      </c>
      <c r="C12" s="165" t="s">
        <v>101</v>
      </c>
      <c r="D12" s="165" t="s">
        <v>186</v>
      </c>
      <c r="E12" s="165" t="s">
        <v>3460</v>
      </c>
      <c r="F12" s="172"/>
      <c r="G12" s="173" t="s">
        <v>3591</v>
      </c>
      <c r="H12" s="174"/>
      <c r="I12" s="165" t="s">
        <v>1603</v>
      </c>
      <c r="J12" s="167" t="s">
        <v>3595</v>
      </c>
      <c r="K12" s="168">
        <v>0.0</v>
      </c>
      <c r="L12" s="169" t="s">
        <v>3597</v>
      </c>
      <c r="M12" s="177"/>
    </row>
    <row r="13">
      <c r="A13" s="163">
        <v>578.0</v>
      </c>
      <c r="B13" s="164">
        <v>45577.0</v>
      </c>
      <c r="C13" s="165" t="s">
        <v>96</v>
      </c>
      <c r="D13" s="165" t="s">
        <v>350</v>
      </c>
      <c r="E13" s="178" t="s">
        <v>3460</v>
      </c>
      <c r="F13" s="172"/>
      <c r="G13" s="173" t="s">
        <v>3600</v>
      </c>
      <c r="H13" s="174"/>
      <c r="I13" s="165" t="s">
        <v>1603</v>
      </c>
      <c r="J13" s="167" t="s">
        <v>3595</v>
      </c>
      <c r="K13" s="168">
        <v>0.0</v>
      </c>
      <c r="L13" s="169" t="s">
        <v>3601</v>
      </c>
      <c r="M13" s="172"/>
    </row>
    <row r="14">
      <c r="A14" s="163">
        <v>709.0</v>
      </c>
      <c r="B14" s="164">
        <v>45576.0</v>
      </c>
      <c r="C14" s="165" t="s">
        <v>96</v>
      </c>
      <c r="D14" s="165" t="s">
        <v>633</v>
      </c>
      <c r="E14" s="178" t="s">
        <v>3460</v>
      </c>
      <c r="F14" s="172"/>
      <c r="G14" s="173" t="s">
        <v>3606</v>
      </c>
      <c r="H14" s="174"/>
      <c r="I14" s="165" t="s">
        <v>1603</v>
      </c>
      <c r="J14" s="167" t="s">
        <v>3556</v>
      </c>
      <c r="K14" s="168">
        <v>0.0</v>
      </c>
      <c r="L14" s="169" t="s">
        <v>3607</v>
      </c>
      <c r="M14" s="172"/>
    </row>
    <row r="15">
      <c r="A15" s="163">
        <v>730.0</v>
      </c>
      <c r="B15" s="164">
        <v>45642.0</v>
      </c>
      <c r="C15" s="165" t="s">
        <v>39</v>
      </c>
      <c r="D15" s="165" t="s">
        <v>91</v>
      </c>
      <c r="E15" s="178" t="s">
        <v>3460</v>
      </c>
      <c r="F15" s="172"/>
      <c r="G15" s="173" t="s">
        <v>3610</v>
      </c>
      <c r="H15" s="167" t="s">
        <v>3611</v>
      </c>
      <c r="I15" s="165" t="s">
        <v>1603</v>
      </c>
      <c r="J15" s="167" t="s">
        <v>3547</v>
      </c>
      <c r="K15" s="168">
        <v>0.0</v>
      </c>
      <c r="L15" s="169" t="s">
        <v>3612</v>
      </c>
      <c r="M15" s="172"/>
    </row>
    <row r="16">
      <c r="A16" s="163">
        <v>732.0</v>
      </c>
      <c r="B16" s="164">
        <v>45642.0</v>
      </c>
      <c r="C16" s="165" t="s">
        <v>39</v>
      </c>
      <c r="D16" s="165" t="s">
        <v>39</v>
      </c>
      <c r="E16" s="178" t="s">
        <v>3460</v>
      </c>
      <c r="F16" s="172"/>
      <c r="G16" s="173" t="s">
        <v>3616</v>
      </c>
      <c r="H16" s="174"/>
      <c r="I16" s="165" t="s">
        <v>1603</v>
      </c>
      <c r="J16" s="167" t="s">
        <v>3534</v>
      </c>
      <c r="K16" s="168">
        <v>0.11</v>
      </c>
      <c r="L16" s="169" t="s">
        <v>3618</v>
      </c>
      <c r="M16" s="172"/>
    </row>
    <row r="17">
      <c r="A17" s="163">
        <v>733.0</v>
      </c>
      <c r="B17" s="164">
        <v>45642.0</v>
      </c>
      <c r="C17" s="165" t="s">
        <v>39</v>
      </c>
      <c r="D17" s="165" t="s">
        <v>39</v>
      </c>
      <c r="E17" s="178" t="s">
        <v>3460</v>
      </c>
      <c r="F17" s="172"/>
      <c r="G17" s="173" t="s">
        <v>3619</v>
      </c>
      <c r="H17" s="167" t="s">
        <v>3620</v>
      </c>
      <c r="I17" s="165" t="s">
        <v>1603</v>
      </c>
      <c r="J17" s="167" t="s">
        <v>3547</v>
      </c>
      <c r="K17" s="168">
        <v>0.0</v>
      </c>
      <c r="L17" s="169" t="s">
        <v>3621</v>
      </c>
      <c r="M17" s="179" t="s">
        <v>3622</v>
      </c>
    </row>
    <row r="18">
      <c r="A18" s="163">
        <v>734.0</v>
      </c>
      <c r="B18" s="164">
        <v>45642.0</v>
      </c>
      <c r="C18" s="165" t="s">
        <v>39</v>
      </c>
      <c r="D18" s="165" t="s">
        <v>39</v>
      </c>
      <c r="E18" s="178" t="s">
        <v>3460</v>
      </c>
      <c r="F18" s="172"/>
      <c r="G18" s="173" t="s">
        <v>3625</v>
      </c>
      <c r="H18" s="174"/>
      <c r="I18" s="165" t="s">
        <v>1603</v>
      </c>
      <c r="J18" s="167" t="s">
        <v>3547</v>
      </c>
      <c r="K18" s="168">
        <v>0.0</v>
      </c>
      <c r="L18" s="169" t="s">
        <v>3626</v>
      </c>
      <c r="M18" s="172"/>
    </row>
    <row r="19">
      <c r="A19" s="163">
        <v>761.0</v>
      </c>
      <c r="B19" s="164">
        <v>45644.0</v>
      </c>
      <c r="C19" s="165" t="s">
        <v>39</v>
      </c>
      <c r="D19" s="165" t="s">
        <v>134</v>
      </c>
      <c r="E19" s="178" t="s">
        <v>3460</v>
      </c>
      <c r="F19" s="172"/>
      <c r="G19" s="173" t="s">
        <v>3627</v>
      </c>
      <c r="H19" s="174"/>
      <c r="I19" s="165" t="s">
        <v>1603</v>
      </c>
      <c r="J19" s="167" t="s">
        <v>3556</v>
      </c>
      <c r="K19" s="168">
        <v>0.0</v>
      </c>
      <c r="L19" s="169" t="s">
        <v>3630</v>
      </c>
      <c r="M19" s="172"/>
    </row>
    <row r="20">
      <c r="A20" s="163">
        <v>762.0</v>
      </c>
      <c r="B20" s="164">
        <v>45644.0</v>
      </c>
      <c r="C20" s="165" t="s">
        <v>39</v>
      </c>
      <c r="D20" s="165" t="s">
        <v>134</v>
      </c>
      <c r="E20" s="178" t="s">
        <v>3460</v>
      </c>
      <c r="F20" s="172"/>
      <c r="G20" s="173" t="s">
        <v>3633</v>
      </c>
      <c r="H20" s="167" t="s">
        <v>3634</v>
      </c>
      <c r="I20" s="165" t="s">
        <v>1603</v>
      </c>
      <c r="J20" s="167" t="s">
        <v>3595</v>
      </c>
      <c r="K20" s="168">
        <v>0.0</v>
      </c>
      <c r="L20" s="169" t="s">
        <v>3635</v>
      </c>
      <c r="M20" s="172"/>
    </row>
    <row r="21">
      <c r="A21" s="163">
        <v>763.0</v>
      </c>
      <c r="B21" s="164">
        <v>45644.0</v>
      </c>
      <c r="C21" s="165" t="s">
        <v>39</v>
      </c>
      <c r="D21" s="165" t="s">
        <v>134</v>
      </c>
      <c r="E21" s="178" t="s">
        <v>3460</v>
      </c>
      <c r="F21" s="172"/>
      <c r="G21" s="173" t="s">
        <v>3636</v>
      </c>
      <c r="H21" s="174"/>
      <c r="I21" s="165" t="s">
        <v>1603</v>
      </c>
      <c r="J21" s="167" t="s">
        <v>3556</v>
      </c>
      <c r="K21" s="168">
        <v>0.0</v>
      </c>
      <c r="L21" s="169" t="s">
        <v>3639</v>
      </c>
      <c r="M21" s="172"/>
    </row>
    <row r="22">
      <c r="A22" s="163">
        <v>948.0</v>
      </c>
      <c r="B22" s="164">
        <v>45642.0</v>
      </c>
      <c r="C22" s="165" t="s">
        <v>39</v>
      </c>
      <c r="D22" s="165" t="s">
        <v>39</v>
      </c>
      <c r="E22" s="178" t="s">
        <v>3460</v>
      </c>
      <c r="F22" s="172"/>
      <c r="G22" s="173" t="s">
        <v>3619</v>
      </c>
      <c r="H22" s="167" t="s">
        <v>3640</v>
      </c>
      <c r="I22" s="165" t="s">
        <v>1603</v>
      </c>
      <c r="J22" s="167" t="s">
        <v>3641</v>
      </c>
      <c r="K22" s="168">
        <v>0.0</v>
      </c>
      <c r="L22" s="169" t="s">
        <v>3642</v>
      </c>
      <c r="M22" s="172"/>
    </row>
    <row r="23">
      <c r="A23" s="163">
        <v>949.0</v>
      </c>
      <c r="B23" s="164">
        <v>45642.0</v>
      </c>
      <c r="C23" s="165" t="s">
        <v>39</v>
      </c>
      <c r="D23" s="165" t="s">
        <v>39</v>
      </c>
      <c r="E23" s="178" t="s">
        <v>3460</v>
      </c>
      <c r="F23" s="172"/>
      <c r="G23" s="173" t="s">
        <v>3619</v>
      </c>
      <c r="H23" s="167" t="s">
        <v>3644</v>
      </c>
      <c r="I23" s="165" t="s">
        <v>1603</v>
      </c>
      <c r="J23" s="167" t="s">
        <v>3556</v>
      </c>
      <c r="K23" s="168">
        <v>0.0</v>
      </c>
      <c r="L23" s="169" t="s">
        <v>3645</v>
      </c>
      <c r="M23" s="172"/>
    </row>
    <row r="24">
      <c r="A24" s="163">
        <v>950.0</v>
      </c>
      <c r="B24" s="164">
        <v>45642.0</v>
      </c>
      <c r="C24" s="165" t="s">
        <v>39</v>
      </c>
      <c r="D24" s="165" t="s">
        <v>39</v>
      </c>
      <c r="E24" s="178" t="s">
        <v>3460</v>
      </c>
      <c r="F24" s="172"/>
      <c r="G24" s="173" t="s">
        <v>3619</v>
      </c>
      <c r="H24" s="167" t="s">
        <v>3646</v>
      </c>
      <c r="I24" s="165" t="s">
        <v>1603</v>
      </c>
      <c r="J24" s="167" t="s">
        <v>3556</v>
      </c>
      <c r="K24" s="168">
        <v>0.0</v>
      </c>
      <c r="L24" s="169" t="s">
        <v>3647</v>
      </c>
      <c r="M24" s="172"/>
    </row>
    <row r="25">
      <c r="A25" s="163">
        <v>1065.0</v>
      </c>
      <c r="B25" s="170">
        <v>45699.0</v>
      </c>
      <c r="C25" s="165" t="s">
        <v>3511</v>
      </c>
      <c r="D25" s="165" t="s">
        <v>391</v>
      </c>
      <c r="E25" s="178" t="s">
        <v>3460</v>
      </c>
      <c r="F25" s="172"/>
      <c r="G25" s="173" t="s">
        <v>3649</v>
      </c>
      <c r="H25" s="174"/>
      <c r="I25" s="165" t="s">
        <v>1603</v>
      </c>
      <c r="J25" s="167" t="s">
        <v>3556</v>
      </c>
      <c r="K25" s="168">
        <v>0.0</v>
      </c>
      <c r="L25" s="169" t="s">
        <v>3651</v>
      </c>
      <c r="M25" s="172"/>
    </row>
    <row r="26">
      <c r="A26" s="163">
        <v>1067.0</v>
      </c>
      <c r="B26" s="170">
        <v>45700.0</v>
      </c>
      <c r="C26" s="165" t="s">
        <v>39</v>
      </c>
      <c r="D26" s="165" t="s">
        <v>39</v>
      </c>
      <c r="E26" s="178" t="s">
        <v>3460</v>
      </c>
      <c r="F26" s="172"/>
      <c r="G26" s="173" t="s">
        <v>3656</v>
      </c>
      <c r="H26" s="174"/>
      <c r="I26" s="165" t="s">
        <v>1603</v>
      </c>
      <c r="J26" s="167" t="s">
        <v>3556</v>
      </c>
      <c r="K26" s="168">
        <v>0.0</v>
      </c>
      <c r="L26" s="169" t="s">
        <v>3658</v>
      </c>
      <c r="M26" s="172"/>
    </row>
    <row r="27">
      <c r="A27" s="163">
        <v>1070.0</v>
      </c>
      <c r="B27" s="170">
        <v>45700.0</v>
      </c>
      <c r="C27" s="165" t="s">
        <v>39</v>
      </c>
      <c r="D27" s="165" t="s">
        <v>73</v>
      </c>
      <c r="E27" s="178" t="s">
        <v>3460</v>
      </c>
      <c r="F27" s="172"/>
      <c r="G27" s="173" t="s">
        <v>3659</v>
      </c>
      <c r="H27" s="167" t="s">
        <v>3660</v>
      </c>
      <c r="I27" s="165" t="s">
        <v>1603</v>
      </c>
      <c r="J27" s="167" t="s">
        <v>3547</v>
      </c>
      <c r="K27" s="168">
        <v>0.0</v>
      </c>
      <c r="L27" s="169" t="s">
        <v>3661</v>
      </c>
      <c r="M27" s="172"/>
    </row>
  </sheetData>
  <hyperlinks>
    <hyperlink r:id="rId1" location=":~:text=Gobierno%20de%20C%C3%B3rdoba-,En%20Cruz%20del%20Eje%2C%20Llaryora%20anunci%C3%B3%20una%20inversi%C3%B3n%20de%20%243.800,repavimentaci%C3%B3n%20de%20la%20ruta%2015&amp;text=La%20obra%20se%20desarrollar%C3%A1%20en,Provincia%20en%20Cruz%20del%20Eje." ref="L2"/>
    <hyperlink r:id="rId2" ref="L3"/>
    <hyperlink r:id="rId3" location=":~:text=Gobierno%20de%20C%C3%B3rdoba-,En%20Villa%20Huidobro%2C%20Llaryora%20anunci%C3%B3%20obras%20de%20pavimentaci%C3%B3n%20e%20infraestructura,de%20450%20millones%20de%20pesos&amp;text=Firm%C3%B3%20un%20convenio%20con%20la,Polideportivo%20social%20en%20la%20localidad." ref="L4"/>
    <hyperlink r:id="rId4" location=":~:text=Tambi%C3%A9n%20anunci%C3%B3%20el%20env%C3%ADo%20de,la%20asistencia%20de%20la%20Provincia." ref="L5"/>
    <hyperlink r:id="rId5" ref="L6"/>
    <hyperlink r:id="rId6" ref="L7"/>
    <hyperlink r:id="rId7" ref="L8"/>
    <hyperlink r:id="rId8" ref="L9"/>
    <hyperlink r:id="rId9" ref="L10"/>
    <hyperlink r:id="rId10" ref="M10"/>
    <hyperlink r:id="rId11" ref="L11"/>
    <hyperlink r:id="rId12" ref="L12"/>
    <hyperlink r:id="rId13" ref="L13"/>
    <hyperlink r:id="rId14" ref="L14"/>
    <hyperlink r:id="rId15" ref="L15"/>
    <hyperlink r:id="rId16" ref="L16"/>
    <hyperlink r:id="rId17" ref="L17"/>
    <hyperlink r:id="rId18" ref="M17"/>
    <hyperlink r:id="rId19" ref="L18"/>
    <hyperlink r:id="rId20" ref="L19"/>
    <hyperlink r:id="rId21" ref="L20"/>
    <hyperlink r:id="rId22" ref="L21"/>
    <hyperlink r:id="rId23" ref="L22"/>
    <hyperlink r:id="rId24" ref="L23"/>
    <hyperlink r:id="rId25" ref="L24"/>
    <hyperlink r:id="rId26" ref="L25"/>
    <hyperlink r:id="rId27" ref="L26"/>
    <hyperlink r:id="rId28" ref="L27"/>
  </hyperlinks>
  <drawing r:id="rId29"/>
</worksheet>
</file>